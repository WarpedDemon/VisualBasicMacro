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updateLinks="never" codeName="ThisWorkbook" defaultThemeVersion="124226"/>
  <mc:AlternateContent xmlns:mc="http://schemas.openxmlformats.org/markup-compatibility/2006">
    <mc:Choice Requires="x15">
      <x15ac:absPath xmlns:x15ac="http://schemas.microsoft.com/office/spreadsheetml/2010/11/ac" url="C:\Users\warpe\Local Sites\VisualBasicMacroInSpreadsheet\"/>
    </mc:Choice>
  </mc:AlternateContent>
  <xr:revisionPtr revIDLastSave="0" documentId="13_ncr:1_{711424EF-8FEE-4121-9B09-408BFC08F9CD}" xr6:coauthVersionLast="47" xr6:coauthVersionMax="47" xr10:uidLastSave="{00000000-0000-0000-0000-000000000000}"/>
  <bookViews>
    <workbookView xWindow="-120" yWindow="-120" windowWidth="29040" windowHeight="16440" firstSheet="6" activeTab="6" xr2:uid="{00000000-000D-0000-FFFF-FFFF00000000}"/>
  </bookViews>
  <sheets>
    <sheet name="VO Summary - Internal Report" sheetId="6" r:id="rId1"/>
    <sheet name="Strategies - Commentary" sheetId="15" state="hidden" r:id="rId2"/>
    <sheet name="VO Status - Client Summary" sheetId="16" r:id="rId3"/>
    <sheet name="EOT Status - Summary" sheetId="17" r:id="rId4"/>
    <sheet name="Delay" sheetId="1" r:id="rId5"/>
    <sheet name="Button Properties" sheetId="18" r:id="rId6"/>
    <sheet name="Variation Register" sheetId="5" r:id="rId7"/>
    <sheet name="Acceleration Direction" sheetId="3" r:id="rId8"/>
    <sheet name="Company VO Report" sheetId="12" r:id="rId9"/>
    <sheet name="Company Delay &amp; EOT" sheetId="13" r:id="rId10"/>
    <sheet name="Drop Downs" sheetId="4" r:id="rId11"/>
    <sheet name="Sheet2" sheetId="11" r:id="rId12"/>
    <sheet name="Legacy Claims 13-04-19" sheetId="14" r:id="rId13"/>
  </sheets>
  <externalReferences>
    <externalReference r:id="rId14"/>
    <externalReference r:id="rId15"/>
    <externalReference r:id="rId16"/>
    <externalReference r:id="rId17"/>
    <externalReference r:id="rId18"/>
    <externalReference r:id="rId19"/>
  </externalReferences>
  <definedNames>
    <definedName name="_xlnm._FilterDatabase" localSheetId="9" hidden="1">'Company Delay &amp; EOT'!$A$3:$J$51</definedName>
    <definedName name="_xlnm._FilterDatabase" localSheetId="8" hidden="1">'Company VO Report'!$B$5:$P$239</definedName>
    <definedName name="_xlnm._FilterDatabase" localSheetId="4" hidden="1">Delay!$A$6:$BL$26</definedName>
    <definedName name="_xlnm._FilterDatabase" localSheetId="3" hidden="1">'EOT Status - Summary'!$B$3:$N$27</definedName>
    <definedName name="_xlnm._FilterDatabase" localSheetId="6" hidden="1">'Variation Register'!$A$8:$AY$354</definedName>
    <definedName name="Categories" localSheetId="6">'Drop Downs'!$C$2:$C$8</definedName>
    <definedName name="Categories">'Drop Downs'!$D$2:$D$6</definedName>
    <definedName name="EOT_Status" localSheetId="3">'[1]Drop Downs'!$D$2:$D$13,'[1]Drop Downs'!$D$2:$D$14</definedName>
    <definedName name="EOT_Status" localSheetId="2">'[1]Drop Downs'!$D$2:$D$13,'[1]Drop Downs'!$D$2:$D$14</definedName>
    <definedName name="EOT_Status">'Drop Downs'!$D$2:$D$12,'Drop Downs'!$D$2:$D$13</definedName>
    <definedName name="EOT_Status2">'Drop Downs'!$D$2:$D$13</definedName>
    <definedName name="EOT_Type" localSheetId="3">'[1]Drop Downs'!$E$2:$E$11</definedName>
    <definedName name="EOT_Type" localSheetId="2">'[1]Drop Downs'!$E$2:$E$11</definedName>
    <definedName name="EOT_Type">'Drop Downs'!$E$2:$E$11</definedName>
    <definedName name="MR_Status" localSheetId="9">'Company Delay &amp; EOT'!$R$3:$R$7</definedName>
    <definedName name="MR_Status">'[2]Company VO Report'!$O$5:$O$19</definedName>
    <definedName name="_xlnm.Print_Area" localSheetId="9">'Company Delay &amp; EOT'!$A$1:$J$76</definedName>
    <definedName name="_xlnm.Print_Area" localSheetId="8">'Company VO Report'!$A$1:$L$249</definedName>
    <definedName name="_xlnm.Print_Area" localSheetId="4">Delay!$A$1:$BC$35</definedName>
    <definedName name="_xlnm.Print_Area" localSheetId="6">'Variation Register'!$A$1:$AR$362</definedName>
    <definedName name="_xlnm.Print_Area" localSheetId="2">'VO Status - Client Summary'!$C$1:$I$32</definedName>
    <definedName name="_xlnm.Print_Area" localSheetId="0">'VO Summary - Internal Report'!$A$1:$N$40</definedName>
    <definedName name="_xlnm.Print_Titles" localSheetId="4">Delay!$1:$6</definedName>
    <definedName name="_xlnm.Print_Titles" localSheetId="6">'Variation Register'!$3:$8</definedName>
    <definedName name="Status" localSheetId="3">'[1]Drop Downs'!$D$2:$D$13</definedName>
    <definedName name="Status" localSheetId="2">'[1]Drop Downs'!$D$2:$D$13</definedName>
    <definedName name="Status">'Drop Downs'!$D$2:$D$12</definedName>
    <definedName name="Status1">'Drop Downs'!$B$2:$B$10</definedName>
    <definedName name="Variation_Type" localSheetId="9">'Drop Downs'!#REF!</definedName>
    <definedName name="Variation_Type" localSheetId="3">'[1]Drop Downs'!#REF!</definedName>
    <definedName name="Variation_Type" localSheetId="6">'Drop Downs'!$B$2:$B$6</definedName>
    <definedName name="Variation_Type" localSheetId="2">'[1]Drop Downs'!#REF!</definedName>
    <definedName name="Variation_Type">'Drop Downs'!#REF!</definedName>
    <definedName name="Variation_Type1" localSheetId="3">'[1]Drop Downs'!$C$2:$C$6</definedName>
    <definedName name="Variation_Type1" localSheetId="2">'[1]Drop Downs'!$C$2:$C$6</definedName>
    <definedName name="Variation_Type1">'Drop Downs'!$C$2:$C$6</definedName>
    <definedName name="VO_Status" localSheetId="3">'[1]Drop Downs'!$B$2:$B$12</definedName>
    <definedName name="VO_Status" localSheetId="2">'[1]Drop Downs'!$B$2:$B$12</definedName>
    <definedName name="VO_Status">'Drop Downs'!$B$2:$B$12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9" i="1" l="1"/>
  <c r="S8" i="1"/>
  <c r="S9" i="1"/>
  <c r="S10" i="1"/>
  <c r="S11" i="1"/>
  <c r="S12" i="1"/>
  <c r="S13" i="1"/>
  <c r="S14" i="1"/>
  <c r="S15" i="1"/>
  <c r="S16" i="1"/>
  <c r="S17" i="1"/>
  <c r="S18" i="1"/>
  <c r="S19" i="1"/>
  <c r="S20" i="1"/>
  <c r="S21" i="1"/>
  <c r="S22" i="1"/>
  <c r="S23" i="1"/>
  <c r="S24" i="1"/>
  <c r="S25" i="1"/>
  <c r="S26" i="1"/>
  <c r="S27" i="1"/>
  <c r="S28" i="1"/>
  <c r="S29" i="1"/>
  <c r="S30" i="1"/>
  <c r="S31" i="1"/>
  <c r="N31" i="1" l="1"/>
  <c r="I11" i="5" l="1"/>
  <c r="W7" i="1" l="1"/>
  <c r="Z7" i="1" s="1"/>
  <c r="AC7" i="1" s="1"/>
  <c r="S7" i="1"/>
  <c r="G11" i="5" l="1"/>
  <c r="Q8" i="1" l="1"/>
  <c r="Q9" i="1"/>
  <c r="Q10" i="1"/>
  <c r="Q11" i="1"/>
  <c r="Q12" i="1"/>
  <c r="Q13" i="1"/>
  <c r="Q14" i="1"/>
  <c r="Q15" i="1"/>
  <c r="Q16" i="1"/>
  <c r="Q17" i="1"/>
  <c r="Q18" i="1"/>
  <c r="Q19" i="1"/>
  <c r="Q20" i="1"/>
  <c r="Q21" i="1"/>
  <c r="Q22" i="1"/>
  <c r="Q23" i="1"/>
  <c r="Q24" i="1"/>
  <c r="Q25" i="1"/>
  <c r="Q26" i="1"/>
  <c r="Q27" i="1"/>
  <c r="Q28" i="1"/>
  <c r="Q29" i="1"/>
  <c r="Q30" i="1"/>
  <c r="Q31" i="1"/>
  <c r="Q7" i="1"/>
  <c r="AB311" i="5" l="1"/>
  <c r="AA311" i="5"/>
  <c r="AE288" i="5" l="1"/>
  <c r="AF285" i="5"/>
  <c r="AF295" i="5"/>
  <c r="D24" i="16"/>
  <c r="I29" i="17"/>
  <c r="H29" i="17"/>
  <c r="D16" i="16" s="1"/>
  <c r="F16" i="16" s="1"/>
  <c r="E24" i="17"/>
  <c r="E22" i="17"/>
  <c r="E13" i="17"/>
  <c r="H29" i="16"/>
  <c r="G29" i="16"/>
  <c r="F27" i="16"/>
  <c r="F26" i="16"/>
  <c r="E24" i="16"/>
  <c r="E23" i="16"/>
  <c r="G19" i="16"/>
  <c r="H14" i="16"/>
  <c r="H13" i="16"/>
  <c r="H7" i="16"/>
  <c r="H9" i="16" s="1"/>
  <c r="H19" i="16" l="1"/>
  <c r="D8" i="16"/>
  <c r="F8" i="16" s="1"/>
  <c r="G31" i="16"/>
  <c r="H31" i="16"/>
  <c r="E29" i="16"/>
  <c r="F24" i="16"/>
  <c r="A75" i="13" l="1"/>
  <c r="B75" i="13"/>
  <c r="C75" i="13"/>
  <c r="D75" i="13"/>
  <c r="E75" i="13"/>
  <c r="F75" i="13"/>
  <c r="G75" i="13"/>
  <c r="I75" i="13"/>
  <c r="J75" i="13"/>
  <c r="A71" i="13"/>
  <c r="B71" i="13"/>
  <c r="C71" i="13"/>
  <c r="D71" i="13"/>
  <c r="E71" i="13"/>
  <c r="F71" i="13"/>
  <c r="G71" i="13"/>
  <c r="H71" i="13"/>
  <c r="I71" i="13"/>
  <c r="J71" i="13"/>
  <c r="A72" i="13"/>
  <c r="B72" i="13"/>
  <c r="C72" i="13"/>
  <c r="D72" i="13"/>
  <c r="E72" i="13"/>
  <c r="F72" i="13"/>
  <c r="G72" i="13"/>
  <c r="H72" i="13"/>
  <c r="I72" i="13"/>
  <c r="J72" i="13"/>
  <c r="A73" i="13"/>
  <c r="B73" i="13"/>
  <c r="C73" i="13"/>
  <c r="D73" i="13"/>
  <c r="E73" i="13"/>
  <c r="F73" i="13"/>
  <c r="G73" i="13"/>
  <c r="H73" i="13"/>
  <c r="I73" i="13"/>
  <c r="J73" i="13"/>
  <c r="A74" i="13"/>
  <c r="B74" i="13"/>
  <c r="C74" i="13"/>
  <c r="D74" i="13"/>
  <c r="E74" i="13"/>
  <c r="F74" i="13"/>
  <c r="G74" i="13"/>
  <c r="H74" i="13"/>
  <c r="I74" i="13"/>
  <c r="J74" i="13"/>
  <c r="AW31" i="1"/>
  <c r="AW30" i="1"/>
  <c r="N30" i="1"/>
  <c r="K160" i="12"/>
  <c r="I160" i="12"/>
  <c r="H160" i="12"/>
  <c r="F160" i="12"/>
  <c r="E160" i="12"/>
  <c r="D160" i="12"/>
  <c r="C160" i="12"/>
  <c r="B160" i="12"/>
  <c r="A160" i="12"/>
  <c r="AD255" i="5"/>
  <c r="AS201" i="5"/>
  <c r="AO201" i="5"/>
  <c r="AP201" i="5" s="1"/>
  <c r="AF201" i="5"/>
  <c r="AI201" i="5" s="1"/>
  <c r="AC201" i="5"/>
  <c r="G160" i="12" s="1"/>
  <c r="A244" i="12"/>
  <c r="B244" i="12"/>
  <c r="C244" i="12"/>
  <c r="D244" i="12"/>
  <c r="E244" i="12"/>
  <c r="F244" i="12"/>
  <c r="G244" i="12"/>
  <c r="H244" i="12"/>
  <c r="I244" i="12"/>
  <c r="K244" i="12"/>
  <c r="AE264" i="5"/>
  <c r="J160" i="12" l="1"/>
  <c r="AK279" i="5"/>
  <c r="AI279" i="5"/>
  <c r="AD279" i="5"/>
  <c r="AE16" i="5" l="1"/>
  <c r="AF313" i="5" l="1"/>
  <c r="K243" i="12" l="1"/>
  <c r="I243" i="12"/>
  <c r="H243" i="12"/>
  <c r="G243" i="12"/>
  <c r="F243" i="12"/>
  <c r="E243" i="12"/>
  <c r="D243" i="12"/>
  <c r="C243" i="12"/>
  <c r="B243" i="12"/>
  <c r="A243" i="12"/>
  <c r="K242" i="12"/>
  <c r="I242" i="12"/>
  <c r="H242" i="12"/>
  <c r="G242" i="12"/>
  <c r="F242" i="12"/>
  <c r="E242" i="12"/>
  <c r="D242" i="12"/>
  <c r="C242" i="12"/>
  <c r="B242" i="12"/>
  <c r="A242" i="12"/>
  <c r="K241" i="12"/>
  <c r="J241" i="12"/>
  <c r="I241" i="12"/>
  <c r="H241" i="12"/>
  <c r="G241" i="12"/>
  <c r="F241" i="12"/>
  <c r="E241" i="12"/>
  <c r="D241" i="12"/>
  <c r="C241" i="12"/>
  <c r="B241" i="12"/>
  <c r="A241" i="12"/>
  <c r="K240" i="12"/>
  <c r="J240" i="12"/>
  <c r="I240" i="12"/>
  <c r="H240" i="12"/>
  <c r="G240" i="12"/>
  <c r="F240" i="12"/>
  <c r="E240" i="12"/>
  <c r="D240" i="12"/>
  <c r="C240" i="12"/>
  <c r="B240" i="12"/>
  <c r="A240" i="12"/>
  <c r="AF312" i="5"/>
  <c r="J242" i="12" s="1"/>
  <c r="J243" i="12"/>
  <c r="AF314" i="5"/>
  <c r="J244" i="12" l="1"/>
  <c r="AI314" i="5"/>
  <c r="AJ314" i="5" s="1"/>
  <c r="AK231" i="5"/>
  <c r="AK227" i="5" l="1"/>
  <c r="AL7" i="5"/>
  <c r="AG127" i="5" l="1"/>
  <c r="AS340" i="5"/>
  <c r="AS339" i="5"/>
  <c r="AS338" i="5"/>
  <c r="AS337" i="5"/>
  <c r="AS336" i="5"/>
  <c r="AS335" i="5"/>
  <c r="AS334" i="5"/>
  <c r="AS333" i="5"/>
  <c r="AS331" i="5"/>
  <c r="AS330" i="5"/>
  <c r="AS329" i="5"/>
  <c r="AS328" i="5"/>
  <c r="AS326" i="5"/>
  <c r="AS325" i="5"/>
  <c r="AS324" i="5"/>
  <c r="AS323" i="5"/>
  <c r="AS321" i="5"/>
  <c r="AS320" i="5"/>
  <c r="AS319" i="5"/>
  <c r="AS318" i="5"/>
  <c r="AS317" i="5"/>
  <c r="AS316" i="5"/>
  <c r="AS315" i="5"/>
  <c r="AS311" i="5"/>
  <c r="AS310" i="5"/>
  <c r="AS309" i="5"/>
  <c r="AS308" i="5"/>
  <c r="AS307" i="5"/>
  <c r="AS306" i="5"/>
  <c r="AS305" i="5"/>
  <c r="AS304" i="5"/>
  <c r="AS303" i="5"/>
  <c r="AS302" i="5"/>
  <c r="AS301" i="5"/>
  <c r="AS300" i="5"/>
  <c r="AS299" i="5"/>
  <c r="AS298" i="5"/>
  <c r="AS297" i="5"/>
  <c r="AS296" i="5"/>
  <c r="AS295" i="5"/>
  <c r="AS294" i="5"/>
  <c r="AS293" i="5"/>
  <c r="AS292" i="5"/>
  <c r="AS291" i="5"/>
  <c r="AS290" i="5"/>
  <c r="AS289" i="5"/>
  <c r="AS288" i="5"/>
  <c r="AS287" i="5"/>
  <c r="AS285" i="5"/>
  <c r="AS284" i="5"/>
  <c r="AS283" i="5"/>
  <c r="AS282" i="5"/>
  <c r="AS281" i="5"/>
  <c r="AS280" i="5"/>
  <c r="AS279" i="5"/>
  <c r="AS278" i="5"/>
  <c r="AS277" i="5"/>
  <c r="AS276" i="5"/>
  <c r="AS275" i="5"/>
  <c r="AS274" i="5"/>
  <c r="AS273" i="5"/>
  <c r="AS272" i="5"/>
  <c r="AS271" i="5"/>
  <c r="AS270" i="5"/>
  <c r="AS269" i="5"/>
  <c r="AS268" i="5"/>
  <c r="AS267" i="5"/>
  <c r="AS266" i="5"/>
  <c r="AS265" i="5"/>
  <c r="AS264" i="5"/>
  <c r="AS263" i="5"/>
  <c r="AS262" i="5"/>
  <c r="AS261" i="5"/>
  <c r="AS260" i="5"/>
  <c r="AS259" i="5"/>
  <c r="AS258" i="5"/>
  <c r="AS257" i="5"/>
  <c r="AS256" i="5"/>
  <c r="AS255" i="5"/>
  <c r="AS254" i="5"/>
  <c r="AS253" i="5"/>
  <c r="AS252" i="5"/>
  <c r="AS251" i="5"/>
  <c r="AS250" i="5"/>
  <c r="AS249" i="5"/>
  <c r="AS248" i="5"/>
  <c r="AS247" i="5"/>
  <c r="AS246" i="5"/>
  <c r="AS245" i="5"/>
  <c r="AS244" i="5"/>
  <c r="AS243" i="5"/>
  <c r="AS242" i="5"/>
  <c r="AS241" i="5"/>
  <c r="AS240" i="5"/>
  <c r="AS239" i="5"/>
  <c r="AS238" i="5"/>
  <c r="AS237" i="5"/>
  <c r="AS236" i="5"/>
  <c r="AS235" i="5"/>
  <c r="AS234" i="5"/>
  <c r="AS233" i="5"/>
  <c r="AS232" i="5"/>
  <c r="AS231" i="5"/>
  <c r="AS230" i="5"/>
  <c r="AS226" i="5"/>
  <c r="AS225" i="5"/>
  <c r="AS223" i="5"/>
  <c r="AS222" i="5"/>
  <c r="AS221" i="5"/>
  <c r="AS220" i="5"/>
  <c r="AS219" i="5"/>
  <c r="AS218" i="5"/>
  <c r="AS217" i="5"/>
  <c r="AS213" i="5"/>
  <c r="AS212" i="5"/>
  <c r="AS211" i="5"/>
  <c r="AS210" i="5"/>
  <c r="AS208" i="5"/>
  <c r="AS207" i="5"/>
  <c r="AS206" i="5"/>
  <c r="AS205" i="5"/>
  <c r="AS204" i="5"/>
  <c r="AS202" i="5"/>
  <c r="AS200" i="5"/>
  <c r="AS199" i="5"/>
  <c r="AS197" i="5"/>
  <c r="AS196" i="5"/>
  <c r="AS195" i="5"/>
  <c r="AS193" i="5"/>
  <c r="AS192" i="5"/>
  <c r="AS191" i="5"/>
  <c r="AS189" i="5"/>
  <c r="AS188" i="5"/>
  <c r="AS187" i="5"/>
  <c r="AS186" i="5"/>
  <c r="AS185" i="5"/>
  <c r="AS184" i="5"/>
  <c r="AS183" i="5"/>
  <c r="AS181" i="5"/>
  <c r="AS179" i="5"/>
  <c r="AS178" i="5"/>
  <c r="AS177" i="5"/>
  <c r="AS174" i="5"/>
  <c r="AS173" i="5"/>
  <c r="AS170" i="5"/>
  <c r="AS169" i="5"/>
  <c r="AS168" i="5"/>
  <c r="AS167" i="5"/>
  <c r="AS165" i="5"/>
  <c r="AS163" i="5"/>
  <c r="AS162" i="5"/>
  <c r="AS160" i="5"/>
  <c r="AS158" i="5"/>
  <c r="AS157" i="5"/>
  <c r="AS155" i="5"/>
  <c r="AS153" i="5"/>
  <c r="AS151" i="5"/>
  <c r="AS150" i="5"/>
  <c r="AS146" i="5"/>
  <c r="AS145" i="5"/>
  <c r="AS144" i="5"/>
  <c r="AS143" i="5"/>
  <c r="AS141" i="5"/>
  <c r="AS140" i="5"/>
  <c r="AS139" i="5"/>
  <c r="AS138" i="5"/>
  <c r="AS137" i="5"/>
  <c r="AS134" i="5"/>
  <c r="AS131" i="5"/>
  <c r="AS130" i="5"/>
  <c r="AS128" i="5"/>
  <c r="AS127" i="5"/>
  <c r="AS126" i="5"/>
  <c r="AS125" i="5"/>
  <c r="AS124" i="5"/>
  <c r="AS123" i="5"/>
  <c r="AS122" i="5"/>
  <c r="AS121" i="5"/>
  <c r="AS120" i="5"/>
  <c r="AS119" i="5"/>
  <c r="AS117" i="5"/>
  <c r="AS116" i="5"/>
  <c r="AS115" i="5"/>
  <c r="AS114" i="5"/>
  <c r="AS113" i="5"/>
  <c r="AS112" i="5"/>
  <c r="AS111" i="5"/>
  <c r="AS110" i="5"/>
  <c r="AS109" i="5"/>
  <c r="AS108" i="5"/>
  <c r="AS107" i="5"/>
  <c r="AS106" i="5"/>
  <c r="AS105" i="5"/>
  <c r="AS102" i="5"/>
  <c r="AS101" i="5"/>
  <c r="AS100" i="5"/>
  <c r="AS99" i="5"/>
  <c r="AS98" i="5"/>
  <c r="AS96" i="5"/>
  <c r="AS94" i="5"/>
  <c r="AS93" i="5"/>
  <c r="AS91" i="5"/>
  <c r="AS89" i="5"/>
  <c r="AS86" i="5"/>
  <c r="AS85" i="5"/>
  <c r="AS84" i="5"/>
  <c r="AS83" i="5"/>
  <c r="AS82" i="5"/>
  <c r="AS81" i="5"/>
  <c r="AS79" i="5"/>
  <c r="AS78" i="5"/>
  <c r="AS77" i="5"/>
  <c r="AS76" i="5"/>
  <c r="AS74" i="5"/>
  <c r="AS73" i="5"/>
  <c r="AS72" i="5"/>
  <c r="AS71" i="5"/>
  <c r="AS70" i="5"/>
  <c r="AS69" i="5"/>
  <c r="AS68" i="5"/>
  <c r="AS67" i="5"/>
  <c r="AS66" i="5"/>
  <c r="AS65" i="5"/>
  <c r="AS64" i="5"/>
  <c r="AS63" i="5"/>
  <c r="AS61" i="5"/>
  <c r="AS60" i="5"/>
  <c r="AS59" i="5"/>
  <c r="AS58" i="5"/>
  <c r="AS56" i="5"/>
  <c r="AS55" i="5"/>
  <c r="AS54" i="5"/>
  <c r="AS53" i="5"/>
  <c r="AS52" i="5"/>
  <c r="AS51" i="5"/>
  <c r="AS50" i="5"/>
  <c r="AS49" i="5"/>
  <c r="AS48" i="5"/>
  <c r="AS47" i="5"/>
  <c r="AS46" i="5"/>
  <c r="AS45" i="5"/>
  <c r="AS44" i="5"/>
  <c r="AS43" i="5"/>
  <c r="AS41" i="5"/>
  <c r="AS40" i="5"/>
  <c r="AS39" i="5"/>
  <c r="AS38" i="5"/>
  <c r="AS36" i="5"/>
  <c r="AS32" i="5"/>
  <c r="AS30" i="5"/>
  <c r="AS29" i="5"/>
  <c r="AS28" i="5"/>
  <c r="AS27" i="5"/>
  <c r="AS26" i="5"/>
  <c r="AS25" i="5"/>
  <c r="AS24" i="5"/>
  <c r="AS23" i="5"/>
  <c r="AS21" i="5"/>
  <c r="AS20" i="5"/>
  <c r="AS17" i="5"/>
  <c r="AS16" i="5"/>
  <c r="AS15" i="5"/>
  <c r="AS14" i="5"/>
  <c r="AS13" i="5"/>
  <c r="AS12" i="5"/>
  <c r="AS11" i="5"/>
  <c r="AS10" i="5"/>
  <c r="I36" i="6" l="1"/>
  <c r="AM200" i="5" l="1"/>
  <c r="AD127" i="5"/>
  <c r="A68" i="13" l="1"/>
  <c r="B68" i="13"/>
  <c r="C68" i="13"/>
  <c r="D68" i="13"/>
  <c r="E68" i="13"/>
  <c r="F68" i="13"/>
  <c r="G68" i="13"/>
  <c r="I68" i="13"/>
  <c r="J68" i="13"/>
  <c r="A69" i="13"/>
  <c r="B69" i="13"/>
  <c r="C69" i="13"/>
  <c r="D69" i="13"/>
  <c r="E69" i="13"/>
  <c r="F69" i="13"/>
  <c r="G69" i="13"/>
  <c r="I69" i="13"/>
  <c r="J69" i="13"/>
  <c r="A70" i="13"/>
  <c r="B70" i="13"/>
  <c r="C70" i="13"/>
  <c r="D70" i="13"/>
  <c r="E70" i="13"/>
  <c r="F70" i="13"/>
  <c r="G70" i="13"/>
  <c r="H70" i="13"/>
  <c r="I70" i="13"/>
  <c r="J70" i="13"/>
  <c r="AF288" i="5" l="1"/>
  <c r="J222" i="12" s="1"/>
  <c r="A234" i="12"/>
  <c r="B234" i="12"/>
  <c r="C234" i="12"/>
  <c r="D234" i="12"/>
  <c r="E234" i="12"/>
  <c r="F234" i="12"/>
  <c r="G234" i="12"/>
  <c r="H234" i="12"/>
  <c r="I234" i="12"/>
  <c r="K234" i="12"/>
  <c r="A235" i="12"/>
  <c r="B235" i="12"/>
  <c r="C235" i="12"/>
  <c r="D235" i="12"/>
  <c r="E235" i="12"/>
  <c r="F235" i="12"/>
  <c r="G235" i="12"/>
  <c r="H235" i="12"/>
  <c r="I235" i="12"/>
  <c r="K235" i="12"/>
  <c r="A236" i="12"/>
  <c r="B236" i="12"/>
  <c r="C236" i="12"/>
  <c r="D236" i="12"/>
  <c r="E236" i="12"/>
  <c r="F236" i="12"/>
  <c r="G236" i="12"/>
  <c r="H236" i="12"/>
  <c r="I236" i="12"/>
  <c r="J236" i="12"/>
  <c r="K236" i="12"/>
  <c r="A237" i="12"/>
  <c r="B237" i="12"/>
  <c r="C237" i="12"/>
  <c r="D237" i="12"/>
  <c r="E237" i="12"/>
  <c r="F237" i="12"/>
  <c r="G237" i="12"/>
  <c r="H237" i="12"/>
  <c r="I237" i="12"/>
  <c r="J237" i="12"/>
  <c r="K237" i="12"/>
  <c r="A238" i="12"/>
  <c r="B238" i="12"/>
  <c r="C238" i="12"/>
  <c r="D238" i="12"/>
  <c r="E238" i="12"/>
  <c r="F238" i="12"/>
  <c r="G238" i="12"/>
  <c r="H238" i="12"/>
  <c r="I238" i="12"/>
  <c r="K238" i="12"/>
  <c r="A239" i="12"/>
  <c r="B239" i="12"/>
  <c r="C239" i="12"/>
  <c r="D239" i="12"/>
  <c r="E239" i="12"/>
  <c r="F239" i="12"/>
  <c r="G239" i="12"/>
  <c r="H239" i="12"/>
  <c r="I239" i="12"/>
  <c r="J239" i="12"/>
  <c r="K239" i="12"/>
  <c r="A227" i="12"/>
  <c r="B227" i="12"/>
  <c r="C227" i="12"/>
  <c r="D227" i="12"/>
  <c r="E227" i="12"/>
  <c r="F227" i="12"/>
  <c r="G227" i="12"/>
  <c r="H227" i="12"/>
  <c r="I227" i="12"/>
  <c r="K227" i="12"/>
  <c r="A228" i="12"/>
  <c r="B228" i="12"/>
  <c r="C228" i="12"/>
  <c r="D228" i="12"/>
  <c r="E228" i="12"/>
  <c r="F228" i="12"/>
  <c r="G228" i="12"/>
  <c r="H228" i="12"/>
  <c r="I228" i="12"/>
  <c r="K228" i="12"/>
  <c r="A229" i="12"/>
  <c r="B229" i="12"/>
  <c r="C229" i="12"/>
  <c r="D229" i="12"/>
  <c r="E229" i="12"/>
  <c r="F229" i="12"/>
  <c r="G229" i="12"/>
  <c r="H229" i="12"/>
  <c r="I229" i="12"/>
  <c r="K229" i="12"/>
  <c r="A230" i="12"/>
  <c r="B230" i="12"/>
  <c r="C230" i="12"/>
  <c r="D230" i="12"/>
  <c r="E230" i="12"/>
  <c r="F230" i="12"/>
  <c r="G230" i="12"/>
  <c r="H230" i="12"/>
  <c r="I230" i="12"/>
  <c r="K230" i="12"/>
  <c r="A231" i="12"/>
  <c r="B231" i="12"/>
  <c r="C231" i="12"/>
  <c r="D231" i="12"/>
  <c r="E231" i="12"/>
  <c r="F231" i="12"/>
  <c r="G231" i="12"/>
  <c r="H231" i="12"/>
  <c r="I231" i="12"/>
  <c r="K231" i="12"/>
  <c r="A232" i="12"/>
  <c r="B232" i="12"/>
  <c r="C232" i="12"/>
  <c r="D232" i="12"/>
  <c r="E232" i="12"/>
  <c r="F232" i="12"/>
  <c r="G232" i="12"/>
  <c r="H232" i="12"/>
  <c r="I232" i="12"/>
  <c r="K232" i="12"/>
  <c r="A233" i="12"/>
  <c r="B233" i="12"/>
  <c r="C233" i="12"/>
  <c r="D233" i="12"/>
  <c r="E233" i="12"/>
  <c r="F233" i="12"/>
  <c r="G233" i="12"/>
  <c r="H233" i="12"/>
  <c r="I233" i="12"/>
  <c r="J233" i="12"/>
  <c r="K233" i="12"/>
  <c r="A220" i="12"/>
  <c r="B220" i="12"/>
  <c r="C220" i="12"/>
  <c r="D220" i="12"/>
  <c r="E220" i="12"/>
  <c r="F220" i="12"/>
  <c r="G220" i="12"/>
  <c r="H220" i="12"/>
  <c r="I220" i="12"/>
  <c r="K220" i="12"/>
  <c r="A221" i="12"/>
  <c r="B221" i="12"/>
  <c r="C221" i="12"/>
  <c r="D221" i="12"/>
  <c r="E221" i="12"/>
  <c r="F221" i="12"/>
  <c r="G221" i="12"/>
  <c r="H221" i="12"/>
  <c r="I221" i="12"/>
  <c r="K221" i="12"/>
  <c r="A222" i="12"/>
  <c r="B222" i="12"/>
  <c r="C222" i="12"/>
  <c r="D222" i="12"/>
  <c r="E222" i="12"/>
  <c r="F222" i="12"/>
  <c r="G222" i="12"/>
  <c r="H222" i="12"/>
  <c r="I222" i="12"/>
  <c r="K222" i="12"/>
  <c r="A223" i="12"/>
  <c r="B223" i="12"/>
  <c r="C223" i="12"/>
  <c r="D223" i="12"/>
  <c r="E223" i="12"/>
  <c r="F223" i="12"/>
  <c r="G223" i="12"/>
  <c r="H223" i="12"/>
  <c r="I223" i="12"/>
  <c r="K223" i="12"/>
  <c r="A224" i="12"/>
  <c r="B224" i="12"/>
  <c r="C224" i="12"/>
  <c r="D224" i="12"/>
  <c r="E224" i="12"/>
  <c r="F224" i="12"/>
  <c r="G224" i="12"/>
  <c r="H224" i="12"/>
  <c r="I224" i="12"/>
  <c r="K224" i="12"/>
  <c r="A225" i="12"/>
  <c r="B225" i="12"/>
  <c r="C225" i="12"/>
  <c r="D225" i="12"/>
  <c r="E225" i="12"/>
  <c r="F225" i="12"/>
  <c r="G225" i="12"/>
  <c r="H225" i="12"/>
  <c r="I225" i="12"/>
  <c r="K225" i="12"/>
  <c r="A226" i="12"/>
  <c r="B226" i="12"/>
  <c r="C226" i="12"/>
  <c r="D226" i="12"/>
  <c r="E226" i="12"/>
  <c r="F226" i="12"/>
  <c r="G226" i="12"/>
  <c r="H226" i="12"/>
  <c r="I226" i="12"/>
  <c r="K226" i="12"/>
  <c r="A205" i="12"/>
  <c r="B205" i="12"/>
  <c r="C205" i="12"/>
  <c r="D205" i="12"/>
  <c r="E205" i="12"/>
  <c r="F205" i="12"/>
  <c r="G205" i="12"/>
  <c r="H205" i="12"/>
  <c r="I205" i="12"/>
  <c r="K205" i="12"/>
  <c r="A206" i="12"/>
  <c r="B206" i="12"/>
  <c r="C206" i="12"/>
  <c r="D206" i="12"/>
  <c r="E206" i="12"/>
  <c r="F206" i="12"/>
  <c r="G206" i="12"/>
  <c r="H206" i="12"/>
  <c r="I206" i="12"/>
  <c r="K206" i="12"/>
  <c r="A207" i="12"/>
  <c r="B207" i="12"/>
  <c r="C207" i="12"/>
  <c r="D207" i="12"/>
  <c r="E207" i="12"/>
  <c r="F207" i="12"/>
  <c r="G207" i="12"/>
  <c r="H207" i="12"/>
  <c r="I207" i="12"/>
  <c r="K207" i="12"/>
  <c r="A208" i="12"/>
  <c r="B208" i="12"/>
  <c r="C208" i="12"/>
  <c r="D208" i="12"/>
  <c r="E208" i="12"/>
  <c r="F208" i="12"/>
  <c r="G208" i="12"/>
  <c r="H208" i="12"/>
  <c r="I208" i="12"/>
  <c r="K208" i="12"/>
  <c r="A209" i="12"/>
  <c r="B209" i="12"/>
  <c r="C209" i="12"/>
  <c r="D209" i="12"/>
  <c r="E209" i="12"/>
  <c r="F209" i="12"/>
  <c r="G209" i="12"/>
  <c r="H209" i="12"/>
  <c r="I209" i="12"/>
  <c r="K209" i="12"/>
  <c r="A210" i="12"/>
  <c r="B210" i="12"/>
  <c r="C210" i="12"/>
  <c r="D210" i="12"/>
  <c r="E210" i="12"/>
  <c r="F210" i="12"/>
  <c r="G210" i="12"/>
  <c r="H210" i="12"/>
  <c r="I210" i="12"/>
  <c r="K210" i="12"/>
  <c r="A211" i="12"/>
  <c r="B211" i="12"/>
  <c r="C211" i="12"/>
  <c r="D211" i="12"/>
  <c r="E211" i="12"/>
  <c r="F211" i="12"/>
  <c r="G211" i="12"/>
  <c r="H211" i="12"/>
  <c r="I211" i="12"/>
  <c r="K211" i="12"/>
  <c r="A212" i="12"/>
  <c r="B212" i="12"/>
  <c r="C212" i="12"/>
  <c r="D212" i="12"/>
  <c r="E212" i="12"/>
  <c r="F212" i="12"/>
  <c r="G212" i="12"/>
  <c r="H212" i="12"/>
  <c r="I212" i="12"/>
  <c r="K212" i="12"/>
  <c r="A213" i="12"/>
  <c r="B213" i="12"/>
  <c r="C213" i="12"/>
  <c r="D213" i="12"/>
  <c r="E213" i="12"/>
  <c r="F213" i="12"/>
  <c r="G213" i="12"/>
  <c r="H213" i="12"/>
  <c r="I213" i="12"/>
  <c r="K213" i="12"/>
  <c r="A214" i="12"/>
  <c r="B214" i="12"/>
  <c r="C214" i="12"/>
  <c r="D214" i="12"/>
  <c r="E214" i="12"/>
  <c r="F214" i="12"/>
  <c r="G214" i="12"/>
  <c r="H214" i="12"/>
  <c r="I214" i="12"/>
  <c r="K214" i="12"/>
  <c r="A215" i="12"/>
  <c r="B215" i="12"/>
  <c r="C215" i="12"/>
  <c r="D215" i="12"/>
  <c r="E215" i="12"/>
  <c r="F215" i="12"/>
  <c r="G215" i="12"/>
  <c r="H215" i="12"/>
  <c r="I215" i="12"/>
  <c r="K215" i="12"/>
  <c r="A216" i="12"/>
  <c r="B216" i="12"/>
  <c r="C216" i="12"/>
  <c r="D216" i="12"/>
  <c r="E216" i="12"/>
  <c r="F216" i="12"/>
  <c r="G216" i="12"/>
  <c r="H216" i="12"/>
  <c r="I216" i="12"/>
  <c r="K216" i="12"/>
  <c r="A217" i="12"/>
  <c r="B217" i="12"/>
  <c r="C217" i="12"/>
  <c r="D217" i="12"/>
  <c r="E217" i="12"/>
  <c r="F217" i="12"/>
  <c r="G217" i="12"/>
  <c r="H217" i="12"/>
  <c r="I217" i="12"/>
  <c r="K217" i="12"/>
  <c r="A218" i="12"/>
  <c r="B218" i="12"/>
  <c r="C218" i="12"/>
  <c r="D218" i="12"/>
  <c r="E218" i="12"/>
  <c r="F218" i="12"/>
  <c r="G218" i="12"/>
  <c r="H218" i="12"/>
  <c r="I218" i="12"/>
  <c r="K218" i="12"/>
  <c r="A219" i="12"/>
  <c r="B219" i="12"/>
  <c r="C219" i="12"/>
  <c r="D219" i="12"/>
  <c r="E219" i="12"/>
  <c r="F219" i="12"/>
  <c r="G219" i="12"/>
  <c r="H219" i="12"/>
  <c r="I219" i="12"/>
  <c r="K219" i="12"/>
  <c r="K204" i="12"/>
  <c r="I204" i="12"/>
  <c r="H204" i="12"/>
  <c r="G204" i="12"/>
  <c r="F204" i="12"/>
  <c r="E204" i="12"/>
  <c r="D204" i="12"/>
  <c r="C204" i="12"/>
  <c r="B204" i="12"/>
  <c r="A204" i="12"/>
  <c r="K203" i="12"/>
  <c r="I203" i="12"/>
  <c r="H203" i="12"/>
  <c r="G203" i="12"/>
  <c r="F203" i="12"/>
  <c r="E203" i="12"/>
  <c r="D203" i="12"/>
  <c r="C203" i="12"/>
  <c r="B203" i="12"/>
  <c r="A203" i="12"/>
  <c r="K202" i="12"/>
  <c r="I202" i="12"/>
  <c r="H202" i="12"/>
  <c r="G202" i="12"/>
  <c r="F202" i="12"/>
  <c r="E202" i="12"/>
  <c r="D202" i="12"/>
  <c r="C202" i="12"/>
  <c r="B202" i="12"/>
  <c r="A202" i="12"/>
  <c r="K201" i="12"/>
  <c r="I201" i="12"/>
  <c r="H201" i="12"/>
  <c r="G201" i="12"/>
  <c r="F201" i="12"/>
  <c r="E201" i="12"/>
  <c r="D201" i="12"/>
  <c r="C201" i="12"/>
  <c r="B201" i="12"/>
  <c r="A201" i="12"/>
  <c r="K200" i="12"/>
  <c r="I200" i="12"/>
  <c r="H200" i="12"/>
  <c r="G200" i="12"/>
  <c r="F200" i="12"/>
  <c r="E200" i="12"/>
  <c r="D200" i="12"/>
  <c r="C200" i="12"/>
  <c r="B200" i="12"/>
  <c r="A200" i="12"/>
  <c r="K199" i="12"/>
  <c r="I199" i="12"/>
  <c r="H199" i="12"/>
  <c r="G199" i="12"/>
  <c r="F199" i="12"/>
  <c r="E199" i="12"/>
  <c r="D199" i="12"/>
  <c r="C199" i="12"/>
  <c r="B199" i="12"/>
  <c r="A199" i="12"/>
  <c r="K198" i="12"/>
  <c r="I198" i="12"/>
  <c r="H198" i="12"/>
  <c r="G198" i="12"/>
  <c r="F198" i="12"/>
  <c r="E198" i="12"/>
  <c r="D198" i="12"/>
  <c r="C198" i="12"/>
  <c r="B198" i="12"/>
  <c r="A198" i="12"/>
  <c r="K197" i="12"/>
  <c r="I197" i="12"/>
  <c r="H197" i="12"/>
  <c r="G197" i="12"/>
  <c r="F197" i="12"/>
  <c r="E197" i="12"/>
  <c r="D197" i="12"/>
  <c r="C197" i="12"/>
  <c r="B197" i="12"/>
  <c r="A197" i="12"/>
  <c r="K196" i="12"/>
  <c r="I196" i="12"/>
  <c r="H196" i="12"/>
  <c r="G196" i="12"/>
  <c r="F196" i="12"/>
  <c r="E196" i="12"/>
  <c r="D196" i="12"/>
  <c r="C196" i="12"/>
  <c r="B196" i="12"/>
  <c r="A196" i="12"/>
  <c r="K195" i="12"/>
  <c r="I195" i="12"/>
  <c r="H195" i="12"/>
  <c r="G195" i="12"/>
  <c r="F195" i="12"/>
  <c r="E195" i="12"/>
  <c r="D195" i="12"/>
  <c r="C195" i="12"/>
  <c r="B195" i="12"/>
  <c r="A195" i="12"/>
  <c r="K194" i="12"/>
  <c r="I194" i="12"/>
  <c r="H194" i="12"/>
  <c r="G194" i="12"/>
  <c r="F194" i="12"/>
  <c r="E194" i="12"/>
  <c r="D194" i="12"/>
  <c r="C194" i="12"/>
  <c r="B194" i="12"/>
  <c r="A194" i="12"/>
  <c r="K193" i="12"/>
  <c r="I193" i="12"/>
  <c r="H193" i="12"/>
  <c r="G193" i="12"/>
  <c r="F193" i="12"/>
  <c r="E193" i="12"/>
  <c r="D193" i="12"/>
  <c r="C193" i="12"/>
  <c r="B193" i="12"/>
  <c r="A193" i="12"/>
  <c r="K192" i="12"/>
  <c r="I192" i="12"/>
  <c r="H192" i="12"/>
  <c r="G192" i="12"/>
  <c r="F192" i="12"/>
  <c r="E192" i="12"/>
  <c r="D192" i="12"/>
  <c r="C192" i="12"/>
  <c r="B192" i="12"/>
  <c r="A192" i="12"/>
  <c r="K191" i="12"/>
  <c r="I191" i="12"/>
  <c r="H191" i="12"/>
  <c r="G191" i="12"/>
  <c r="F191" i="12"/>
  <c r="E191" i="12"/>
  <c r="D191" i="12"/>
  <c r="C191" i="12"/>
  <c r="B191" i="12"/>
  <c r="A191" i="12"/>
  <c r="K190" i="12"/>
  <c r="I190" i="12"/>
  <c r="H190" i="12"/>
  <c r="G190" i="12"/>
  <c r="F190" i="12"/>
  <c r="E190" i="12"/>
  <c r="D190" i="12"/>
  <c r="C190" i="12"/>
  <c r="B190" i="12"/>
  <c r="A190" i="12"/>
  <c r="K189" i="12"/>
  <c r="I189" i="12"/>
  <c r="H189" i="12"/>
  <c r="G189" i="12"/>
  <c r="F189" i="12"/>
  <c r="E189" i="12"/>
  <c r="D189" i="12"/>
  <c r="C189" i="12"/>
  <c r="B189" i="12"/>
  <c r="A189" i="12"/>
  <c r="K188" i="12"/>
  <c r="I188" i="12"/>
  <c r="H188" i="12"/>
  <c r="G188" i="12"/>
  <c r="F188" i="12"/>
  <c r="E188" i="12"/>
  <c r="D188" i="12"/>
  <c r="C188" i="12"/>
  <c r="B188" i="12"/>
  <c r="A188" i="12"/>
  <c r="K187" i="12"/>
  <c r="I187" i="12"/>
  <c r="H187" i="12"/>
  <c r="G187" i="12"/>
  <c r="F187" i="12"/>
  <c r="E187" i="12"/>
  <c r="D187" i="12"/>
  <c r="C187" i="12"/>
  <c r="B187" i="12"/>
  <c r="A187" i="12"/>
  <c r="K186" i="12"/>
  <c r="I186" i="12"/>
  <c r="H186" i="12"/>
  <c r="G186" i="12"/>
  <c r="F186" i="12"/>
  <c r="E186" i="12"/>
  <c r="D186" i="12"/>
  <c r="C186" i="12"/>
  <c r="B186" i="12"/>
  <c r="A186" i="12"/>
  <c r="K185" i="12"/>
  <c r="I185" i="12"/>
  <c r="H185" i="12"/>
  <c r="G185" i="12"/>
  <c r="F185" i="12"/>
  <c r="E185" i="12"/>
  <c r="D185" i="12"/>
  <c r="C185" i="12"/>
  <c r="B185" i="12"/>
  <c r="A185" i="12"/>
  <c r="K184" i="12"/>
  <c r="I184" i="12"/>
  <c r="H184" i="12"/>
  <c r="G184" i="12"/>
  <c r="F184" i="12"/>
  <c r="E184" i="12"/>
  <c r="D184" i="12"/>
  <c r="C184" i="12"/>
  <c r="B184" i="12"/>
  <c r="A184" i="12"/>
  <c r="K183" i="12"/>
  <c r="I183" i="12"/>
  <c r="H183" i="12"/>
  <c r="G183" i="12"/>
  <c r="F183" i="12"/>
  <c r="E183" i="12"/>
  <c r="D183" i="12"/>
  <c r="C183" i="12"/>
  <c r="B183" i="12"/>
  <c r="A183" i="12"/>
  <c r="K182" i="12"/>
  <c r="I182" i="12"/>
  <c r="H182" i="12"/>
  <c r="G182" i="12"/>
  <c r="F182" i="12"/>
  <c r="E182" i="12"/>
  <c r="D182" i="12"/>
  <c r="C182" i="12"/>
  <c r="B182" i="12"/>
  <c r="A182" i="12"/>
  <c r="K181" i="12"/>
  <c r="I181" i="12"/>
  <c r="H181" i="12"/>
  <c r="G181" i="12"/>
  <c r="F181" i="12"/>
  <c r="E181" i="12"/>
  <c r="D181" i="12"/>
  <c r="C181" i="12"/>
  <c r="B181" i="12"/>
  <c r="A181" i="12"/>
  <c r="K180" i="12"/>
  <c r="I180" i="12"/>
  <c r="H180" i="12"/>
  <c r="G180" i="12"/>
  <c r="F180" i="12"/>
  <c r="E180" i="12"/>
  <c r="D180" i="12"/>
  <c r="C180" i="12"/>
  <c r="B180" i="12"/>
  <c r="A180" i="12"/>
  <c r="K179" i="12"/>
  <c r="I179" i="12"/>
  <c r="H179" i="12"/>
  <c r="G179" i="12"/>
  <c r="F179" i="12"/>
  <c r="E179" i="12"/>
  <c r="D179" i="12"/>
  <c r="C179" i="12"/>
  <c r="B179" i="12"/>
  <c r="A179" i="12"/>
  <c r="K178" i="12"/>
  <c r="I178" i="12"/>
  <c r="H178" i="12"/>
  <c r="G178" i="12"/>
  <c r="F178" i="12"/>
  <c r="E178" i="12"/>
  <c r="D178" i="12"/>
  <c r="C178" i="12"/>
  <c r="B178" i="12"/>
  <c r="A178" i="12"/>
  <c r="K177" i="12"/>
  <c r="I177" i="12"/>
  <c r="H177" i="12"/>
  <c r="G177" i="12"/>
  <c r="F177" i="12"/>
  <c r="E177" i="12"/>
  <c r="D177" i="12"/>
  <c r="C177" i="12"/>
  <c r="B177" i="12"/>
  <c r="A177" i="12"/>
  <c r="K176" i="12"/>
  <c r="J176" i="12"/>
  <c r="I176" i="12"/>
  <c r="H176" i="12"/>
  <c r="G176" i="12"/>
  <c r="F176" i="12"/>
  <c r="E176" i="12"/>
  <c r="D176" i="12"/>
  <c r="C176" i="12"/>
  <c r="B176" i="12"/>
  <c r="A176" i="12"/>
  <c r="K175" i="12"/>
  <c r="I175" i="12"/>
  <c r="H175" i="12"/>
  <c r="G175" i="12"/>
  <c r="F175" i="12"/>
  <c r="E175" i="12"/>
  <c r="D175" i="12"/>
  <c r="C175" i="12"/>
  <c r="B175" i="12"/>
  <c r="A175" i="12"/>
  <c r="K174" i="12"/>
  <c r="I174" i="12"/>
  <c r="H174" i="12"/>
  <c r="G174" i="12"/>
  <c r="F174" i="12"/>
  <c r="E174" i="12"/>
  <c r="D174" i="12"/>
  <c r="C174" i="12"/>
  <c r="B174" i="12"/>
  <c r="A174" i="12"/>
  <c r="K173" i="12"/>
  <c r="I173" i="12"/>
  <c r="H173" i="12"/>
  <c r="G173" i="12"/>
  <c r="F173" i="12"/>
  <c r="E173" i="12"/>
  <c r="D173" i="12"/>
  <c r="C173" i="12"/>
  <c r="B173" i="12"/>
  <c r="A173" i="12"/>
  <c r="K172" i="12"/>
  <c r="I172" i="12"/>
  <c r="H172" i="12"/>
  <c r="G172" i="12"/>
  <c r="F172" i="12"/>
  <c r="E172" i="12"/>
  <c r="D172" i="12"/>
  <c r="C172" i="12"/>
  <c r="B172" i="12"/>
  <c r="A172" i="12"/>
  <c r="K171" i="12"/>
  <c r="I171" i="12"/>
  <c r="H171" i="12"/>
  <c r="G171" i="12"/>
  <c r="F171" i="12"/>
  <c r="E171" i="12"/>
  <c r="D171" i="12"/>
  <c r="C171" i="12"/>
  <c r="B171" i="12"/>
  <c r="A171" i="12"/>
  <c r="K170" i="12"/>
  <c r="I170" i="12"/>
  <c r="H170" i="12"/>
  <c r="G170" i="12"/>
  <c r="F170" i="12"/>
  <c r="E170" i="12"/>
  <c r="D170" i="12"/>
  <c r="C170" i="12"/>
  <c r="B170" i="12"/>
  <c r="A170" i="12"/>
  <c r="K169" i="12"/>
  <c r="I169" i="12"/>
  <c r="H169" i="12"/>
  <c r="G169" i="12"/>
  <c r="F169" i="12"/>
  <c r="E169" i="12"/>
  <c r="D169" i="12"/>
  <c r="C169" i="12"/>
  <c r="B169" i="12"/>
  <c r="A169" i="12"/>
  <c r="K168" i="12"/>
  <c r="I168" i="12"/>
  <c r="H168" i="12"/>
  <c r="G168" i="12"/>
  <c r="F168" i="12"/>
  <c r="E168" i="12"/>
  <c r="D168" i="12"/>
  <c r="C168" i="12"/>
  <c r="B168" i="12"/>
  <c r="A168" i="12"/>
  <c r="K167" i="12"/>
  <c r="I167" i="12"/>
  <c r="H167" i="12"/>
  <c r="G167" i="12"/>
  <c r="F167" i="12"/>
  <c r="E167" i="12"/>
  <c r="D167" i="12"/>
  <c r="C167" i="12"/>
  <c r="B167" i="12"/>
  <c r="A167" i="12"/>
  <c r="K166" i="12"/>
  <c r="I166" i="12"/>
  <c r="H166" i="12"/>
  <c r="G166" i="12"/>
  <c r="F166" i="12"/>
  <c r="E166" i="12"/>
  <c r="D166" i="12"/>
  <c r="C166" i="12"/>
  <c r="B166" i="12"/>
  <c r="A166" i="12"/>
  <c r="K165" i="12"/>
  <c r="I165" i="12"/>
  <c r="H165" i="12"/>
  <c r="G165" i="12"/>
  <c r="F165" i="12"/>
  <c r="E165" i="12"/>
  <c r="D165" i="12"/>
  <c r="C165" i="12"/>
  <c r="B165" i="12"/>
  <c r="A165" i="12"/>
  <c r="K164" i="12"/>
  <c r="I164" i="12"/>
  <c r="H164" i="12"/>
  <c r="G164" i="12"/>
  <c r="F164" i="12"/>
  <c r="E164" i="12"/>
  <c r="D164" i="12"/>
  <c r="C164" i="12"/>
  <c r="B164" i="12"/>
  <c r="A164" i="12"/>
  <c r="K163" i="12"/>
  <c r="I163" i="12"/>
  <c r="H163" i="12"/>
  <c r="G163" i="12"/>
  <c r="F163" i="12"/>
  <c r="E163" i="12"/>
  <c r="D163" i="12"/>
  <c r="C163" i="12"/>
  <c r="B163" i="12"/>
  <c r="A163" i="12"/>
  <c r="K162" i="12"/>
  <c r="I162" i="12"/>
  <c r="H162" i="12"/>
  <c r="G162" i="12"/>
  <c r="F162" i="12"/>
  <c r="E162" i="12"/>
  <c r="D162" i="12"/>
  <c r="C162" i="12"/>
  <c r="B162" i="12"/>
  <c r="A162" i="12"/>
  <c r="K161" i="12"/>
  <c r="I161" i="12"/>
  <c r="H161" i="12"/>
  <c r="G161" i="12"/>
  <c r="F161" i="12"/>
  <c r="E161" i="12"/>
  <c r="D161" i="12"/>
  <c r="C161" i="12"/>
  <c r="B161" i="12"/>
  <c r="A161" i="12"/>
  <c r="K159" i="12"/>
  <c r="I159" i="12"/>
  <c r="H159" i="12"/>
  <c r="F159" i="12"/>
  <c r="E159" i="12"/>
  <c r="D159" i="12"/>
  <c r="C159" i="12"/>
  <c r="B159" i="12"/>
  <c r="A159" i="12"/>
  <c r="K158" i="12"/>
  <c r="I158" i="12"/>
  <c r="H158" i="12"/>
  <c r="G158" i="12"/>
  <c r="F158" i="12"/>
  <c r="E158" i="12"/>
  <c r="D158" i="12"/>
  <c r="C158" i="12"/>
  <c r="B158" i="12"/>
  <c r="A158" i="12"/>
  <c r="K157" i="12"/>
  <c r="I157" i="12"/>
  <c r="H157" i="12"/>
  <c r="G157" i="12"/>
  <c r="F157" i="12"/>
  <c r="E157" i="12"/>
  <c r="D157" i="12"/>
  <c r="C157" i="12"/>
  <c r="B157" i="12"/>
  <c r="A157" i="12"/>
  <c r="K156" i="12"/>
  <c r="I156" i="12"/>
  <c r="H156" i="12"/>
  <c r="G156" i="12"/>
  <c r="F156" i="12"/>
  <c r="E156" i="12"/>
  <c r="D156" i="12"/>
  <c r="C156" i="12"/>
  <c r="B156" i="12"/>
  <c r="A156" i="12"/>
  <c r="K155" i="12"/>
  <c r="I155" i="12"/>
  <c r="H155" i="12"/>
  <c r="G155" i="12"/>
  <c r="F155" i="12"/>
  <c r="E155" i="12"/>
  <c r="D155" i="12"/>
  <c r="C155" i="12"/>
  <c r="B155" i="12"/>
  <c r="A155" i="12"/>
  <c r="K154" i="12"/>
  <c r="I154" i="12"/>
  <c r="H154" i="12"/>
  <c r="G154" i="12"/>
  <c r="F154" i="12"/>
  <c r="E154" i="12"/>
  <c r="D154" i="12"/>
  <c r="C154" i="12"/>
  <c r="B154" i="12"/>
  <c r="A154" i="12"/>
  <c r="K153" i="12"/>
  <c r="I153" i="12"/>
  <c r="H153" i="12"/>
  <c r="G153" i="12"/>
  <c r="F153" i="12"/>
  <c r="E153" i="12"/>
  <c r="D153" i="12"/>
  <c r="C153" i="12"/>
  <c r="B153" i="12"/>
  <c r="A153" i="12"/>
  <c r="K152" i="12"/>
  <c r="I152" i="12"/>
  <c r="H152" i="12"/>
  <c r="G152" i="12"/>
  <c r="F152" i="12"/>
  <c r="E152" i="12"/>
  <c r="D152" i="12"/>
  <c r="C152" i="12"/>
  <c r="B152" i="12"/>
  <c r="A152" i="12"/>
  <c r="K151" i="12"/>
  <c r="I151" i="12"/>
  <c r="H151" i="12"/>
  <c r="G151" i="12"/>
  <c r="F151" i="12"/>
  <c r="E151" i="12"/>
  <c r="D151" i="12"/>
  <c r="C151" i="12"/>
  <c r="B151" i="12"/>
  <c r="A151" i="12"/>
  <c r="K150" i="12"/>
  <c r="I150" i="12"/>
  <c r="H150" i="12"/>
  <c r="G150" i="12"/>
  <c r="F150" i="12"/>
  <c r="E150" i="12"/>
  <c r="D150" i="12"/>
  <c r="C150" i="12"/>
  <c r="B150" i="12"/>
  <c r="A150" i="12"/>
  <c r="K149" i="12"/>
  <c r="I149" i="12"/>
  <c r="H149" i="12"/>
  <c r="G149" i="12"/>
  <c r="F149" i="12"/>
  <c r="E149" i="12"/>
  <c r="D149" i="12"/>
  <c r="C149" i="12"/>
  <c r="B149" i="12"/>
  <c r="A149" i="12"/>
  <c r="K148" i="12"/>
  <c r="I148" i="12"/>
  <c r="H148" i="12"/>
  <c r="G148" i="12"/>
  <c r="F148" i="12"/>
  <c r="E148" i="12"/>
  <c r="D148" i="12"/>
  <c r="C148" i="12"/>
  <c r="B148" i="12"/>
  <c r="A148" i="12"/>
  <c r="K147" i="12"/>
  <c r="I147" i="12"/>
  <c r="H147" i="12"/>
  <c r="G147" i="12"/>
  <c r="F147" i="12"/>
  <c r="E147" i="12"/>
  <c r="D147" i="12"/>
  <c r="C147" i="12"/>
  <c r="B147" i="12"/>
  <c r="A147" i="12"/>
  <c r="K146" i="12"/>
  <c r="I146" i="12"/>
  <c r="H146" i="12"/>
  <c r="G146" i="12"/>
  <c r="F146" i="12"/>
  <c r="E146" i="12"/>
  <c r="D146" i="12"/>
  <c r="C146" i="12"/>
  <c r="B146" i="12"/>
  <c r="A146" i="12"/>
  <c r="K145" i="12"/>
  <c r="I145" i="12"/>
  <c r="H145" i="12"/>
  <c r="G145" i="12"/>
  <c r="F145" i="12"/>
  <c r="E145" i="12"/>
  <c r="D145" i="12"/>
  <c r="C145" i="12"/>
  <c r="B145" i="12"/>
  <c r="A145" i="12"/>
  <c r="K144" i="12"/>
  <c r="I144" i="12"/>
  <c r="H144" i="12"/>
  <c r="G144" i="12"/>
  <c r="F144" i="12"/>
  <c r="E144" i="12"/>
  <c r="D144" i="12"/>
  <c r="C144" i="12"/>
  <c r="B144" i="12"/>
  <c r="A144" i="12"/>
  <c r="K143" i="12"/>
  <c r="I143" i="12"/>
  <c r="H143" i="12"/>
  <c r="G143" i="12"/>
  <c r="F143" i="12"/>
  <c r="E143" i="12"/>
  <c r="D143" i="12"/>
  <c r="C143" i="12"/>
  <c r="B143" i="12"/>
  <c r="A143" i="12"/>
  <c r="K142" i="12"/>
  <c r="I142" i="12"/>
  <c r="H142" i="12"/>
  <c r="G142" i="12"/>
  <c r="F142" i="12"/>
  <c r="E142" i="12"/>
  <c r="D142" i="12"/>
  <c r="C142" i="12"/>
  <c r="B142" i="12"/>
  <c r="A142" i="12"/>
  <c r="K141" i="12"/>
  <c r="I141" i="12"/>
  <c r="H141" i="12"/>
  <c r="F141" i="12"/>
  <c r="E141" i="12"/>
  <c r="D141" i="12"/>
  <c r="C141" i="12"/>
  <c r="B141" i="12"/>
  <c r="A141" i="12"/>
  <c r="K140" i="12"/>
  <c r="I140" i="12"/>
  <c r="H140" i="12"/>
  <c r="G140" i="12"/>
  <c r="F140" i="12"/>
  <c r="E140" i="12"/>
  <c r="D140" i="12"/>
  <c r="C140" i="12"/>
  <c r="B140" i="12"/>
  <c r="A140" i="12"/>
  <c r="K139" i="12"/>
  <c r="I139" i="12"/>
  <c r="H139" i="12"/>
  <c r="F139" i="12"/>
  <c r="E139" i="12"/>
  <c r="D139" i="12"/>
  <c r="C139" i="12"/>
  <c r="B139" i="12"/>
  <c r="A139" i="12"/>
  <c r="K138" i="12"/>
  <c r="I138" i="12"/>
  <c r="H138" i="12"/>
  <c r="F138" i="12"/>
  <c r="E138" i="12"/>
  <c r="D138" i="12"/>
  <c r="C138" i="12"/>
  <c r="B138" i="12"/>
  <c r="A138" i="12"/>
  <c r="K137" i="12"/>
  <c r="I137" i="12"/>
  <c r="H137" i="12"/>
  <c r="F137" i="12"/>
  <c r="E137" i="12"/>
  <c r="D137" i="12"/>
  <c r="C137" i="12"/>
  <c r="B137" i="12"/>
  <c r="A137" i="12"/>
  <c r="K136" i="12"/>
  <c r="I136" i="12"/>
  <c r="H136" i="12"/>
  <c r="F136" i="12"/>
  <c r="E136" i="12"/>
  <c r="D136" i="12"/>
  <c r="C136" i="12"/>
  <c r="B136" i="12"/>
  <c r="A136" i="12"/>
  <c r="K135" i="12"/>
  <c r="I135" i="12"/>
  <c r="H135" i="12"/>
  <c r="F135" i="12"/>
  <c r="E135" i="12"/>
  <c r="D135" i="12"/>
  <c r="C135" i="12"/>
  <c r="B135" i="12"/>
  <c r="A135" i="12"/>
  <c r="K134" i="12"/>
  <c r="I134" i="12"/>
  <c r="H134" i="12"/>
  <c r="G134" i="12"/>
  <c r="F134" i="12"/>
  <c r="E134" i="12"/>
  <c r="D134" i="12"/>
  <c r="C134" i="12"/>
  <c r="B134" i="12"/>
  <c r="A134" i="12"/>
  <c r="K133" i="12"/>
  <c r="I133" i="12"/>
  <c r="H133" i="12"/>
  <c r="G133" i="12"/>
  <c r="F133" i="12"/>
  <c r="E133" i="12"/>
  <c r="D133" i="12"/>
  <c r="C133" i="12"/>
  <c r="B133" i="12"/>
  <c r="A133" i="12"/>
  <c r="K132" i="12"/>
  <c r="I132" i="12"/>
  <c r="H132" i="12"/>
  <c r="G132" i="12"/>
  <c r="F132" i="12"/>
  <c r="E132" i="12"/>
  <c r="D132" i="12"/>
  <c r="C132" i="12"/>
  <c r="B132" i="12"/>
  <c r="A132" i="12"/>
  <c r="K131" i="12"/>
  <c r="I131" i="12"/>
  <c r="H131" i="12"/>
  <c r="G131" i="12"/>
  <c r="F131" i="12"/>
  <c r="E131" i="12"/>
  <c r="D131" i="12"/>
  <c r="C131" i="12"/>
  <c r="B131" i="12"/>
  <c r="A131" i="12"/>
  <c r="K130" i="12"/>
  <c r="I130" i="12"/>
  <c r="H130" i="12"/>
  <c r="G130" i="12"/>
  <c r="F130" i="12"/>
  <c r="E130" i="12"/>
  <c r="D130" i="12"/>
  <c r="C130" i="12"/>
  <c r="B130" i="12"/>
  <c r="A130" i="12"/>
  <c r="K129" i="12"/>
  <c r="I129" i="12"/>
  <c r="H129" i="12"/>
  <c r="G129" i="12"/>
  <c r="F129" i="12"/>
  <c r="E129" i="12"/>
  <c r="D129" i="12"/>
  <c r="C129" i="12"/>
  <c r="B129" i="12"/>
  <c r="A129" i="12"/>
  <c r="K128" i="12"/>
  <c r="I128" i="12"/>
  <c r="H128" i="12"/>
  <c r="G128" i="12"/>
  <c r="F128" i="12"/>
  <c r="E128" i="12"/>
  <c r="D128" i="12"/>
  <c r="C128" i="12"/>
  <c r="B128" i="12"/>
  <c r="A128" i="12"/>
  <c r="K127" i="12"/>
  <c r="I127" i="12"/>
  <c r="H127" i="12"/>
  <c r="G127" i="12"/>
  <c r="F127" i="12"/>
  <c r="E127" i="12"/>
  <c r="D127" i="12"/>
  <c r="C127" i="12"/>
  <c r="B127" i="12"/>
  <c r="A127" i="12"/>
  <c r="K126" i="12"/>
  <c r="I126" i="12"/>
  <c r="H126" i="12"/>
  <c r="F126" i="12"/>
  <c r="E126" i="12"/>
  <c r="D126" i="12"/>
  <c r="C126" i="12"/>
  <c r="B126" i="12"/>
  <c r="A126" i="12"/>
  <c r="K125" i="12"/>
  <c r="I125" i="12"/>
  <c r="H125" i="12"/>
  <c r="G125" i="12"/>
  <c r="F125" i="12"/>
  <c r="E125" i="12"/>
  <c r="D125" i="12"/>
  <c r="C125" i="12"/>
  <c r="B125" i="12"/>
  <c r="A125" i="12"/>
  <c r="K124" i="12"/>
  <c r="I124" i="12"/>
  <c r="H124" i="12"/>
  <c r="F124" i="12"/>
  <c r="E124" i="12"/>
  <c r="D124" i="12"/>
  <c r="C124" i="12"/>
  <c r="B124" i="12"/>
  <c r="A124" i="12"/>
  <c r="K123" i="12"/>
  <c r="I123" i="12"/>
  <c r="H123" i="12"/>
  <c r="G123" i="12"/>
  <c r="F123" i="12"/>
  <c r="E123" i="12"/>
  <c r="D123" i="12"/>
  <c r="C123" i="12"/>
  <c r="B123" i="12"/>
  <c r="A123" i="12"/>
  <c r="K122" i="12"/>
  <c r="J122" i="12"/>
  <c r="I122" i="12"/>
  <c r="H122" i="12"/>
  <c r="G122" i="12"/>
  <c r="F122" i="12"/>
  <c r="E122" i="12"/>
  <c r="D122" i="12"/>
  <c r="C122" i="12"/>
  <c r="B122" i="12"/>
  <c r="A122" i="12"/>
  <c r="K121" i="12"/>
  <c r="I121" i="12"/>
  <c r="H121" i="12"/>
  <c r="G121" i="12"/>
  <c r="F121" i="12"/>
  <c r="E121" i="12"/>
  <c r="D121" i="12"/>
  <c r="C121" i="12"/>
  <c r="B121" i="12"/>
  <c r="A121" i="12"/>
  <c r="K120" i="12"/>
  <c r="I120" i="12"/>
  <c r="H120" i="12"/>
  <c r="G120" i="12"/>
  <c r="F120" i="12"/>
  <c r="E120" i="12"/>
  <c r="D120" i="12"/>
  <c r="C120" i="12"/>
  <c r="B120" i="12"/>
  <c r="A120" i="12"/>
  <c r="K119" i="12"/>
  <c r="I119" i="12"/>
  <c r="H119" i="12"/>
  <c r="G119" i="12"/>
  <c r="F119" i="12"/>
  <c r="E119" i="12"/>
  <c r="D119" i="12"/>
  <c r="C119" i="12"/>
  <c r="B119" i="12"/>
  <c r="A119" i="12"/>
  <c r="K118" i="12"/>
  <c r="I118" i="12"/>
  <c r="H118" i="12"/>
  <c r="G118" i="12"/>
  <c r="F118" i="12"/>
  <c r="E118" i="12"/>
  <c r="D118" i="12"/>
  <c r="C118" i="12"/>
  <c r="B118" i="12"/>
  <c r="A118" i="12"/>
  <c r="K117" i="12"/>
  <c r="I117" i="12"/>
  <c r="H117" i="12"/>
  <c r="G117" i="12"/>
  <c r="F117" i="12"/>
  <c r="E117" i="12"/>
  <c r="D117" i="12"/>
  <c r="C117" i="12"/>
  <c r="B117" i="12"/>
  <c r="A117" i="12"/>
  <c r="K116" i="12"/>
  <c r="I116" i="12"/>
  <c r="H116" i="12"/>
  <c r="G116" i="12"/>
  <c r="F116" i="12"/>
  <c r="E116" i="12"/>
  <c r="D116" i="12"/>
  <c r="C116" i="12"/>
  <c r="B116" i="12"/>
  <c r="A116" i="12"/>
  <c r="K115" i="12"/>
  <c r="I115" i="12"/>
  <c r="H115" i="12"/>
  <c r="G115" i="12"/>
  <c r="F115" i="12"/>
  <c r="E115" i="12"/>
  <c r="D115" i="12"/>
  <c r="C115" i="12"/>
  <c r="B115" i="12"/>
  <c r="A115" i="12"/>
  <c r="K114" i="12"/>
  <c r="I114" i="12"/>
  <c r="H114" i="12"/>
  <c r="G114" i="12"/>
  <c r="F114" i="12"/>
  <c r="E114" i="12"/>
  <c r="D114" i="12"/>
  <c r="C114" i="12"/>
  <c r="B114" i="12"/>
  <c r="A114" i="12"/>
  <c r="K113" i="12"/>
  <c r="I113" i="12"/>
  <c r="H113" i="12"/>
  <c r="G113" i="12"/>
  <c r="F113" i="12"/>
  <c r="E113" i="12"/>
  <c r="D113" i="12"/>
  <c r="C113" i="12"/>
  <c r="B113" i="12"/>
  <c r="A113" i="12"/>
  <c r="K112" i="12"/>
  <c r="I112" i="12"/>
  <c r="H112" i="12"/>
  <c r="G112" i="12"/>
  <c r="F112" i="12"/>
  <c r="E112" i="12"/>
  <c r="D112" i="12"/>
  <c r="C112" i="12"/>
  <c r="B112" i="12"/>
  <c r="A112" i="12"/>
  <c r="K111" i="12"/>
  <c r="I111" i="12"/>
  <c r="H111" i="12"/>
  <c r="G111" i="12"/>
  <c r="F111" i="12"/>
  <c r="E111" i="12"/>
  <c r="D111" i="12"/>
  <c r="C111" i="12"/>
  <c r="B111" i="12"/>
  <c r="A111" i="12"/>
  <c r="K110" i="12"/>
  <c r="I110" i="12"/>
  <c r="H110" i="12"/>
  <c r="G110" i="12"/>
  <c r="F110" i="12"/>
  <c r="E110" i="12"/>
  <c r="D110" i="12"/>
  <c r="C110" i="12"/>
  <c r="B110" i="12"/>
  <c r="A110" i="12"/>
  <c r="K109" i="12"/>
  <c r="I109" i="12"/>
  <c r="H109" i="12"/>
  <c r="G109" i="12"/>
  <c r="F109" i="12"/>
  <c r="E109" i="12"/>
  <c r="D109" i="12"/>
  <c r="C109" i="12"/>
  <c r="B109" i="12"/>
  <c r="A109" i="12"/>
  <c r="K108" i="12"/>
  <c r="I108" i="12"/>
  <c r="H108" i="12"/>
  <c r="G108" i="12"/>
  <c r="F108" i="12"/>
  <c r="E108" i="12"/>
  <c r="D108" i="12"/>
  <c r="C108" i="12"/>
  <c r="B108" i="12"/>
  <c r="A108" i="12"/>
  <c r="K107" i="12"/>
  <c r="I107" i="12"/>
  <c r="H107" i="12"/>
  <c r="G107" i="12"/>
  <c r="F107" i="12"/>
  <c r="E107" i="12"/>
  <c r="D107" i="12"/>
  <c r="C107" i="12"/>
  <c r="B107" i="12"/>
  <c r="A107" i="12"/>
  <c r="K106" i="12"/>
  <c r="I106" i="12"/>
  <c r="H106" i="12"/>
  <c r="G106" i="12"/>
  <c r="F106" i="12"/>
  <c r="E106" i="12"/>
  <c r="D106" i="12"/>
  <c r="C106" i="12"/>
  <c r="B106" i="12"/>
  <c r="A106" i="12"/>
  <c r="K105" i="12"/>
  <c r="I105" i="12"/>
  <c r="H105" i="12"/>
  <c r="G105" i="12"/>
  <c r="F105" i="12"/>
  <c r="E105" i="12"/>
  <c r="D105" i="12"/>
  <c r="C105" i="12"/>
  <c r="B105" i="12"/>
  <c r="A105" i="12"/>
  <c r="K104" i="12"/>
  <c r="J104" i="12"/>
  <c r="I104" i="12"/>
  <c r="H104" i="12"/>
  <c r="G104" i="12"/>
  <c r="F104" i="12"/>
  <c r="E104" i="12"/>
  <c r="D104" i="12"/>
  <c r="C104" i="12"/>
  <c r="B104" i="12"/>
  <c r="A104" i="12"/>
  <c r="K103" i="12"/>
  <c r="I103" i="12"/>
  <c r="H103" i="12"/>
  <c r="G103" i="12"/>
  <c r="F103" i="12"/>
  <c r="E103" i="12"/>
  <c r="D103" i="12"/>
  <c r="C103" i="12"/>
  <c r="B103" i="12"/>
  <c r="A103" i="12"/>
  <c r="K102" i="12"/>
  <c r="I102" i="12"/>
  <c r="H102" i="12"/>
  <c r="G102" i="12"/>
  <c r="F102" i="12"/>
  <c r="E102" i="12"/>
  <c r="D102" i="12"/>
  <c r="C102" i="12"/>
  <c r="B102" i="12"/>
  <c r="A102" i="12"/>
  <c r="K101" i="12"/>
  <c r="I101" i="12"/>
  <c r="H101" i="12"/>
  <c r="G101" i="12"/>
  <c r="F101" i="12"/>
  <c r="E101" i="12"/>
  <c r="D101" i="12"/>
  <c r="C101" i="12"/>
  <c r="B101" i="12"/>
  <c r="A101" i="12"/>
  <c r="K100" i="12"/>
  <c r="I100" i="12"/>
  <c r="H100" i="12"/>
  <c r="G100" i="12"/>
  <c r="F100" i="12"/>
  <c r="E100" i="12"/>
  <c r="D100" i="12"/>
  <c r="C100" i="12"/>
  <c r="B100" i="12"/>
  <c r="A100" i="12"/>
  <c r="K99" i="12"/>
  <c r="J99" i="12"/>
  <c r="I99" i="12"/>
  <c r="H99" i="12"/>
  <c r="G99" i="12"/>
  <c r="F99" i="12"/>
  <c r="E99" i="12"/>
  <c r="D99" i="12"/>
  <c r="C99" i="12"/>
  <c r="B99" i="12"/>
  <c r="A99" i="12"/>
  <c r="K98" i="12"/>
  <c r="J98" i="12"/>
  <c r="I98" i="12"/>
  <c r="H98" i="12"/>
  <c r="G98" i="12"/>
  <c r="F98" i="12"/>
  <c r="E98" i="12"/>
  <c r="D98" i="12"/>
  <c r="C98" i="12"/>
  <c r="B98" i="12"/>
  <c r="A98" i="12"/>
  <c r="K97" i="12"/>
  <c r="I97" i="12"/>
  <c r="H97" i="12"/>
  <c r="G97" i="12"/>
  <c r="F97" i="12"/>
  <c r="E97" i="12"/>
  <c r="D97" i="12"/>
  <c r="C97" i="12"/>
  <c r="B97" i="12"/>
  <c r="A97" i="12"/>
  <c r="K96" i="12"/>
  <c r="I96" i="12"/>
  <c r="H96" i="12"/>
  <c r="G96" i="12"/>
  <c r="F96" i="12"/>
  <c r="E96" i="12"/>
  <c r="D96" i="12"/>
  <c r="C96" i="12"/>
  <c r="B96" i="12"/>
  <c r="A96" i="12"/>
  <c r="K95" i="12"/>
  <c r="I95" i="12"/>
  <c r="H95" i="12"/>
  <c r="G95" i="12"/>
  <c r="F95" i="12"/>
  <c r="E95" i="12"/>
  <c r="D95" i="12"/>
  <c r="C95" i="12"/>
  <c r="B95" i="12"/>
  <c r="A95" i="12"/>
  <c r="K94" i="12"/>
  <c r="I94" i="12"/>
  <c r="H94" i="12"/>
  <c r="G94" i="12"/>
  <c r="F94" i="12"/>
  <c r="E94" i="12"/>
  <c r="D94" i="12"/>
  <c r="C94" i="12"/>
  <c r="B94" i="12"/>
  <c r="A94" i="12"/>
  <c r="K93" i="12"/>
  <c r="I93" i="12"/>
  <c r="H93" i="12"/>
  <c r="G93" i="12"/>
  <c r="F93" i="12"/>
  <c r="E93" i="12"/>
  <c r="D93" i="12"/>
  <c r="C93" i="12"/>
  <c r="B93" i="12"/>
  <c r="A93" i="12"/>
  <c r="K92" i="12"/>
  <c r="I92" i="12"/>
  <c r="H92" i="12"/>
  <c r="G92" i="12"/>
  <c r="F92" i="12"/>
  <c r="E92" i="12"/>
  <c r="D92" i="12"/>
  <c r="C92" i="12"/>
  <c r="B92" i="12"/>
  <c r="A92" i="12"/>
  <c r="K91" i="12"/>
  <c r="I91" i="12"/>
  <c r="H91" i="12"/>
  <c r="G91" i="12"/>
  <c r="F91" i="12"/>
  <c r="E91" i="12"/>
  <c r="D91" i="12"/>
  <c r="C91" i="12"/>
  <c r="B91" i="12"/>
  <c r="A91" i="12"/>
  <c r="K90" i="12"/>
  <c r="I90" i="12"/>
  <c r="H90" i="12"/>
  <c r="G90" i="12"/>
  <c r="F90" i="12"/>
  <c r="E90" i="12"/>
  <c r="D90" i="12"/>
  <c r="C90" i="12"/>
  <c r="B90" i="12"/>
  <c r="A90" i="12"/>
  <c r="K89" i="12"/>
  <c r="I89" i="12"/>
  <c r="H89" i="12"/>
  <c r="G89" i="12"/>
  <c r="F89" i="12"/>
  <c r="E89" i="12"/>
  <c r="D89" i="12"/>
  <c r="C89" i="12"/>
  <c r="B89" i="12"/>
  <c r="A89" i="12"/>
  <c r="K88" i="12"/>
  <c r="I88" i="12"/>
  <c r="H88" i="12"/>
  <c r="G88" i="12"/>
  <c r="F88" i="12"/>
  <c r="E88" i="12"/>
  <c r="D88" i="12"/>
  <c r="C88" i="12"/>
  <c r="B88" i="12"/>
  <c r="A88" i="12"/>
  <c r="K87" i="12"/>
  <c r="I87" i="12"/>
  <c r="H87" i="12"/>
  <c r="G87" i="12"/>
  <c r="F87" i="12"/>
  <c r="E87" i="12"/>
  <c r="D87" i="12"/>
  <c r="C87" i="12"/>
  <c r="B87" i="12"/>
  <c r="A87" i="12"/>
  <c r="K86" i="12"/>
  <c r="I86" i="12"/>
  <c r="H86" i="12"/>
  <c r="G86" i="12"/>
  <c r="F86" i="12"/>
  <c r="E86" i="12"/>
  <c r="D86" i="12"/>
  <c r="C86" i="12"/>
  <c r="B86" i="12"/>
  <c r="A86" i="12"/>
  <c r="K85" i="12"/>
  <c r="I85" i="12"/>
  <c r="H85" i="12"/>
  <c r="G85" i="12"/>
  <c r="F85" i="12"/>
  <c r="E85" i="12"/>
  <c r="D85" i="12"/>
  <c r="C85" i="12"/>
  <c r="B85" i="12"/>
  <c r="A85" i="12"/>
  <c r="K84" i="12"/>
  <c r="I84" i="12"/>
  <c r="H84" i="12"/>
  <c r="G84" i="12"/>
  <c r="F84" i="12"/>
  <c r="E84" i="12"/>
  <c r="D84" i="12"/>
  <c r="C84" i="12"/>
  <c r="B84" i="12"/>
  <c r="A84" i="12"/>
  <c r="K83" i="12"/>
  <c r="I83" i="12"/>
  <c r="H83" i="12"/>
  <c r="G83" i="12"/>
  <c r="F83" i="12"/>
  <c r="E83" i="12"/>
  <c r="D83" i="12"/>
  <c r="C83" i="12"/>
  <c r="B83" i="12"/>
  <c r="A83" i="12"/>
  <c r="K82" i="12"/>
  <c r="I82" i="12"/>
  <c r="H82" i="12"/>
  <c r="G82" i="12"/>
  <c r="F82" i="12"/>
  <c r="E82" i="12"/>
  <c r="D82" i="12"/>
  <c r="C82" i="12"/>
  <c r="B82" i="12"/>
  <c r="A82" i="12"/>
  <c r="K81" i="12"/>
  <c r="I81" i="12"/>
  <c r="H81" i="12"/>
  <c r="G81" i="12"/>
  <c r="F81" i="12"/>
  <c r="E81" i="12"/>
  <c r="D81" i="12"/>
  <c r="C81" i="12"/>
  <c r="B81" i="12"/>
  <c r="A81" i="12"/>
  <c r="K80" i="12"/>
  <c r="I80" i="12"/>
  <c r="H80" i="12"/>
  <c r="G80" i="12"/>
  <c r="F80" i="12"/>
  <c r="E80" i="12"/>
  <c r="D80" i="12"/>
  <c r="C80" i="12"/>
  <c r="B80" i="12"/>
  <c r="A80" i="12"/>
  <c r="K79" i="12"/>
  <c r="I79" i="12"/>
  <c r="H79" i="12"/>
  <c r="G79" i="12"/>
  <c r="F79" i="12"/>
  <c r="E79" i="12"/>
  <c r="D79" i="12"/>
  <c r="C79" i="12"/>
  <c r="B79" i="12"/>
  <c r="A79" i="12"/>
  <c r="K78" i="12"/>
  <c r="I78" i="12"/>
  <c r="H78" i="12"/>
  <c r="G78" i="12"/>
  <c r="F78" i="12"/>
  <c r="E78" i="12"/>
  <c r="D78" i="12"/>
  <c r="C78" i="12"/>
  <c r="B78" i="12"/>
  <c r="A78" i="12"/>
  <c r="K77" i="12"/>
  <c r="I77" i="12"/>
  <c r="H77" i="12"/>
  <c r="G77" i="12"/>
  <c r="F77" i="12"/>
  <c r="E77" i="12"/>
  <c r="D77" i="12"/>
  <c r="C77" i="12"/>
  <c r="B77" i="12"/>
  <c r="A77" i="12"/>
  <c r="K76" i="12"/>
  <c r="I76" i="12"/>
  <c r="H76" i="12"/>
  <c r="G76" i="12"/>
  <c r="F76" i="12"/>
  <c r="E76" i="12"/>
  <c r="D76" i="12"/>
  <c r="C76" i="12"/>
  <c r="B76" i="12"/>
  <c r="A76" i="12"/>
  <c r="K75" i="12"/>
  <c r="I75" i="12"/>
  <c r="H75" i="12"/>
  <c r="G75" i="12"/>
  <c r="F75" i="12"/>
  <c r="E75" i="12"/>
  <c r="D75" i="12"/>
  <c r="C75" i="12"/>
  <c r="B75" i="12"/>
  <c r="A75" i="12"/>
  <c r="K74" i="12"/>
  <c r="I74" i="12"/>
  <c r="H74" i="12"/>
  <c r="G74" i="12"/>
  <c r="F74" i="12"/>
  <c r="E74" i="12"/>
  <c r="D74" i="12"/>
  <c r="C74" i="12"/>
  <c r="B74" i="12"/>
  <c r="A74" i="12"/>
  <c r="K73" i="12"/>
  <c r="I73" i="12"/>
  <c r="H73" i="12"/>
  <c r="G73" i="12"/>
  <c r="F73" i="12"/>
  <c r="E73" i="12"/>
  <c r="D73" i="12"/>
  <c r="C73" i="12"/>
  <c r="B73" i="12"/>
  <c r="A73" i="12"/>
  <c r="K72" i="12"/>
  <c r="I72" i="12"/>
  <c r="H72" i="12"/>
  <c r="G72" i="12"/>
  <c r="F72" i="12"/>
  <c r="E72" i="12"/>
  <c r="D72" i="12"/>
  <c r="C72" i="12"/>
  <c r="B72" i="12"/>
  <c r="A72" i="12"/>
  <c r="K71" i="12"/>
  <c r="I71" i="12"/>
  <c r="H71" i="12"/>
  <c r="G71" i="12"/>
  <c r="F71" i="12"/>
  <c r="E71" i="12"/>
  <c r="D71" i="12"/>
  <c r="C71" i="12"/>
  <c r="B71" i="12"/>
  <c r="A71" i="12"/>
  <c r="K70" i="12"/>
  <c r="I70" i="12"/>
  <c r="H70" i="12"/>
  <c r="G70" i="12"/>
  <c r="F70" i="12"/>
  <c r="E70" i="12"/>
  <c r="D70" i="12"/>
  <c r="C70" i="12"/>
  <c r="B70" i="12"/>
  <c r="A70" i="12"/>
  <c r="K69" i="12"/>
  <c r="I69" i="12"/>
  <c r="H69" i="12"/>
  <c r="G69" i="12"/>
  <c r="F69" i="12"/>
  <c r="E69" i="12"/>
  <c r="D69" i="12"/>
  <c r="C69" i="12"/>
  <c r="B69" i="12"/>
  <c r="A69" i="12"/>
  <c r="K68" i="12"/>
  <c r="I68" i="12"/>
  <c r="H68" i="12"/>
  <c r="G68" i="12"/>
  <c r="F68" i="12"/>
  <c r="E68" i="12"/>
  <c r="D68" i="12"/>
  <c r="C68" i="12"/>
  <c r="B68" i="12"/>
  <c r="A68" i="12"/>
  <c r="K67" i="12"/>
  <c r="I67" i="12"/>
  <c r="H67" i="12"/>
  <c r="G67" i="12"/>
  <c r="F67" i="12"/>
  <c r="E67" i="12"/>
  <c r="D67" i="12"/>
  <c r="C67" i="12"/>
  <c r="B67" i="12"/>
  <c r="A67" i="12"/>
  <c r="K66" i="12"/>
  <c r="I66" i="12"/>
  <c r="H66" i="12"/>
  <c r="G66" i="12"/>
  <c r="F66" i="12"/>
  <c r="E66" i="12"/>
  <c r="D66" i="12"/>
  <c r="C66" i="12"/>
  <c r="B66" i="12"/>
  <c r="A66" i="12"/>
  <c r="K65" i="12"/>
  <c r="I65" i="12"/>
  <c r="H65" i="12"/>
  <c r="G65" i="12"/>
  <c r="F65" i="12"/>
  <c r="E65" i="12"/>
  <c r="D65" i="12"/>
  <c r="C65" i="12"/>
  <c r="B65" i="12"/>
  <c r="A65" i="12"/>
  <c r="K64" i="12"/>
  <c r="I64" i="12"/>
  <c r="H64" i="12"/>
  <c r="G64" i="12"/>
  <c r="F64" i="12"/>
  <c r="E64" i="12"/>
  <c r="D64" i="12"/>
  <c r="C64" i="12"/>
  <c r="B64" i="12"/>
  <c r="A64" i="12"/>
  <c r="K63" i="12"/>
  <c r="I63" i="12"/>
  <c r="H63" i="12"/>
  <c r="G63" i="12"/>
  <c r="F63" i="12"/>
  <c r="E63" i="12"/>
  <c r="D63" i="12"/>
  <c r="C63" i="12"/>
  <c r="B63" i="12"/>
  <c r="A63" i="12"/>
  <c r="K62" i="12"/>
  <c r="I62" i="12"/>
  <c r="H62" i="12"/>
  <c r="G62" i="12"/>
  <c r="F62" i="12"/>
  <c r="E62" i="12"/>
  <c r="D62" i="12"/>
  <c r="C62" i="12"/>
  <c r="B62" i="12"/>
  <c r="A62" i="12"/>
  <c r="K61" i="12"/>
  <c r="I61" i="12"/>
  <c r="H61" i="12"/>
  <c r="G61" i="12"/>
  <c r="F61" i="12"/>
  <c r="E61" i="12"/>
  <c r="D61" i="12"/>
  <c r="C61" i="12"/>
  <c r="B61" i="12"/>
  <c r="A61" i="12"/>
  <c r="K60" i="12"/>
  <c r="I60" i="12"/>
  <c r="H60" i="12"/>
  <c r="G60" i="12"/>
  <c r="F60" i="12"/>
  <c r="E60" i="12"/>
  <c r="D60" i="12"/>
  <c r="C60" i="12"/>
  <c r="B60" i="12"/>
  <c r="A60" i="12"/>
  <c r="K59" i="12"/>
  <c r="I59" i="12"/>
  <c r="H59" i="12"/>
  <c r="G59" i="12"/>
  <c r="F59" i="12"/>
  <c r="E59" i="12"/>
  <c r="D59" i="12"/>
  <c r="C59" i="12"/>
  <c r="B59" i="12"/>
  <c r="A59" i="12"/>
  <c r="K58" i="12"/>
  <c r="I58" i="12"/>
  <c r="H58" i="12"/>
  <c r="G58" i="12"/>
  <c r="F58" i="12"/>
  <c r="E58" i="12"/>
  <c r="D58" i="12"/>
  <c r="C58" i="12"/>
  <c r="B58" i="12"/>
  <c r="A58" i="12"/>
  <c r="K57" i="12"/>
  <c r="I57" i="12"/>
  <c r="H57" i="12"/>
  <c r="G57" i="12"/>
  <c r="F57" i="12"/>
  <c r="E57" i="12"/>
  <c r="D57" i="12"/>
  <c r="C57" i="12"/>
  <c r="B57" i="12"/>
  <c r="A57" i="12"/>
  <c r="K56" i="12"/>
  <c r="I56" i="12"/>
  <c r="H56" i="12"/>
  <c r="G56" i="12"/>
  <c r="F56" i="12"/>
  <c r="E56" i="12"/>
  <c r="D56" i="12"/>
  <c r="C56" i="12"/>
  <c r="B56" i="12"/>
  <c r="A56" i="12"/>
  <c r="K55" i="12"/>
  <c r="I55" i="12"/>
  <c r="H55" i="12"/>
  <c r="G55" i="12"/>
  <c r="F55" i="12"/>
  <c r="E55" i="12"/>
  <c r="D55" i="12"/>
  <c r="C55" i="12"/>
  <c r="B55" i="12"/>
  <c r="A55" i="12"/>
  <c r="K54" i="12"/>
  <c r="I54" i="12"/>
  <c r="H54" i="12"/>
  <c r="G54" i="12"/>
  <c r="F54" i="12"/>
  <c r="E54" i="12"/>
  <c r="D54" i="12"/>
  <c r="C54" i="12"/>
  <c r="B54" i="12"/>
  <c r="A54" i="12"/>
  <c r="K53" i="12"/>
  <c r="I53" i="12"/>
  <c r="H53" i="12"/>
  <c r="G53" i="12"/>
  <c r="F53" i="12"/>
  <c r="E53" i="12"/>
  <c r="D53" i="12"/>
  <c r="C53" i="12"/>
  <c r="B53" i="12"/>
  <c r="A53" i="12"/>
  <c r="K52" i="12"/>
  <c r="I52" i="12"/>
  <c r="H52" i="12"/>
  <c r="G52" i="12"/>
  <c r="F52" i="12"/>
  <c r="E52" i="12"/>
  <c r="D52" i="12"/>
  <c r="C52" i="12"/>
  <c r="B52" i="12"/>
  <c r="A52" i="12"/>
  <c r="K51" i="12"/>
  <c r="I51" i="12"/>
  <c r="H51" i="12"/>
  <c r="G51" i="12"/>
  <c r="F51" i="12"/>
  <c r="E51" i="12"/>
  <c r="D51" i="12"/>
  <c r="C51" i="12"/>
  <c r="B51" i="12"/>
  <c r="A51" i="12"/>
  <c r="K50" i="12"/>
  <c r="I50" i="12"/>
  <c r="H50" i="12"/>
  <c r="G50" i="12"/>
  <c r="F50" i="12"/>
  <c r="E50" i="12"/>
  <c r="D50" i="12"/>
  <c r="C50" i="12"/>
  <c r="B50" i="12"/>
  <c r="A50" i="12"/>
  <c r="K49" i="12"/>
  <c r="I49" i="12"/>
  <c r="H49" i="12"/>
  <c r="G49" i="12"/>
  <c r="F49" i="12"/>
  <c r="E49" i="12"/>
  <c r="D49" i="12"/>
  <c r="C49" i="12"/>
  <c r="B49" i="12"/>
  <c r="A49" i="12"/>
  <c r="K48" i="12"/>
  <c r="I48" i="12"/>
  <c r="H48" i="12"/>
  <c r="G48" i="12"/>
  <c r="F48" i="12"/>
  <c r="E48" i="12"/>
  <c r="D48" i="12"/>
  <c r="C48" i="12"/>
  <c r="B48" i="12"/>
  <c r="A48" i="12"/>
  <c r="K47" i="12"/>
  <c r="I47" i="12"/>
  <c r="H47" i="12"/>
  <c r="G47" i="12"/>
  <c r="F47" i="12"/>
  <c r="E47" i="12"/>
  <c r="D47" i="12"/>
  <c r="C47" i="12"/>
  <c r="B47" i="12"/>
  <c r="A47" i="12"/>
  <c r="K46" i="12"/>
  <c r="I46" i="12"/>
  <c r="H46" i="12"/>
  <c r="G46" i="12"/>
  <c r="F46" i="12"/>
  <c r="E46" i="12"/>
  <c r="D46" i="12"/>
  <c r="C46" i="12"/>
  <c r="B46" i="12"/>
  <c r="A46" i="12"/>
  <c r="K45" i="12"/>
  <c r="I45" i="12"/>
  <c r="H45" i="12"/>
  <c r="G45" i="12"/>
  <c r="F45" i="12"/>
  <c r="E45" i="12"/>
  <c r="D45" i="12"/>
  <c r="C45" i="12"/>
  <c r="B45" i="12"/>
  <c r="A45" i="12"/>
  <c r="K44" i="12"/>
  <c r="I44" i="12"/>
  <c r="H44" i="12"/>
  <c r="G44" i="12"/>
  <c r="F44" i="12"/>
  <c r="E44" i="12"/>
  <c r="D44" i="12"/>
  <c r="C44" i="12"/>
  <c r="B44" i="12"/>
  <c r="A44" i="12"/>
  <c r="K43" i="12"/>
  <c r="I43" i="12"/>
  <c r="H43" i="12"/>
  <c r="G43" i="12"/>
  <c r="F43" i="12"/>
  <c r="E43" i="12"/>
  <c r="D43" i="12"/>
  <c r="C43" i="12"/>
  <c r="B43" i="12"/>
  <c r="A43" i="12"/>
  <c r="K42" i="12"/>
  <c r="I42" i="12"/>
  <c r="H42" i="12"/>
  <c r="G42" i="12"/>
  <c r="F42" i="12"/>
  <c r="E42" i="12"/>
  <c r="D42" i="12"/>
  <c r="C42" i="12"/>
  <c r="B42" i="12"/>
  <c r="A42" i="12"/>
  <c r="K41" i="12"/>
  <c r="I41" i="12"/>
  <c r="H41" i="12"/>
  <c r="G41" i="12"/>
  <c r="F41" i="12"/>
  <c r="E41" i="12"/>
  <c r="D41" i="12"/>
  <c r="C41" i="12"/>
  <c r="B41" i="12"/>
  <c r="A41" i="12"/>
  <c r="K40" i="12"/>
  <c r="I40" i="12"/>
  <c r="H40" i="12"/>
  <c r="G40" i="12"/>
  <c r="F40" i="12"/>
  <c r="E40" i="12"/>
  <c r="D40" i="12"/>
  <c r="C40" i="12"/>
  <c r="B40" i="12"/>
  <c r="A40" i="12"/>
  <c r="K39" i="12"/>
  <c r="I39" i="12"/>
  <c r="H39" i="12"/>
  <c r="G39" i="12"/>
  <c r="F39" i="12"/>
  <c r="E39" i="12"/>
  <c r="D39" i="12"/>
  <c r="C39" i="12"/>
  <c r="B39" i="12"/>
  <c r="A39" i="12"/>
  <c r="K38" i="12"/>
  <c r="I38" i="12"/>
  <c r="H38" i="12"/>
  <c r="G38" i="12"/>
  <c r="F38" i="12"/>
  <c r="E38" i="12"/>
  <c r="D38" i="12"/>
  <c r="C38" i="12"/>
  <c r="B38" i="12"/>
  <c r="A38" i="12"/>
  <c r="K37" i="12"/>
  <c r="I37" i="12"/>
  <c r="H37" i="12"/>
  <c r="G37" i="12"/>
  <c r="F37" i="12"/>
  <c r="E37" i="12"/>
  <c r="D37" i="12"/>
  <c r="C37" i="12"/>
  <c r="B37" i="12"/>
  <c r="A37" i="12"/>
  <c r="K36" i="12"/>
  <c r="I36" i="12"/>
  <c r="H36" i="12"/>
  <c r="G36" i="12"/>
  <c r="F36" i="12"/>
  <c r="E36" i="12"/>
  <c r="D36" i="12"/>
  <c r="C36" i="12"/>
  <c r="B36" i="12"/>
  <c r="A36" i="12"/>
  <c r="K35" i="12"/>
  <c r="I35" i="12"/>
  <c r="H35" i="12"/>
  <c r="G35" i="12"/>
  <c r="F35" i="12"/>
  <c r="E35" i="12"/>
  <c r="D35" i="12"/>
  <c r="C35" i="12"/>
  <c r="B35" i="12"/>
  <c r="A35" i="12"/>
  <c r="K34" i="12"/>
  <c r="I34" i="12"/>
  <c r="H34" i="12"/>
  <c r="G34" i="12"/>
  <c r="F34" i="12"/>
  <c r="E34" i="12"/>
  <c r="D34" i="12"/>
  <c r="C34" i="12"/>
  <c r="B34" i="12"/>
  <c r="A34" i="12"/>
  <c r="K33" i="12"/>
  <c r="I33" i="12"/>
  <c r="H33" i="12"/>
  <c r="G33" i="12"/>
  <c r="F33" i="12"/>
  <c r="E33" i="12"/>
  <c r="D33" i="12"/>
  <c r="C33" i="12"/>
  <c r="B33" i="12"/>
  <c r="A33" i="12"/>
  <c r="K32" i="12"/>
  <c r="I32" i="12"/>
  <c r="H32" i="12"/>
  <c r="G32" i="12"/>
  <c r="F32" i="12"/>
  <c r="E32" i="12"/>
  <c r="D32" i="12"/>
  <c r="C32" i="12"/>
  <c r="B32" i="12"/>
  <c r="A32" i="12"/>
  <c r="K31" i="12"/>
  <c r="I31" i="12"/>
  <c r="H31" i="12"/>
  <c r="G31" i="12"/>
  <c r="F31" i="12"/>
  <c r="E31" i="12"/>
  <c r="D31" i="12"/>
  <c r="C31" i="12"/>
  <c r="B31" i="12"/>
  <c r="A31" i="12"/>
  <c r="K30" i="12"/>
  <c r="I30" i="12"/>
  <c r="H30" i="12"/>
  <c r="G30" i="12"/>
  <c r="F30" i="12"/>
  <c r="E30" i="12"/>
  <c r="D30" i="12"/>
  <c r="C30" i="12"/>
  <c r="B30" i="12"/>
  <c r="A30" i="12"/>
  <c r="K29" i="12"/>
  <c r="I29" i="12"/>
  <c r="H29" i="12"/>
  <c r="G29" i="12"/>
  <c r="F29" i="12"/>
  <c r="E29" i="12"/>
  <c r="D29" i="12"/>
  <c r="C29" i="12"/>
  <c r="B29" i="12"/>
  <c r="A29" i="12"/>
  <c r="K28" i="12"/>
  <c r="I28" i="12"/>
  <c r="H28" i="12"/>
  <c r="G28" i="12"/>
  <c r="F28" i="12"/>
  <c r="E28" i="12"/>
  <c r="D28" i="12"/>
  <c r="C28" i="12"/>
  <c r="B28" i="12"/>
  <c r="A28" i="12"/>
  <c r="K27" i="12"/>
  <c r="I27" i="12"/>
  <c r="H27" i="12"/>
  <c r="G27" i="12"/>
  <c r="F27" i="12"/>
  <c r="E27" i="12"/>
  <c r="D27" i="12"/>
  <c r="C27" i="12"/>
  <c r="B27" i="12"/>
  <c r="A27" i="12"/>
  <c r="K26" i="12"/>
  <c r="I26" i="12"/>
  <c r="H26" i="12"/>
  <c r="G26" i="12"/>
  <c r="F26" i="12"/>
  <c r="E26" i="12"/>
  <c r="D26" i="12"/>
  <c r="C26" i="12"/>
  <c r="B26" i="12"/>
  <c r="A26" i="12"/>
  <c r="K25" i="12"/>
  <c r="I25" i="12"/>
  <c r="H25" i="12"/>
  <c r="G25" i="12"/>
  <c r="F25" i="12"/>
  <c r="E25" i="12"/>
  <c r="D25" i="12"/>
  <c r="C25" i="12"/>
  <c r="B25" i="12"/>
  <c r="A25" i="12"/>
  <c r="K24" i="12"/>
  <c r="J24" i="12"/>
  <c r="I24" i="12"/>
  <c r="H24" i="12"/>
  <c r="G24" i="12"/>
  <c r="F24" i="12"/>
  <c r="E24" i="12"/>
  <c r="D24" i="12"/>
  <c r="C24" i="12"/>
  <c r="B24" i="12"/>
  <c r="A24" i="12"/>
  <c r="K23" i="12"/>
  <c r="I23" i="12"/>
  <c r="H23" i="12"/>
  <c r="G23" i="12"/>
  <c r="F23" i="12"/>
  <c r="E23" i="12"/>
  <c r="D23" i="12"/>
  <c r="C23" i="12"/>
  <c r="B23" i="12"/>
  <c r="A23" i="12"/>
  <c r="K22" i="12"/>
  <c r="I22" i="12"/>
  <c r="H22" i="12"/>
  <c r="G22" i="12"/>
  <c r="F22" i="12"/>
  <c r="E22" i="12"/>
  <c r="D22" i="12"/>
  <c r="C22" i="12"/>
  <c r="B22" i="12"/>
  <c r="A22" i="12"/>
  <c r="K21" i="12"/>
  <c r="I21" i="12"/>
  <c r="H21" i="12"/>
  <c r="G21" i="12"/>
  <c r="F21" i="12"/>
  <c r="E21" i="12"/>
  <c r="D21" i="12"/>
  <c r="C21" i="12"/>
  <c r="B21" i="12"/>
  <c r="A21" i="12"/>
  <c r="K20" i="12"/>
  <c r="I20" i="12"/>
  <c r="H20" i="12"/>
  <c r="G20" i="12"/>
  <c r="F20" i="12"/>
  <c r="E20" i="12"/>
  <c r="D20" i="12"/>
  <c r="C20" i="12"/>
  <c r="B20" i="12"/>
  <c r="A20" i="12"/>
  <c r="K19" i="12"/>
  <c r="I19" i="12"/>
  <c r="H19" i="12"/>
  <c r="G19" i="12"/>
  <c r="F19" i="12"/>
  <c r="E19" i="12"/>
  <c r="D19" i="12"/>
  <c r="C19" i="12"/>
  <c r="B19" i="12"/>
  <c r="A19" i="12"/>
  <c r="K18" i="12"/>
  <c r="I18" i="12"/>
  <c r="H18" i="12"/>
  <c r="G18" i="12"/>
  <c r="F18" i="12"/>
  <c r="E18" i="12"/>
  <c r="D18" i="12"/>
  <c r="C18" i="12"/>
  <c r="B18" i="12"/>
  <c r="A18" i="12"/>
  <c r="K17" i="12"/>
  <c r="I17" i="12"/>
  <c r="H17" i="12"/>
  <c r="G17" i="12"/>
  <c r="F17" i="12"/>
  <c r="E17" i="12"/>
  <c r="D17" i="12"/>
  <c r="C17" i="12"/>
  <c r="B17" i="12"/>
  <c r="A17" i="12"/>
  <c r="K16" i="12"/>
  <c r="I16" i="12"/>
  <c r="H16" i="12"/>
  <c r="G16" i="12"/>
  <c r="F16" i="12"/>
  <c r="E16" i="12"/>
  <c r="D16" i="12"/>
  <c r="C16" i="12"/>
  <c r="B16" i="12"/>
  <c r="A16" i="12"/>
  <c r="K15" i="12"/>
  <c r="I15" i="12"/>
  <c r="H15" i="12"/>
  <c r="G15" i="12"/>
  <c r="F15" i="12"/>
  <c r="E15" i="12"/>
  <c r="D15" i="12"/>
  <c r="C15" i="12"/>
  <c r="B15" i="12"/>
  <c r="A15" i="12"/>
  <c r="K14" i="12"/>
  <c r="I14" i="12"/>
  <c r="H14" i="12"/>
  <c r="G14" i="12"/>
  <c r="F14" i="12"/>
  <c r="E14" i="12"/>
  <c r="D14" i="12"/>
  <c r="C14" i="12"/>
  <c r="B14" i="12"/>
  <c r="A14" i="12"/>
  <c r="K13" i="12"/>
  <c r="I13" i="12"/>
  <c r="H13" i="12"/>
  <c r="G13" i="12"/>
  <c r="F13" i="12"/>
  <c r="E13" i="12"/>
  <c r="D13" i="12"/>
  <c r="C13" i="12"/>
  <c r="B13" i="12"/>
  <c r="A13" i="12"/>
  <c r="K12" i="12"/>
  <c r="I12" i="12"/>
  <c r="H12" i="12"/>
  <c r="G12" i="12"/>
  <c r="F12" i="12"/>
  <c r="E12" i="12"/>
  <c r="D12" i="12"/>
  <c r="C12" i="12"/>
  <c r="B12" i="12"/>
  <c r="A12" i="12"/>
  <c r="K11" i="12"/>
  <c r="I11" i="12"/>
  <c r="H11" i="12"/>
  <c r="G11" i="12"/>
  <c r="F11" i="12"/>
  <c r="E11" i="12"/>
  <c r="D11" i="12"/>
  <c r="C11" i="12"/>
  <c r="B11" i="12"/>
  <c r="A11" i="12"/>
  <c r="K10" i="12"/>
  <c r="I10" i="12"/>
  <c r="H10" i="12"/>
  <c r="G10" i="12"/>
  <c r="F10" i="12"/>
  <c r="E10" i="12"/>
  <c r="D10" i="12"/>
  <c r="C10" i="12"/>
  <c r="B10" i="12"/>
  <c r="A10" i="12"/>
  <c r="K9" i="12"/>
  <c r="I9" i="12"/>
  <c r="H9" i="12"/>
  <c r="G9" i="12"/>
  <c r="F9" i="12"/>
  <c r="E9" i="12"/>
  <c r="D9" i="12"/>
  <c r="C9" i="12"/>
  <c r="B9" i="12"/>
  <c r="A9" i="12"/>
  <c r="K8" i="12"/>
  <c r="I8" i="12"/>
  <c r="H8" i="12"/>
  <c r="G8" i="12"/>
  <c r="F8" i="12"/>
  <c r="E8" i="12"/>
  <c r="D8" i="12"/>
  <c r="C8" i="12"/>
  <c r="B8" i="12"/>
  <c r="A8" i="12"/>
  <c r="K7" i="12"/>
  <c r="I7" i="12"/>
  <c r="H7" i="12"/>
  <c r="G7" i="12"/>
  <c r="F7" i="12"/>
  <c r="E7" i="12"/>
  <c r="D7" i="12"/>
  <c r="C7" i="12"/>
  <c r="B7" i="12"/>
  <c r="A7" i="12"/>
  <c r="AO310" i="5" l="1"/>
  <c r="AO309" i="5"/>
  <c r="AO308" i="5"/>
  <c r="AO307" i="5"/>
  <c r="AO306" i="5"/>
  <c r="AO304" i="5"/>
  <c r="AO303" i="5"/>
  <c r="AO301" i="5"/>
  <c r="AO300" i="5"/>
  <c r="AO299" i="5"/>
  <c r="AP299" i="5" s="1"/>
  <c r="AO297" i="5"/>
  <c r="AO296" i="5"/>
  <c r="AO295" i="5"/>
  <c r="AO294" i="5"/>
  <c r="AO293" i="5"/>
  <c r="AO292" i="5"/>
  <c r="AO291" i="5"/>
  <c r="AO290" i="5"/>
  <c r="AO288" i="5"/>
  <c r="AO285" i="5"/>
  <c r="AO284" i="5"/>
  <c r="AO283" i="5"/>
  <c r="AO282" i="5"/>
  <c r="AO281" i="5"/>
  <c r="AO280" i="5"/>
  <c r="AO278" i="5"/>
  <c r="AO277" i="5"/>
  <c r="AO276" i="5"/>
  <c r="AO275" i="5"/>
  <c r="AO273" i="5"/>
  <c r="AO272" i="5"/>
  <c r="AO270" i="5"/>
  <c r="AO269" i="5"/>
  <c r="AO268" i="5"/>
  <c r="AO267" i="5"/>
  <c r="AO266" i="5"/>
  <c r="AO263" i="5"/>
  <c r="AO260" i="5"/>
  <c r="AO259" i="5"/>
  <c r="AO258" i="5"/>
  <c r="AO256" i="5"/>
  <c r="AP256" i="5" s="1"/>
  <c r="AO254" i="5"/>
  <c r="AO251" i="5"/>
  <c r="AP251" i="5" s="1"/>
  <c r="AO249" i="5"/>
  <c r="AO248" i="5"/>
  <c r="AO246" i="5"/>
  <c r="AO245" i="5"/>
  <c r="AO244" i="5"/>
  <c r="AO243" i="5"/>
  <c r="AO237" i="5"/>
  <c r="AO232" i="5"/>
  <c r="AO225" i="5"/>
  <c r="AO223" i="5"/>
  <c r="AO220" i="5"/>
  <c r="AP220" i="5" s="1"/>
  <c r="AO218" i="5"/>
  <c r="AO217" i="5"/>
  <c r="AO204" i="5"/>
  <c r="AO202" i="5"/>
  <c r="AO200" i="5"/>
  <c r="AP200" i="5" s="1"/>
  <c r="AO196" i="5"/>
  <c r="AO195" i="5"/>
  <c r="AO193" i="5"/>
  <c r="AO192" i="5"/>
  <c r="AO191" i="5"/>
  <c r="AO185" i="5"/>
  <c r="AO184" i="5"/>
  <c r="AO183" i="5"/>
  <c r="AO181" i="5"/>
  <c r="AO178" i="5"/>
  <c r="AO174" i="5"/>
  <c r="AO173" i="5"/>
  <c r="AO170" i="5"/>
  <c r="AO167" i="5"/>
  <c r="AO151" i="5"/>
  <c r="AO146" i="5"/>
  <c r="AO140" i="5"/>
  <c r="AO136" i="5"/>
  <c r="AO131" i="5"/>
  <c r="AO128" i="5"/>
  <c r="AO126" i="5"/>
  <c r="AO124" i="5"/>
  <c r="AO120" i="5"/>
  <c r="AO117" i="5"/>
  <c r="AO116" i="5"/>
  <c r="AO115" i="5"/>
  <c r="AO113" i="5"/>
  <c r="AO112" i="5"/>
  <c r="AO105" i="5"/>
  <c r="AO102" i="5"/>
  <c r="AO101" i="5"/>
  <c r="AO100" i="5"/>
  <c r="AO99" i="5"/>
  <c r="AO93" i="5"/>
  <c r="AO89" i="5"/>
  <c r="AO84" i="5"/>
  <c r="AO83" i="5"/>
  <c r="AO74" i="5"/>
  <c r="AO72" i="5"/>
  <c r="AO69" i="5"/>
  <c r="AO68" i="5"/>
  <c r="AO67" i="5"/>
  <c r="AO66" i="5"/>
  <c r="AO61" i="5"/>
  <c r="AO55" i="5"/>
  <c r="AO54" i="5"/>
  <c r="AO51" i="5"/>
  <c r="AO50" i="5"/>
  <c r="AO49" i="5"/>
  <c r="AO47" i="5"/>
  <c r="AO44" i="5"/>
  <c r="AO34" i="5"/>
  <c r="AO21" i="5"/>
  <c r="AO16" i="5"/>
  <c r="AO12" i="5"/>
  <c r="AO13" i="5"/>
  <c r="AO14" i="5"/>
  <c r="AO15" i="5"/>
  <c r="AO17" i="5"/>
  <c r="AO18" i="5"/>
  <c r="AO22" i="5"/>
  <c r="AO24" i="5"/>
  <c r="AO25" i="5"/>
  <c r="AO26" i="5"/>
  <c r="AO27" i="5"/>
  <c r="AK286" i="5"/>
  <c r="AS286" i="5" s="1"/>
  <c r="AP280" i="5" l="1"/>
  <c r="AQ280" i="5" s="1"/>
  <c r="AP285" i="5"/>
  <c r="AQ285" i="5" s="1"/>
  <c r="AK92" i="5"/>
  <c r="AS92" i="5" s="1"/>
  <c r="AG168" i="5"/>
  <c r="AG29" i="5"/>
  <c r="AW19" i="5"/>
  <c r="AX19" i="5" s="1"/>
  <c r="AO19" i="5"/>
  <c r="AF19" i="5"/>
  <c r="AB19" i="5"/>
  <c r="AA19" i="5"/>
  <c r="AJ304" i="5"/>
  <c r="AJ303" i="5"/>
  <c r="AJ300" i="5"/>
  <c r="AF256" i="5"/>
  <c r="AK19" i="5" l="1"/>
  <c r="AS19" i="5" s="1"/>
  <c r="J14" i="12"/>
  <c r="AG19" i="5"/>
  <c r="AJ19" i="5" s="1"/>
  <c r="AW29" i="1" l="1"/>
  <c r="AW28" i="1"/>
  <c r="AW27" i="1"/>
  <c r="AW26" i="1"/>
  <c r="AW25" i="1"/>
  <c r="H69" i="13"/>
  <c r="H68" i="13"/>
  <c r="AF290" i="5"/>
  <c r="AJ290" i="5" l="1"/>
  <c r="J224" i="12"/>
  <c r="AD150" i="5"/>
  <c r="F60" i="6" l="1"/>
  <c r="AE269" i="5"/>
  <c r="AE278" i="5"/>
  <c r="AF299" i="5"/>
  <c r="D17" i="16" s="1"/>
  <c r="AK21" i="1"/>
  <c r="AK22" i="1"/>
  <c r="F17" i="16" l="1"/>
  <c r="AJ299" i="5"/>
  <c r="J232" i="12"/>
  <c r="A67" i="13"/>
  <c r="B67" i="13"/>
  <c r="C67" i="13"/>
  <c r="D67" i="13"/>
  <c r="E67" i="13"/>
  <c r="F67" i="13"/>
  <c r="G67" i="13"/>
  <c r="I67" i="13"/>
  <c r="J67" i="13"/>
  <c r="A66" i="13"/>
  <c r="B66" i="13"/>
  <c r="C66" i="13"/>
  <c r="D66" i="13"/>
  <c r="E66" i="13"/>
  <c r="F66" i="13"/>
  <c r="G66" i="13"/>
  <c r="I66" i="13"/>
  <c r="J66" i="13"/>
  <c r="AK29" i="1"/>
  <c r="H67" i="13" s="1"/>
  <c r="N29" i="1"/>
  <c r="AF305" i="5" l="1"/>
  <c r="AF293" i="5"/>
  <c r="J227" i="12" s="1"/>
  <c r="AJ305" i="5" l="1"/>
  <c r="J238" i="12"/>
  <c r="AF302" i="5"/>
  <c r="J235" i="12" s="1"/>
  <c r="AF301" i="5"/>
  <c r="J234" i="12" s="1"/>
  <c r="AJ301" i="5" l="1"/>
  <c r="AJ302" i="5"/>
  <c r="L10" i="6" l="1"/>
  <c r="L11" i="6"/>
  <c r="L12" i="6"/>
  <c r="L13" i="6"/>
  <c r="L15" i="6"/>
  <c r="AE321" i="5" l="1"/>
  <c r="AE238" i="5"/>
  <c r="AE188" i="5"/>
  <c r="AE165" i="5"/>
  <c r="AE152" i="5"/>
  <c r="AO298" i="5" l="1"/>
  <c r="AO289" i="5"/>
  <c r="AO287" i="5"/>
  <c r="AO286" i="5"/>
  <c r="AO279" i="5"/>
  <c r="AO274" i="5"/>
  <c r="AO271" i="5"/>
  <c r="AO264" i="5"/>
  <c r="AO262" i="5"/>
  <c r="AO261" i="5"/>
  <c r="AO257" i="5"/>
  <c r="AO253" i="5"/>
  <c r="AO252" i="5"/>
  <c r="AO250" i="5"/>
  <c r="AO247" i="5"/>
  <c r="AO242" i="5"/>
  <c r="AO241" i="5"/>
  <c r="AO240" i="5"/>
  <c r="AO238" i="5"/>
  <c r="AO236" i="5"/>
  <c r="AO235" i="5"/>
  <c r="AO231" i="5"/>
  <c r="AO229" i="5"/>
  <c r="AO228" i="5"/>
  <c r="AO227" i="5"/>
  <c r="AO226" i="5"/>
  <c r="AO224" i="5"/>
  <c r="AO222" i="5"/>
  <c r="AO221" i="5"/>
  <c r="AO219" i="5"/>
  <c r="AO216" i="5"/>
  <c r="AO215" i="5"/>
  <c r="AO214" i="5"/>
  <c r="AO213" i="5"/>
  <c r="AO212" i="5"/>
  <c r="AO211" i="5"/>
  <c r="AO210" i="5"/>
  <c r="AO209" i="5"/>
  <c r="AO208" i="5"/>
  <c r="AO206" i="5"/>
  <c r="AO205" i="5"/>
  <c r="AO203" i="5"/>
  <c r="AO199" i="5"/>
  <c r="AO198" i="5"/>
  <c r="AO197" i="5"/>
  <c r="AO190" i="5"/>
  <c r="AO189" i="5"/>
  <c r="AO188" i="5"/>
  <c r="AO187" i="5"/>
  <c r="AO186" i="5"/>
  <c r="AO182" i="5"/>
  <c r="AO180" i="5"/>
  <c r="AO179" i="5"/>
  <c r="AO177" i="5"/>
  <c r="AO176" i="5"/>
  <c r="AO175" i="5"/>
  <c r="AO172" i="5"/>
  <c r="AO171" i="5"/>
  <c r="AO169" i="5"/>
  <c r="AO168" i="5"/>
  <c r="AO166" i="5"/>
  <c r="AO165" i="5"/>
  <c r="AO164" i="5"/>
  <c r="AO163" i="5"/>
  <c r="AO162" i="5"/>
  <c r="AO161" i="5"/>
  <c r="AO160" i="5"/>
  <c r="AO159" i="5"/>
  <c r="AO158" i="5"/>
  <c r="AO157" i="5"/>
  <c r="AP157" i="5" s="1"/>
  <c r="AO156" i="5"/>
  <c r="AO155" i="5"/>
  <c r="AO154" i="5"/>
  <c r="AO153" i="5"/>
  <c r="AO152" i="5"/>
  <c r="AO149" i="5"/>
  <c r="AO148" i="5"/>
  <c r="AO147" i="5"/>
  <c r="AO145" i="5"/>
  <c r="AO144" i="5"/>
  <c r="AO143" i="5"/>
  <c r="AO142" i="5"/>
  <c r="AO141" i="5"/>
  <c r="AO139" i="5"/>
  <c r="AO138" i="5"/>
  <c r="AO137" i="5"/>
  <c r="AO135" i="5"/>
  <c r="AO134" i="5"/>
  <c r="AO133" i="5"/>
  <c r="AO132" i="5"/>
  <c r="AO129" i="5"/>
  <c r="AO127" i="5"/>
  <c r="AO125" i="5"/>
  <c r="AO123" i="5"/>
  <c r="AO122" i="5"/>
  <c r="AO121" i="5"/>
  <c r="AO119" i="5"/>
  <c r="AO118" i="5"/>
  <c r="AO114" i="5"/>
  <c r="AO111" i="5"/>
  <c r="AO110" i="5"/>
  <c r="AO109" i="5"/>
  <c r="AO108" i="5"/>
  <c r="AO107" i="5"/>
  <c r="AO104" i="5"/>
  <c r="AO103" i="5"/>
  <c r="AO98" i="5"/>
  <c r="AO97" i="5"/>
  <c r="AO96" i="5"/>
  <c r="AO95" i="5"/>
  <c r="AO94" i="5"/>
  <c r="AO92" i="5"/>
  <c r="AO91" i="5"/>
  <c r="AO90" i="5"/>
  <c r="AO88" i="5"/>
  <c r="AO87" i="5"/>
  <c r="AO86" i="5"/>
  <c r="AO85" i="5"/>
  <c r="AO82" i="5"/>
  <c r="AO81" i="5"/>
  <c r="AO80" i="5"/>
  <c r="AO79" i="5"/>
  <c r="AO78" i="5"/>
  <c r="AO77" i="5"/>
  <c r="AO76" i="5"/>
  <c r="AO75" i="5"/>
  <c r="AO73" i="5"/>
  <c r="AO71" i="5"/>
  <c r="AO65" i="5"/>
  <c r="AO64" i="5"/>
  <c r="AO63" i="5"/>
  <c r="AO62" i="5"/>
  <c r="AO60" i="5"/>
  <c r="AO59" i="5"/>
  <c r="AO58" i="5"/>
  <c r="AP58" i="5" s="1"/>
  <c r="AO57" i="5"/>
  <c r="AO56" i="5"/>
  <c r="AO53" i="5"/>
  <c r="AO52" i="5"/>
  <c r="AO48" i="5"/>
  <c r="AO46" i="5"/>
  <c r="AO45" i="5"/>
  <c r="AO43" i="5"/>
  <c r="AO42" i="5"/>
  <c r="AO41" i="5"/>
  <c r="AO40" i="5"/>
  <c r="AO39" i="5"/>
  <c r="AO38" i="5"/>
  <c r="AO37" i="5"/>
  <c r="AO36" i="5"/>
  <c r="AO35" i="5"/>
  <c r="AO33" i="5"/>
  <c r="AO32" i="5"/>
  <c r="AO31" i="5"/>
  <c r="AO30" i="5"/>
  <c r="AO29" i="5"/>
  <c r="AO28" i="5"/>
  <c r="AO23" i="5"/>
  <c r="AO20" i="5"/>
  <c r="AO11" i="5"/>
  <c r="AP174" i="5" l="1"/>
  <c r="AF135" i="5"/>
  <c r="J103" i="12" s="1"/>
  <c r="A63" i="13" l="1"/>
  <c r="B63" i="13"/>
  <c r="C63" i="13"/>
  <c r="D63" i="13"/>
  <c r="E63" i="13"/>
  <c r="F63" i="13"/>
  <c r="G63" i="13"/>
  <c r="I63" i="13"/>
  <c r="J63" i="13"/>
  <c r="A64" i="13"/>
  <c r="B64" i="13"/>
  <c r="C64" i="13"/>
  <c r="D64" i="13"/>
  <c r="E64" i="13"/>
  <c r="F64" i="13"/>
  <c r="G64" i="13"/>
  <c r="I64" i="13"/>
  <c r="J64" i="13"/>
  <c r="A65" i="13"/>
  <c r="B65" i="13"/>
  <c r="C65" i="13"/>
  <c r="D65" i="13"/>
  <c r="E65" i="13"/>
  <c r="F65" i="13"/>
  <c r="G65" i="13"/>
  <c r="I65" i="13"/>
  <c r="J65" i="13"/>
  <c r="N28" i="1"/>
  <c r="AK28" i="1"/>
  <c r="H66" i="13" s="1"/>
  <c r="H65" i="13"/>
  <c r="AK27" i="1"/>
  <c r="H64" i="13" s="1"/>
  <c r="N27" i="1"/>
  <c r="AF286" i="5" l="1"/>
  <c r="AJ316" i="5"/>
  <c r="AJ286" i="5" l="1"/>
  <c r="J220" i="12"/>
  <c r="H63" i="13"/>
  <c r="AF292" i="5"/>
  <c r="J226" i="12" s="1"/>
  <c r="AF294" i="5"/>
  <c r="J228" i="12" s="1"/>
  <c r="J229" i="12"/>
  <c r="AF289" i="5"/>
  <c r="AF291" i="5"/>
  <c r="AF297" i="5"/>
  <c r="J230" i="12" s="1"/>
  <c r="AF296" i="5"/>
  <c r="AF287" i="5"/>
  <c r="J221" i="12" s="1"/>
  <c r="AF298" i="5"/>
  <c r="J231" i="12" s="1"/>
  <c r="AJ291" i="5" l="1"/>
  <c r="J225" i="12"/>
  <c r="AJ289" i="5"/>
  <c r="J223" i="12"/>
  <c r="AJ297" i="5"/>
  <c r="AJ298" i="5"/>
  <c r="AJ294" i="5"/>
  <c r="AJ295" i="5"/>
  <c r="AJ287" i="5"/>
  <c r="AF189" i="5"/>
  <c r="AJ189" i="5" l="1"/>
  <c r="J149" i="12"/>
  <c r="AF279" i="5"/>
  <c r="J218" i="12" s="1"/>
  <c r="AF283" i="5"/>
  <c r="B57" i="6" l="1"/>
  <c r="J219" i="12"/>
  <c r="AJ283" i="5"/>
  <c r="AJ279" i="5"/>
  <c r="J62" i="13" l="1"/>
  <c r="I62" i="13"/>
  <c r="G62" i="13"/>
  <c r="F62" i="13"/>
  <c r="E62" i="13"/>
  <c r="D62" i="13"/>
  <c r="C62" i="13"/>
  <c r="B62" i="13"/>
  <c r="A62" i="13"/>
  <c r="J61" i="13"/>
  <c r="I61" i="13"/>
  <c r="G61" i="13"/>
  <c r="F61" i="13"/>
  <c r="E61" i="13"/>
  <c r="D61" i="13"/>
  <c r="C61" i="13"/>
  <c r="B61" i="13"/>
  <c r="A61" i="13"/>
  <c r="J60" i="13"/>
  <c r="I60" i="13"/>
  <c r="G60" i="13"/>
  <c r="F60" i="13"/>
  <c r="E60" i="13"/>
  <c r="D60" i="13"/>
  <c r="C60" i="13"/>
  <c r="B60" i="13"/>
  <c r="A60" i="13"/>
  <c r="J59" i="13"/>
  <c r="I59" i="13"/>
  <c r="G59" i="13"/>
  <c r="F59" i="13"/>
  <c r="E59" i="13"/>
  <c r="D59" i="13"/>
  <c r="C59" i="13"/>
  <c r="B59" i="13"/>
  <c r="A59" i="13"/>
  <c r="J58" i="13"/>
  <c r="I58" i="13"/>
  <c r="G58" i="13"/>
  <c r="F58" i="13"/>
  <c r="E58" i="13"/>
  <c r="D58" i="13"/>
  <c r="C58" i="13"/>
  <c r="B58" i="13"/>
  <c r="A58" i="13"/>
  <c r="H62" i="13"/>
  <c r="AK26" i="1"/>
  <c r="H61" i="13" s="1"/>
  <c r="N26" i="1"/>
  <c r="AK25" i="1"/>
  <c r="N25" i="1"/>
  <c r="H59" i="13"/>
  <c r="H58" i="13"/>
  <c r="A54" i="13"/>
  <c r="A55" i="13"/>
  <c r="A56" i="13"/>
  <c r="A57" i="13"/>
  <c r="H60" i="13" l="1"/>
  <c r="AO332" i="5"/>
  <c r="AO331" i="5"/>
  <c r="AO330" i="5"/>
  <c r="AO329" i="5"/>
  <c r="AO328" i="5"/>
  <c r="AO327" i="5"/>
  <c r="AO326" i="5"/>
  <c r="AO325" i="5"/>
  <c r="AO324" i="5"/>
  <c r="AO323" i="5"/>
  <c r="AO322" i="5"/>
  <c r="AO321" i="5"/>
  <c r="AO320" i="5"/>
  <c r="AJ285" i="5"/>
  <c r="AF280" i="5"/>
  <c r="AJ280" i="5" s="1"/>
  <c r="AF194" i="5"/>
  <c r="AF169" i="5"/>
  <c r="AK152" i="5"/>
  <c r="AS152" i="5" s="1"/>
  <c r="AD144" i="5"/>
  <c r="AG135" i="5"/>
  <c r="AK135" i="5" s="1"/>
  <c r="AS135" i="5" s="1"/>
  <c r="AF127" i="5"/>
  <c r="E13" i="16" s="1"/>
  <c r="AF128" i="5"/>
  <c r="J133" i="12" l="1"/>
  <c r="AJ194" i="5"/>
  <c r="AM194" i="5" s="1"/>
  <c r="AO194" i="5" s="1"/>
  <c r="J154" i="12"/>
  <c r="AJ169" i="5"/>
  <c r="AK194" i="5"/>
  <c r="AS194" i="5" s="1"/>
  <c r="AD145" i="5"/>
  <c r="BB194" i="5" l="1"/>
  <c r="AF270" i="5"/>
  <c r="J212" i="12" s="1"/>
  <c r="AF268" i="5"/>
  <c r="AJ268" i="5" s="1"/>
  <c r="AF267" i="5"/>
  <c r="AF266" i="5"/>
  <c r="AJ266" i="5" s="1"/>
  <c r="AF264" i="5"/>
  <c r="J209" i="12" s="1"/>
  <c r="AF263" i="5"/>
  <c r="D18" i="16" s="1"/>
  <c r="AF261" i="5"/>
  <c r="J206" i="12" s="1"/>
  <c r="AF260" i="5"/>
  <c r="AJ260" i="5" s="1"/>
  <c r="AF259" i="5"/>
  <c r="AJ259" i="5" s="1"/>
  <c r="AF258" i="5"/>
  <c r="J205" i="12" s="1"/>
  <c r="AF257" i="5"/>
  <c r="AF278" i="5"/>
  <c r="J217" i="12" s="1"/>
  <c r="AF277" i="5"/>
  <c r="J216" i="12" s="1"/>
  <c r="AF276" i="5"/>
  <c r="AJ276" i="5" s="1"/>
  <c r="AF275" i="5"/>
  <c r="AF274" i="5"/>
  <c r="J214" i="12" s="1"/>
  <c r="AF273" i="5"/>
  <c r="AJ273" i="5" s="1"/>
  <c r="AF272" i="5"/>
  <c r="AJ272" i="5" s="1"/>
  <c r="F18" i="16" l="1"/>
  <c r="J208" i="12"/>
  <c r="AJ267" i="5"/>
  <c r="J211" i="12"/>
  <c r="AJ275" i="5"/>
  <c r="J215" i="12"/>
  <c r="AJ257" i="5"/>
  <c r="J204" i="12"/>
  <c r="B54" i="6"/>
  <c r="AJ277" i="5"/>
  <c r="AJ258" i="5"/>
  <c r="AJ270" i="5"/>
  <c r="AJ274" i="5"/>
  <c r="AJ261" i="5"/>
  <c r="AJ263" i="5"/>
  <c r="AJ264" i="5"/>
  <c r="AJ278" i="5"/>
  <c r="AD210" i="5"/>
  <c r="F28" i="16" l="1"/>
  <c r="AF255" i="5"/>
  <c r="AJ255" i="5" l="1"/>
  <c r="J203" i="12"/>
  <c r="AA151" i="5"/>
  <c r="AB151" i="5"/>
  <c r="AF150" i="5"/>
  <c r="J117" i="12" s="1"/>
  <c r="AI150" i="5" l="1"/>
  <c r="AJ150" i="5" s="1"/>
  <c r="AF265" i="5"/>
  <c r="J210" i="12" s="1"/>
  <c r="AI265" i="5" l="1"/>
  <c r="AJ265" i="5" s="1"/>
  <c r="B55" i="13"/>
  <c r="C55" i="13"/>
  <c r="D55" i="13"/>
  <c r="E55" i="13"/>
  <c r="F55" i="13"/>
  <c r="G55" i="13"/>
  <c r="I55" i="13"/>
  <c r="J55" i="13"/>
  <c r="B56" i="13"/>
  <c r="C56" i="13"/>
  <c r="D56" i="13"/>
  <c r="E56" i="13"/>
  <c r="F56" i="13"/>
  <c r="G56" i="13"/>
  <c r="I56" i="13"/>
  <c r="J56" i="13"/>
  <c r="B57" i="13"/>
  <c r="C57" i="13"/>
  <c r="D57" i="13"/>
  <c r="E57" i="13"/>
  <c r="F57" i="13"/>
  <c r="G57" i="13"/>
  <c r="I57" i="13"/>
  <c r="J57" i="13"/>
  <c r="AC200" i="5"/>
  <c r="G159" i="12" s="1"/>
  <c r="AC175" i="5" l="1"/>
  <c r="G139" i="12" s="1"/>
  <c r="AF28" i="5"/>
  <c r="AI28" i="5" l="1"/>
  <c r="J23" i="12"/>
  <c r="AF269" i="5"/>
  <c r="AJ269" i="5" s="1"/>
  <c r="AF271" i="5" l="1"/>
  <c r="J213" i="12" s="1"/>
  <c r="AF254" i="5"/>
  <c r="J202" i="12" s="1"/>
  <c r="AJ254" i="5" l="1"/>
  <c r="AJ271" i="5"/>
  <c r="AD35" i="5"/>
  <c r="AF262" i="5" l="1"/>
  <c r="J207" i="12" s="1"/>
  <c r="AJ262" i="5" l="1"/>
  <c r="AF200" i="5" l="1"/>
  <c r="J159" i="12" s="1"/>
  <c r="AI200" i="5" l="1"/>
  <c r="AE221" i="5" l="1"/>
  <c r="H57" i="13" l="1"/>
  <c r="H56" i="13"/>
  <c r="H55" i="13" l="1"/>
  <c r="I35" i="6"/>
  <c r="I38" i="6" l="1"/>
  <c r="AB130" i="5"/>
  <c r="AA130" i="5"/>
  <c r="AM130" i="5" l="1"/>
  <c r="AO130" i="5" s="1"/>
  <c r="AF175" i="5" l="1"/>
  <c r="J139" i="12" s="1"/>
  <c r="AK90" i="5" l="1"/>
  <c r="AS90" i="5" l="1"/>
  <c r="AF253" i="5"/>
  <c r="AJ253" i="5" l="1"/>
  <c r="AF109" i="5"/>
  <c r="J84" i="12" s="1"/>
  <c r="AF252" i="5"/>
  <c r="AF250" i="5"/>
  <c r="J200" i="12" s="1"/>
  <c r="AF249" i="5"/>
  <c r="AF248" i="5"/>
  <c r="J198" i="12" s="1"/>
  <c r="AF247" i="5"/>
  <c r="AF246" i="5"/>
  <c r="AF245" i="5"/>
  <c r="AJ245" i="5" s="1"/>
  <c r="AF244" i="5"/>
  <c r="AF243" i="5"/>
  <c r="J196" i="12" l="1"/>
  <c r="AJ246" i="5"/>
  <c r="J197" i="12"/>
  <c r="AJ247" i="5"/>
  <c r="J195" i="12"/>
  <c r="D14" i="16"/>
  <c r="J199" i="12"/>
  <c r="AJ249" i="5"/>
  <c r="AG109" i="5"/>
  <c r="AJ252" i="5"/>
  <c r="AK327" i="5" l="1"/>
  <c r="AS327" i="5" s="1"/>
  <c r="AK215" i="5"/>
  <c r="AK156" i="5"/>
  <c r="AS156" i="5" s="1"/>
  <c r="AF9" i="5"/>
  <c r="B10" i="6" s="1"/>
  <c r="AK9" i="5" l="1"/>
  <c r="AS215" i="5"/>
  <c r="G6" i="16"/>
  <c r="AF230" i="5"/>
  <c r="J183" i="12" s="1"/>
  <c r="AS9" i="5" l="1"/>
  <c r="AI230" i="5"/>
  <c r="AM230" i="5" s="1"/>
  <c r="AO230" i="5" s="1"/>
  <c r="AE199" i="5"/>
  <c r="AF242" i="5" l="1"/>
  <c r="J194" i="12" s="1"/>
  <c r="AF241" i="5" l="1"/>
  <c r="J193" i="12" s="1"/>
  <c r="AF240" i="5" l="1"/>
  <c r="J192" i="12" s="1"/>
  <c r="AF239" i="5" l="1"/>
  <c r="J191" i="12" s="1"/>
  <c r="AF238" i="5"/>
  <c r="J190" i="12" s="1"/>
  <c r="AF237" i="5"/>
  <c r="AI238" i="5" l="1"/>
  <c r="AI239" i="5"/>
  <c r="AM239" i="5" s="1"/>
  <c r="AO239" i="5" s="1"/>
  <c r="AF236" i="5"/>
  <c r="J189" i="12" s="1"/>
  <c r="AF235" i="5" l="1"/>
  <c r="J188" i="12" s="1"/>
  <c r="AF234" i="5" l="1"/>
  <c r="J187" i="12" s="1"/>
  <c r="AI234" i="5" l="1"/>
  <c r="AO234" i="5"/>
  <c r="AF163" i="5"/>
  <c r="J128" i="12" s="1"/>
  <c r="AF229" i="5"/>
  <c r="J182" i="12" s="1"/>
  <c r="AI229" i="5" l="1"/>
  <c r="AK229" i="5" s="1"/>
  <c r="AS229" i="5" s="1"/>
  <c r="J54" i="13"/>
  <c r="I54" i="13"/>
  <c r="G54" i="13"/>
  <c r="F54" i="13"/>
  <c r="E54" i="13"/>
  <c r="D54" i="13"/>
  <c r="C54" i="13"/>
  <c r="B54" i="13"/>
  <c r="J53" i="13"/>
  <c r="I53" i="13"/>
  <c r="G53" i="13"/>
  <c r="F53" i="13"/>
  <c r="E53" i="13"/>
  <c r="D53" i="13"/>
  <c r="C53" i="13"/>
  <c r="B53" i="13"/>
  <c r="AF233" i="5"/>
  <c r="J186" i="12" s="1"/>
  <c r="AF232" i="5"/>
  <c r="AF231" i="5"/>
  <c r="J184" i="12" s="1"/>
  <c r="H54" i="13"/>
  <c r="J185" i="12" l="1"/>
  <c r="AI232" i="5"/>
  <c r="AI233" i="5"/>
  <c r="AM233" i="5" s="1"/>
  <c r="AO233" i="5" s="1"/>
  <c r="AF176" i="5"/>
  <c r="J140" i="12" s="1"/>
  <c r="AI176" i="5" l="1"/>
  <c r="AK176" i="5" s="1"/>
  <c r="AS176" i="5" s="1"/>
  <c r="BB364" i="5" l="1"/>
  <c r="BB363" i="5"/>
  <c r="BB362" i="5"/>
  <c r="BB361" i="5"/>
  <c r="BB360" i="5"/>
  <c r="BB359" i="5"/>
  <c r="BB358" i="5"/>
  <c r="BB357" i="5"/>
  <c r="BB356" i="5"/>
  <c r="BB355" i="5"/>
  <c r="BB354" i="5"/>
  <c r="BB353" i="5"/>
  <c r="BB352" i="5"/>
  <c r="BB351" i="5"/>
  <c r="BB350" i="5"/>
  <c r="BB349" i="5"/>
  <c r="BB348" i="5"/>
  <c r="BB347" i="5"/>
  <c r="BB346" i="5"/>
  <c r="BB345" i="5"/>
  <c r="BB344" i="5"/>
  <c r="BB343" i="5"/>
  <c r="BB342" i="5"/>
  <c r="BB341" i="5"/>
  <c r="BB340" i="5"/>
  <c r="BB339" i="5"/>
  <c r="BB338" i="5"/>
  <c r="BB337" i="5"/>
  <c r="BB336" i="5"/>
  <c r="BB335" i="5"/>
  <c r="BB334" i="5"/>
  <c r="BB333" i="5"/>
  <c r="BB327" i="5"/>
  <c r="BB325" i="5"/>
  <c r="BB324" i="5"/>
  <c r="BB236" i="5"/>
  <c r="BB228" i="5"/>
  <c r="BB227" i="5"/>
  <c r="BB226" i="5"/>
  <c r="BB225" i="5"/>
  <c r="BB224" i="5"/>
  <c r="BB220" i="5"/>
  <c r="BB222" i="5"/>
  <c r="BB221" i="5"/>
  <c r="BB223" i="5"/>
  <c r="BB219" i="5"/>
  <c r="BB218" i="5"/>
  <c r="BB217" i="5"/>
  <c r="BB211" i="5"/>
  <c r="BB214" i="5"/>
  <c r="AF228" i="5"/>
  <c r="AF227" i="5"/>
  <c r="BB208" i="5" l="1"/>
  <c r="BB136" i="5"/>
  <c r="AS227" i="5"/>
  <c r="AG227" i="5"/>
  <c r="AK228" i="5"/>
  <c r="AS228" i="5" s="1"/>
  <c r="AG228" i="5"/>
  <c r="BB210" i="5"/>
  <c r="BB182" i="5"/>
  <c r="BB179" i="5"/>
  <c r="AF226" i="5"/>
  <c r="AG226" i="5" s="1"/>
  <c r="A52" i="13" l="1"/>
  <c r="B52" i="13"/>
  <c r="C52" i="13"/>
  <c r="D52" i="13"/>
  <c r="E52" i="13"/>
  <c r="F52" i="13"/>
  <c r="G52" i="13"/>
  <c r="I52" i="13"/>
  <c r="J52" i="13"/>
  <c r="A53" i="13"/>
  <c r="H53" i="13"/>
  <c r="H52" i="13"/>
  <c r="BB156" i="5" l="1"/>
  <c r="AF155" i="5"/>
  <c r="J121" i="12" s="1"/>
  <c r="AJ156" i="5"/>
  <c r="AB156" i="5"/>
  <c r="AA156" i="5"/>
  <c r="AF327" i="5" l="1"/>
  <c r="AF36" i="5" l="1"/>
  <c r="J31" i="12" s="1"/>
  <c r="AB36" i="5"/>
  <c r="AA36" i="5"/>
  <c r="AX36" i="5" l="1"/>
  <c r="AJ36" i="5"/>
  <c r="AD88" i="5"/>
  <c r="AF88" i="5" s="1"/>
  <c r="J69" i="12" s="1"/>
  <c r="AB88" i="5"/>
  <c r="AA88" i="5"/>
  <c r="AK88" i="5" l="1"/>
  <c r="AS88" i="5" s="1"/>
  <c r="AE177" i="5"/>
  <c r="I12" i="13" l="1"/>
  <c r="I13" i="13"/>
  <c r="I46"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7" i="13"/>
  <c r="I48" i="13"/>
  <c r="I49" i="13"/>
  <c r="I50" i="13"/>
  <c r="I51" i="13"/>
  <c r="A50" i="13"/>
  <c r="B50" i="13"/>
  <c r="C50" i="13"/>
  <c r="D50" i="13"/>
  <c r="E50" i="13"/>
  <c r="F50" i="13"/>
  <c r="G50" i="13"/>
  <c r="J50" i="13"/>
  <c r="A51" i="13"/>
  <c r="B51" i="13"/>
  <c r="C51" i="13"/>
  <c r="D51" i="13"/>
  <c r="E51" i="13"/>
  <c r="F51" i="13"/>
  <c r="G51" i="13"/>
  <c r="J51" i="13"/>
  <c r="H51" i="13"/>
  <c r="H50" i="13" l="1"/>
  <c r="AF225" i="5"/>
  <c r="J181" i="12" s="1"/>
  <c r="AF214" i="5"/>
  <c r="AK214" i="5" s="1"/>
  <c r="AS214" i="5" s="1"/>
  <c r="AF224" i="5" l="1"/>
  <c r="J180" i="12" s="1"/>
  <c r="AF220" i="5"/>
  <c r="J177" i="12" s="1"/>
  <c r="AI220" i="5" l="1"/>
  <c r="AK224" i="5"/>
  <c r="AS224" i="5" s="1"/>
  <c r="AF222" i="5"/>
  <c r="AF223" i="5" l="1"/>
  <c r="J179" i="12" s="1"/>
  <c r="AF221" i="5"/>
  <c r="J178" i="12" s="1"/>
  <c r="AI221" i="5" l="1"/>
  <c r="AI223" i="5"/>
  <c r="AE116" i="5"/>
  <c r="AF332" i="5"/>
  <c r="AF218" i="5"/>
  <c r="J175" i="12" s="1"/>
  <c r="AF217" i="5"/>
  <c r="J174" i="12" s="1"/>
  <c r="AK216" i="5" l="1"/>
  <c r="AS216" i="5" s="1"/>
  <c r="AI217" i="5"/>
  <c r="AI218" i="5"/>
  <c r="AF215" i="5"/>
  <c r="J173" i="12" s="1"/>
  <c r="AF213" i="5"/>
  <c r="J172" i="12" s="1"/>
  <c r="AF212" i="5"/>
  <c r="J171" i="12" s="1"/>
  <c r="AJ213" i="5" l="1"/>
  <c r="AI212" i="5"/>
  <c r="BB213" i="5"/>
  <c r="AJ332" i="5"/>
  <c r="AK332" i="5"/>
  <c r="AS332" i="5" s="1"/>
  <c r="AF211" i="5"/>
  <c r="J170" i="12" s="1"/>
  <c r="AI211" i="5" l="1"/>
  <c r="BB216" i="5"/>
  <c r="AB207" i="5"/>
  <c r="AA207" i="5"/>
  <c r="AB206" i="5"/>
  <c r="AA206" i="5"/>
  <c r="AB205" i="5"/>
  <c r="AA205" i="5"/>
  <c r="AB204" i="5"/>
  <c r="AA204" i="5"/>
  <c r="AB203" i="5"/>
  <c r="AA203" i="5"/>
  <c r="AB202" i="5"/>
  <c r="AA202" i="5"/>
  <c r="AB199" i="5"/>
  <c r="AA199" i="5"/>
  <c r="AB185" i="5"/>
  <c r="AA185" i="5"/>
  <c r="AB184" i="5"/>
  <c r="AA184" i="5"/>
  <c r="AB183" i="5"/>
  <c r="AA183" i="5"/>
  <c r="AB182" i="5"/>
  <c r="AA182" i="5"/>
  <c r="AB181" i="5"/>
  <c r="AA181" i="5"/>
  <c r="AB180" i="5"/>
  <c r="AA180" i="5"/>
  <c r="AB179" i="5"/>
  <c r="AA179" i="5"/>
  <c r="AB178" i="5"/>
  <c r="AA178" i="5"/>
  <c r="AB177" i="5"/>
  <c r="AA177" i="5"/>
  <c r="AB175" i="5"/>
  <c r="AA175" i="5"/>
  <c r="AB174" i="5"/>
  <c r="AA174" i="5"/>
  <c r="AB173" i="5"/>
  <c r="AA173" i="5"/>
  <c r="AB172" i="5"/>
  <c r="AA172" i="5"/>
  <c r="AB171" i="5"/>
  <c r="AA171" i="5"/>
  <c r="AB170" i="5"/>
  <c r="AA170" i="5"/>
  <c r="AB168" i="5"/>
  <c r="AA168" i="5"/>
  <c r="AB167" i="5"/>
  <c r="AA167" i="5"/>
  <c r="AB166" i="5"/>
  <c r="AA166" i="5"/>
  <c r="AB165" i="5"/>
  <c r="AA165" i="5"/>
  <c r="AB164" i="5"/>
  <c r="AA164" i="5"/>
  <c r="AB162" i="5"/>
  <c r="AA162" i="5"/>
  <c r="AB161" i="5"/>
  <c r="AA161" i="5"/>
  <c r="AB160" i="5"/>
  <c r="AA160" i="5"/>
  <c r="AB159" i="5"/>
  <c r="AA159" i="5"/>
  <c r="AB157" i="5"/>
  <c r="AA157" i="5"/>
  <c r="AB155" i="5"/>
  <c r="AA155" i="5"/>
  <c r="AB154" i="5"/>
  <c r="AA154" i="5"/>
  <c r="AB153" i="5"/>
  <c r="AA153" i="5"/>
  <c r="AB152" i="5"/>
  <c r="AA152" i="5"/>
  <c r="BB212" i="5" l="1"/>
  <c r="BB215" i="5"/>
  <c r="AE209" i="5"/>
  <c r="AE147" i="5" l="1"/>
  <c r="AE203" i="5" l="1"/>
  <c r="AE205" i="5" l="1"/>
  <c r="AE142" i="5" l="1"/>
  <c r="AF210" i="5" l="1"/>
  <c r="J169" i="12" s="1"/>
  <c r="AF209" i="5"/>
  <c r="J168" i="12" s="1"/>
  <c r="AF208" i="5"/>
  <c r="J167" i="12" s="1"/>
  <c r="AF207" i="5"/>
  <c r="J166" i="12" s="1"/>
  <c r="AF206" i="5"/>
  <c r="J165" i="12" s="1"/>
  <c r="A49" i="13"/>
  <c r="B49" i="13"/>
  <c r="C49" i="13"/>
  <c r="D49" i="13"/>
  <c r="E49" i="13"/>
  <c r="F49" i="13"/>
  <c r="G49" i="13"/>
  <c r="J49" i="13"/>
  <c r="H49" i="13"/>
  <c r="AI207" i="5" l="1"/>
  <c r="AO207" i="5" s="1"/>
  <c r="AI206" i="5"/>
  <c r="AI209" i="5"/>
  <c r="AK209" i="5" s="1"/>
  <c r="AS209" i="5" s="1"/>
  <c r="AI210" i="5"/>
  <c r="M28" i="6"/>
  <c r="BB207" i="5" l="1"/>
  <c r="BB209" i="5"/>
  <c r="AB129" i="5" l="1"/>
  <c r="AA129" i="5"/>
  <c r="AF90" i="5"/>
  <c r="J71" i="12" s="1"/>
  <c r="AB90" i="5"/>
  <c r="AA90" i="5"/>
  <c r="AJ90" i="5" l="1"/>
  <c r="AK129" i="5"/>
  <c r="AS129" i="5" s="1"/>
  <c r="AJ129" i="5" l="1"/>
  <c r="AF205" i="5"/>
  <c r="J164" i="12" s="1"/>
  <c r="AI205" i="5" l="1"/>
  <c r="AJ205" i="5" s="1"/>
  <c r="H48" i="13"/>
  <c r="A47" i="13"/>
  <c r="B47" i="13"/>
  <c r="C47" i="13"/>
  <c r="D47" i="13"/>
  <c r="E47" i="13"/>
  <c r="F47" i="13"/>
  <c r="G47" i="13"/>
  <c r="J47" i="13"/>
  <c r="A48" i="13"/>
  <c r="B48" i="13"/>
  <c r="C48" i="13"/>
  <c r="D48" i="13"/>
  <c r="E48" i="13"/>
  <c r="F48" i="13"/>
  <c r="G48" i="13"/>
  <c r="J48" i="13"/>
  <c r="H47" i="13"/>
  <c r="AX136" i="5" l="1"/>
  <c r="AK136" i="5"/>
  <c r="AU136" i="5" l="1"/>
  <c r="AS136" i="5"/>
  <c r="AE107" i="5"/>
  <c r="AD27" i="5" l="1"/>
  <c r="AK9" i="1" l="1"/>
  <c r="AK10" i="1"/>
  <c r="AK11" i="1"/>
  <c r="AK12" i="1"/>
  <c r="AK13" i="1"/>
  <c r="AK14" i="1"/>
  <c r="AK15" i="1"/>
  <c r="AK16" i="1"/>
  <c r="AK17" i="1"/>
  <c r="AK18" i="1"/>
  <c r="AK19" i="1"/>
  <c r="AK20" i="1"/>
  <c r="AK23" i="1"/>
  <c r="AK24" i="1"/>
  <c r="AK8" i="1"/>
  <c r="AK7" i="1"/>
  <c r="H75" i="13" s="1"/>
  <c r="AV24" i="1" l="1"/>
  <c r="AY24" i="1" s="1"/>
  <c r="AV23" i="1"/>
  <c r="AY23" i="1" s="1"/>
  <c r="AV22" i="1"/>
  <c r="AY22" i="1" s="1"/>
  <c r="AV21" i="1"/>
  <c r="AY21" i="1" s="1"/>
  <c r="AK4" i="1" l="1"/>
  <c r="AG187" i="5"/>
  <c r="AD187" i="5"/>
  <c r="AF187" i="5" s="1"/>
  <c r="AJ187" i="5" l="1"/>
  <c r="A39" i="13"/>
  <c r="B39" i="13"/>
  <c r="C39" i="13"/>
  <c r="D39" i="13"/>
  <c r="E39" i="13"/>
  <c r="F39" i="13"/>
  <c r="G39" i="13"/>
  <c r="H39" i="13"/>
  <c r="J39" i="13"/>
  <c r="A40" i="13"/>
  <c r="B40" i="13"/>
  <c r="C40" i="13"/>
  <c r="D40" i="13"/>
  <c r="E40" i="13"/>
  <c r="F40" i="13"/>
  <c r="G40" i="13"/>
  <c r="H40" i="13"/>
  <c r="J40" i="13"/>
  <c r="A41" i="13"/>
  <c r="B41" i="13"/>
  <c r="C41" i="13"/>
  <c r="D41" i="13"/>
  <c r="E41" i="13"/>
  <c r="F41" i="13"/>
  <c r="G41" i="13"/>
  <c r="H41" i="13"/>
  <c r="J41" i="13"/>
  <c r="A42" i="13"/>
  <c r="B42" i="13"/>
  <c r="C42" i="13"/>
  <c r="D42" i="13"/>
  <c r="E42" i="13"/>
  <c r="F42" i="13"/>
  <c r="G42" i="13"/>
  <c r="H42" i="13"/>
  <c r="J42" i="13"/>
  <c r="A43" i="13"/>
  <c r="B43" i="13"/>
  <c r="C43" i="13"/>
  <c r="D43" i="13"/>
  <c r="E43" i="13"/>
  <c r="F43" i="13"/>
  <c r="G43" i="13"/>
  <c r="H43" i="13"/>
  <c r="J43" i="13"/>
  <c r="A44" i="13"/>
  <c r="B44" i="13"/>
  <c r="C44" i="13"/>
  <c r="D44" i="13"/>
  <c r="E44" i="13"/>
  <c r="F44" i="13"/>
  <c r="G44" i="13"/>
  <c r="H44" i="13"/>
  <c r="J44" i="13"/>
  <c r="A45" i="13"/>
  <c r="B45" i="13"/>
  <c r="C45" i="13"/>
  <c r="D45" i="13"/>
  <c r="E45" i="13"/>
  <c r="F45" i="13"/>
  <c r="G45" i="13"/>
  <c r="H45" i="13"/>
  <c r="J45" i="13"/>
  <c r="A46" i="13"/>
  <c r="B46" i="13"/>
  <c r="C46" i="13"/>
  <c r="D46" i="13"/>
  <c r="E46" i="13"/>
  <c r="F46" i="13"/>
  <c r="G46" i="13"/>
  <c r="H46" i="13"/>
  <c r="J46" i="13"/>
  <c r="AA142" i="5"/>
  <c r="AB142" i="5"/>
  <c r="AC171" i="5"/>
  <c r="G135" i="12" s="1"/>
  <c r="AC172" i="5"/>
  <c r="G136" i="12" s="1"/>
  <c r="AC173" i="5"/>
  <c r="G137" i="12" s="1"/>
  <c r="AC177" i="5"/>
  <c r="G141" i="12" s="1"/>
  <c r="AE158" i="5" l="1"/>
  <c r="AD134" i="5" l="1"/>
  <c r="AF134" i="5" s="1"/>
  <c r="J102" i="12" s="1"/>
  <c r="AF203" i="5" l="1"/>
  <c r="J162" i="12" s="1"/>
  <c r="AF202" i="5"/>
  <c r="J161" i="12" s="1"/>
  <c r="AK203" i="5" l="1"/>
  <c r="AS203" i="5" s="1"/>
  <c r="AI203" i="5"/>
  <c r="AI202" i="5"/>
  <c r="AJ202" i="5" s="1"/>
  <c r="AF199" i="5"/>
  <c r="J158" i="12" s="1"/>
  <c r="AJ203" i="5" l="1"/>
  <c r="AI199" i="5"/>
  <c r="AJ136" i="5"/>
  <c r="AE122" i="5"/>
  <c r="AE25" i="5"/>
  <c r="AE24" i="5"/>
  <c r="AE23" i="5"/>
  <c r="AJ199" i="5" l="1"/>
  <c r="BB203" i="5"/>
  <c r="H38" i="6"/>
  <c r="G38" i="6"/>
  <c r="F38" i="6"/>
  <c r="E38" i="6"/>
  <c r="D38" i="6"/>
  <c r="C38" i="6"/>
  <c r="B38" i="6"/>
  <c r="E10" i="6" l="1"/>
  <c r="J22" i="6"/>
  <c r="I15" i="6"/>
  <c r="F22" i="6" l="1"/>
  <c r="H19" i="6"/>
  <c r="J19" i="6" s="1"/>
  <c r="F23" i="6" l="1"/>
  <c r="H23" i="6" s="1"/>
  <c r="J23" i="6" s="1"/>
  <c r="F21" i="6"/>
  <c r="H21" i="6" s="1"/>
  <c r="J21" i="6" s="1"/>
  <c r="E16" i="6"/>
  <c r="E28" i="6"/>
  <c r="N7" i="6"/>
  <c r="D20" i="6"/>
  <c r="F20" i="6" s="1"/>
  <c r="L19" i="6"/>
  <c r="L28" i="6" s="1"/>
  <c r="F27" i="6"/>
  <c r="H27" i="6" s="1"/>
  <c r="J27" i="6" s="1"/>
  <c r="F26" i="6"/>
  <c r="H26" i="6" s="1"/>
  <c r="J26" i="6" s="1"/>
  <c r="F25" i="6"/>
  <c r="H25" i="6" s="1"/>
  <c r="J25" i="6" s="1"/>
  <c r="F24" i="6"/>
  <c r="H24" i="6" s="1"/>
  <c r="J24" i="6" s="1"/>
  <c r="C28" i="6"/>
  <c r="G28" i="6"/>
  <c r="N11" i="6"/>
  <c r="E30" i="6" l="1"/>
  <c r="F10" i="6"/>
  <c r="E40" i="6" l="1"/>
  <c r="E45" i="6" s="1"/>
  <c r="E49" i="6" s="1"/>
  <c r="AF97" i="5"/>
  <c r="J76" i="12" s="1"/>
  <c r="D12" i="6"/>
  <c r="F12" i="6" s="1"/>
  <c r="AK97" i="5" l="1"/>
  <c r="AS97" i="5" s="1"/>
  <c r="B20" i="6"/>
  <c r="H20" i="6" s="1"/>
  <c r="D28" i="6" l="1"/>
  <c r="F28" i="6" l="1"/>
  <c r="AX333" i="5" l="1"/>
  <c r="AF330" i="5"/>
  <c r="AF329" i="5"/>
  <c r="BB206" i="5"/>
  <c r="BB199" i="5"/>
  <c r="BB193" i="5"/>
  <c r="BB188" i="5"/>
  <c r="BB177" i="5"/>
  <c r="BB157" i="5"/>
  <c r="AX151" i="5"/>
  <c r="AX147" i="5"/>
  <c r="BB151" i="5"/>
  <c r="BB147" i="5"/>
  <c r="BB145" i="5"/>
  <c r="BB138" i="5"/>
  <c r="AX120" i="5"/>
  <c r="BB120" i="5"/>
  <c r="AX107" i="5"/>
  <c r="BB92" i="5"/>
  <c r="BB90" i="5"/>
  <c r="BB58" i="5"/>
  <c r="I12" i="6"/>
  <c r="AX108" i="5" l="1"/>
  <c r="AX326" i="5"/>
  <c r="AX24" i="5"/>
  <c r="AX154" i="5"/>
  <c r="AX329" i="5"/>
  <c r="AX35" i="5"/>
  <c r="AX330" i="5"/>
  <c r="AX58" i="5"/>
  <c r="AX135" i="5"/>
  <c r="BB140" i="5"/>
  <c r="AX116" i="5" l="1"/>
  <c r="A38" i="13"/>
  <c r="B38" i="13"/>
  <c r="C38" i="13"/>
  <c r="D38" i="13"/>
  <c r="E38" i="13"/>
  <c r="F38" i="13"/>
  <c r="G38" i="13"/>
  <c r="H38" i="13"/>
  <c r="J38" i="13"/>
  <c r="AX92" i="5" l="1"/>
  <c r="AJ155" i="5"/>
  <c r="AJ323" i="5"/>
  <c r="AF326" i="5"/>
  <c r="AJ326" i="5" s="1"/>
  <c r="AF331" i="5"/>
  <c r="AJ331" i="5" s="1"/>
  <c r="AF328" i="5"/>
  <c r="AF251" i="5"/>
  <c r="J201" i="12" s="1"/>
  <c r="AB357" i="5"/>
  <c r="AA357" i="5"/>
  <c r="AB356" i="5"/>
  <c r="AA356" i="5"/>
  <c r="AB355" i="5"/>
  <c r="AA355" i="5"/>
  <c r="AB330" i="5"/>
  <c r="AA330" i="5"/>
  <c r="AB329" i="5"/>
  <c r="AA329" i="5"/>
  <c r="AB328" i="5"/>
  <c r="AA328" i="5"/>
  <c r="AB326" i="5"/>
  <c r="AA326" i="5"/>
  <c r="AB323" i="5"/>
  <c r="AA323" i="5"/>
  <c r="AF197" i="5"/>
  <c r="J156" i="12" s="1"/>
  <c r="B53" i="6" l="1"/>
  <c r="AJ328" i="5"/>
  <c r="AJ197" i="5"/>
  <c r="AE153" i="5"/>
  <c r="AE133" i="5"/>
  <c r="AJ251" i="5" l="1"/>
  <c r="AF108" i="5"/>
  <c r="J83" i="12" s="1"/>
  <c r="AE94" i="5" l="1"/>
  <c r="BB251" i="5" l="1"/>
  <c r="N23" i="1"/>
  <c r="N21" i="1"/>
  <c r="AW24" i="1"/>
  <c r="N24" i="1"/>
  <c r="AW23" i="1"/>
  <c r="AW22" i="1"/>
  <c r="N22" i="1"/>
  <c r="AW21" i="1"/>
  <c r="AW20" i="1"/>
  <c r="N20" i="1"/>
  <c r="AX251" i="5" l="1"/>
  <c r="AF181" i="5"/>
  <c r="AF174" i="5"/>
  <c r="J138" i="12" s="1"/>
  <c r="AC174" i="5"/>
  <c r="G138" i="12" s="1"/>
  <c r="AF165" i="5"/>
  <c r="J130" i="12" s="1"/>
  <c r="AF161" i="5"/>
  <c r="J126" i="12" s="1"/>
  <c r="AC161" i="5"/>
  <c r="G126" i="12" s="1"/>
  <c r="AF158" i="5"/>
  <c r="J124" i="12" s="1"/>
  <c r="AC158" i="5"/>
  <c r="G124" i="12" s="1"/>
  <c r="AF147" i="5"/>
  <c r="J114" i="12" s="1"/>
  <c r="AF153" i="5"/>
  <c r="J119" i="12" s="1"/>
  <c r="AE154" i="5"/>
  <c r="AF154" i="5" s="1"/>
  <c r="J120" i="12" s="1"/>
  <c r="AF142" i="5"/>
  <c r="J109" i="12" s="1"/>
  <c r="AF138" i="5"/>
  <c r="J105" i="12" s="1"/>
  <c r="AF94" i="5"/>
  <c r="J74" i="12" s="1"/>
  <c r="AF96" i="5"/>
  <c r="AB29" i="5"/>
  <c r="AA29" i="5"/>
  <c r="AF196" i="5"/>
  <c r="J155" i="12" s="1"/>
  <c r="AF195" i="5"/>
  <c r="AF193" i="5"/>
  <c r="J153" i="12" s="1"/>
  <c r="AF192" i="5"/>
  <c r="J152" i="12" s="1"/>
  <c r="AF191" i="5"/>
  <c r="J151" i="12" s="1"/>
  <c r="AF190" i="5"/>
  <c r="J150" i="12" s="1"/>
  <c r="AF188" i="5"/>
  <c r="J148" i="12" s="1"/>
  <c r="AJ193" i="5" l="1"/>
  <c r="AI190" i="5"/>
  <c r="AJ147" i="5"/>
  <c r="AK147" i="5" s="1"/>
  <c r="AS147" i="5" s="1"/>
  <c r="AJ192" i="5"/>
  <c r="AJ196" i="5"/>
  <c r="AJ191" i="5"/>
  <c r="AJ142" i="5"/>
  <c r="AK142" i="5" s="1"/>
  <c r="AS142" i="5" s="1"/>
  <c r="AJ158" i="5"/>
  <c r="AJ195" i="5"/>
  <c r="AJ138" i="5"/>
  <c r="AJ161" i="5"/>
  <c r="AK161" i="5" s="1"/>
  <c r="AS161" i="5" s="1"/>
  <c r="AI181" i="5"/>
  <c r="AI174" i="5"/>
  <c r="AJ174" i="5" s="1"/>
  <c r="AI154" i="5"/>
  <c r="AI175" i="5"/>
  <c r="AK175" i="5" s="1"/>
  <c r="AS175" i="5" s="1"/>
  <c r="AJ29" i="5"/>
  <c r="AJ190" i="5" l="1"/>
  <c r="AK190" i="5"/>
  <c r="AS190" i="5" s="1"/>
  <c r="AJ154" i="5"/>
  <c r="AK154" i="5"/>
  <c r="AS154" i="5" s="1"/>
  <c r="AJ175" i="5"/>
  <c r="BD17" i="5"/>
  <c r="AE83" i="5"/>
  <c r="AE70" i="5"/>
  <c r="AE54" i="5"/>
  <c r="BB196" i="5" l="1"/>
  <c r="AF95" i="5"/>
  <c r="J75" i="12" s="1"/>
  <c r="AU10" i="5"/>
  <c r="AU11" i="5"/>
  <c r="AU42" i="5"/>
  <c r="AF160" i="5"/>
  <c r="J125" i="12" s="1"/>
  <c r="AF162" i="5"/>
  <c r="J127" i="12" s="1"/>
  <c r="AF164" i="5"/>
  <c r="J129" i="12" s="1"/>
  <c r="AI165" i="5"/>
  <c r="AF166" i="5"/>
  <c r="J131" i="12" s="1"/>
  <c r="AF167" i="5"/>
  <c r="AF168" i="5"/>
  <c r="J132" i="12" s="1"/>
  <c r="AF170" i="5"/>
  <c r="J134" i="12" s="1"/>
  <c r="AF171" i="5"/>
  <c r="J135" i="12" s="1"/>
  <c r="AF172" i="5"/>
  <c r="J136" i="12" s="1"/>
  <c r="AF173" i="5"/>
  <c r="AF177" i="5"/>
  <c r="J141" i="12" s="1"/>
  <c r="AF178" i="5"/>
  <c r="AF179" i="5"/>
  <c r="J142" i="12" s="1"/>
  <c r="AF180" i="5"/>
  <c r="J143" i="12" s="1"/>
  <c r="AF182" i="5"/>
  <c r="J144" i="12" s="1"/>
  <c r="AF183" i="5"/>
  <c r="J145" i="12" s="1"/>
  <c r="AF184" i="5"/>
  <c r="J146" i="12" s="1"/>
  <c r="AF185" i="5"/>
  <c r="J147" i="12" s="1"/>
  <c r="AF198" i="5"/>
  <c r="J157" i="12" s="1"/>
  <c r="AF204" i="5"/>
  <c r="J163" i="12" s="1"/>
  <c r="AF321" i="5"/>
  <c r="AF322" i="5"/>
  <c r="AG96" i="5"/>
  <c r="AJ96" i="5" s="1"/>
  <c r="AF151" i="5"/>
  <c r="AF149" i="5"/>
  <c r="J116" i="12" s="1"/>
  <c r="AF148" i="5"/>
  <c r="J115" i="12" s="1"/>
  <c r="AF146" i="5"/>
  <c r="J113" i="12" s="1"/>
  <c r="AI173" i="5" l="1"/>
  <c r="J137" i="12"/>
  <c r="AK164" i="5"/>
  <c r="AS164" i="5" s="1"/>
  <c r="AG164" i="5"/>
  <c r="AI148" i="5"/>
  <c r="AK148" i="5" s="1"/>
  <c r="AS148" i="5" s="1"/>
  <c r="AI204" i="5"/>
  <c r="AJ204" i="5" s="1"/>
  <c r="AG95" i="5"/>
  <c r="AK95" i="5"/>
  <c r="AS95" i="5" s="1"/>
  <c r="AJ198" i="5"/>
  <c r="AK198" i="5" s="1"/>
  <c r="AS198" i="5" s="1"/>
  <c r="AJ165" i="5"/>
  <c r="AJ162" i="5"/>
  <c r="AI183" i="5"/>
  <c r="AJ183" i="5" s="1"/>
  <c r="AJ151" i="5"/>
  <c r="AI182" i="5"/>
  <c r="AJ146" i="5"/>
  <c r="AI185" i="5"/>
  <c r="AJ185" i="5" s="1"/>
  <c r="AG322" i="5"/>
  <c r="AK322" i="5" s="1"/>
  <c r="AS322" i="5" s="1"/>
  <c r="AI167" i="5"/>
  <c r="AJ167" i="5" s="1"/>
  <c r="AI171" i="5"/>
  <c r="AI166" i="5"/>
  <c r="AI172" i="5"/>
  <c r="AI170" i="5"/>
  <c r="AJ170" i="5" s="1"/>
  <c r="AI178" i="5"/>
  <c r="AJ178" i="5" s="1"/>
  <c r="AI177" i="5"/>
  <c r="AJ173" i="5"/>
  <c r="AJ179" i="5"/>
  <c r="AJ181" i="5"/>
  <c r="AK149" i="5"/>
  <c r="AS149" i="5" s="1"/>
  <c r="AI184" i="5"/>
  <c r="AJ184" i="5" s="1"/>
  <c r="AI180" i="5"/>
  <c r="AE86" i="5"/>
  <c r="AJ168" i="5" l="1"/>
  <c r="AJ172" i="5"/>
  <c r="AK172" i="5"/>
  <c r="AS172" i="5" s="1"/>
  <c r="AJ164" i="5"/>
  <c r="AJ148" i="5"/>
  <c r="AJ182" i="5"/>
  <c r="AK182" i="5"/>
  <c r="AS182" i="5" s="1"/>
  <c r="AJ171" i="5"/>
  <c r="AK171" i="5"/>
  <c r="AS171" i="5" s="1"/>
  <c r="AJ180" i="5"/>
  <c r="AK180" i="5"/>
  <c r="AS180" i="5" s="1"/>
  <c r="AJ166" i="5"/>
  <c r="AK166" i="5"/>
  <c r="AS166" i="5" s="1"/>
  <c r="AJ177" i="5"/>
  <c r="AJ322" i="5"/>
  <c r="M16" i="6"/>
  <c r="G16" i="6"/>
  <c r="BB164" i="5" l="1"/>
  <c r="AF145" i="5"/>
  <c r="AF144" i="5"/>
  <c r="J111" i="12" l="1"/>
  <c r="E14" i="16"/>
  <c r="B56" i="6"/>
  <c r="I56" i="6" s="1"/>
  <c r="I60" i="6" s="1"/>
  <c r="J112" i="12"/>
  <c r="AJ145" i="5"/>
  <c r="AG144" i="5"/>
  <c r="AJ144" i="5" s="1"/>
  <c r="AJ321" i="5"/>
  <c r="AI149" i="5"/>
  <c r="AJ149" i="5" s="1"/>
  <c r="E19" i="16" l="1"/>
  <c r="E31" i="16" s="1"/>
  <c r="F14" i="16"/>
  <c r="AE121" i="5"/>
  <c r="AF132" i="5" l="1"/>
  <c r="J100" i="12" s="1"/>
  <c r="AF35" i="5" l="1"/>
  <c r="J30" i="12" s="1"/>
  <c r="AI160" i="5"/>
  <c r="AJ160" i="5" s="1"/>
  <c r="AJ35" i="5" l="1"/>
  <c r="AK35" i="5" s="1"/>
  <c r="AS35" i="5" s="1"/>
  <c r="L27" i="6"/>
  <c r="L26" i="6"/>
  <c r="L25" i="6"/>
  <c r="L24" i="6"/>
  <c r="L23" i="6"/>
  <c r="L22" i="6"/>
  <c r="L21" i="6"/>
  <c r="G30" i="6"/>
  <c r="G40" i="6" s="1"/>
  <c r="N15" i="6"/>
  <c r="N13" i="6"/>
  <c r="D15" i="6"/>
  <c r="F15" i="6" s="1"/>
  <c r="B15" i="6"/>
  <c r="A14" i="6"/>
  <c r="L14" i="6" s="1"/>
  <c r="H15" i="6" l="1"/>
  <c r="J15" i="6" s="1"/>
  <c r="N14" i="6"/>
  <c r="C36" i="15"/>
  <c r="B36" i="15"/>
  <c r="AF116" i="5" l="1"/>
  <c r="AR7" i="5" l="1"/>
  <c r="AZ5" i="1"/>
  <c r="AR3" i="5" s="1"/>
  <c r="AR2" i="5" l="1"/>
  <c r="AB10" i="5" l="1"/>
  <c r="AA10" i="5"/>
  <c r="AF3" i="5"/>
  <c r="AO9" i="5"/>
  <c r="AF11" i="5"/>
  <c r="AB9" i="5"/>
  <c r="AA9" i="5"/>
  <c r="H10" i="6" l="1"/>
  <c r="AH9" i="5"/>
  <c r="AJ9" i="5" s="1"/>
  <c r="AU9" i="5"/>
  <c r="I10" i="6"/>
  <c r="J6" i="12"/>
  <c r="B12" i="6"/>
  <c r="H12" i="6" s="1"/>
  <c r="J12" i="6" s="1"/>
  <c r="AJ3" i="5"/>
  <c r="AE118" i="5"/>
  <c r="AJ10" i="5" l="1"/>
  <c r="AO10" i="5"/>
  <c r="J10" i="6"/>
  <c r="AH7" i="5"/>
  <c r="AH2" i="5" s="1"/>
  <c r="AF137" i="5"/>
  <c r="AD7" i="5"/>
  <c r="AF157" i="5"/>
  <c r="J123" i="12" s="1"/>
  <c r="AP10" i="5" l="1"/>
  <c r="AQ10" i="5" s="1"/>
  <c r="B55" i="6"/>
  <c r="B60" i="6" s="1"/>
  <c r="AG137" i="5"/>
  <c r="AJ137" i="5" s="1"/>
  <c r="BB10" i="5" l="1"/>
  <c r="AF159" i="5"/>
  <c r="AX10" i="5" l="1"/>
  <c r="AG159" i="5"/>
  <c r="AJ159" i="5" l="1"/>
  <c r="AK159" i="5"/>
  <c r="AS159" i="5" s="1"/>
  <c r="AX131" i="5" l="1"/>
  <c r="AX139" i="5"/>
  <c r="AX140" i="5"/>
  <c r="AI11" i="5"/>
  <c r="AJ11" i="5" s="1"/>
  <c r="AE7" i="5"/>
  <c r="AI38" i="5"/>
  <c r="AF340" i="5"/>
  <c r="AF339" i="5"/>
  <c r="AF338" i="5"/>
  <c r="AF337" i="5"/>
  <c r="AF336" i="5"/>
  <c r="AF335" i="5"/>
  <c r="AF334" i="5"/>
  <c r="AF333" i="5"/>
  <c r="AI157" i="5"/>
  <c r="AF152" i="5"/>
  <c r="J118" i="12" s="1"/>
  <c r="AF143" i="5"/>
  <c r="J110" i="12" s="1"/>
  <c r="AF141" i="5"/>
  <c r="J108" i="12" s="1"/>
  <c r="AF140" i="5"/>
  <c r="J107" i="12" s="1"/>
  <c r="AF139" i="5"/>
  <c r="J106" i="12" s="1"/>
  <c r="AF133" i="5"/>
  <c r="J101" i="12" s="1"/>
  <c r="AI132" i="5"/>
  <c r="AJ132" i="5" s="1"/>
  <c r="AF131" i="5"/>
  <c r="AF126" i="5"/>
  <c r="J97" i="12" s="1"/>
  <c r="AF125" i="5"/>
  <c r="J96" i="12" s="1"/>
  <c r="AF124" i="5"/>
  <c r="J95" i="12" s="1"/>
  <c r="AF123" i="5"/>
  <c r="J94" i="12" s="1"/>
  <c r="AF122" i="5"/>
  <c r="J93" i="12" s="1"/>
  <c r="AF121" i="5"/>
  <c r="J92" i="12" s="1"/>
  <c r="AF120" i="5"/>
  <c r="J91" i="12" s="1"/>
  <c r="AF119" i="5"/>
  <c r="J90" i="12" s="1"/>
  <c r="AF118" i="5"/>
  <c r="J89" i="12" s="1"/>
  <c r="AF117" i="5"/>
  <c r="AF115" i="5"/>
  <c r="AF114" i="5"/>
  <c r="J88" i="12" s="1"/>
  <c r="AF113" i="5"/>
  <c r="J87" i="12" s="1"/>
  <c r="AF112" i="5"/>
  <c r="AF111" i="5"/>
  <c r="J86" i="12" s="1"/>
  <c r="AF110" i="5"/>
  <c r="J85" i="12" s="1"/>
  <c r="AF107" i="5"/>
  <c r="J82" i="12" s="1"/>
  <c r="AF106" i="5"/>
  <c r="J81" i="12" s="1"/>
  <c r="AF105" i="5"/>
  <c r="AF104" i="5"/>
  <c r="J80" i="12" s="1"/>
  <c r="AF103" i="5"/>
  <c r="J79" i="12" s="1"/>
  <c r="AF102" i="5"/>
  <c r="J78" i="12" s="1"/>
  <c r="AF101" i="5"/>
  <c r="AF100" i="5"/>
  <c r="AF99" i="5"/>
  <c r="AF98" i="5"/>
  <c r="J77" i="12" s="1"/>
  <c r="AF93" i="5"/>
  <c r="AF92" i="5"/>
  <c r="J73" i="12" s="1"/>
  <c r="AF91" i="5"/>
  <c r="J72" i="12" s="1"/>
  <c r="AF89" i="5"/>
  <c r="J70" i="12" s="1"/>
  <c r="AF87" i="5"/>
  <c r="J68" i="12" s="1"/>
  <c r="AF86" i="5"/>
  <c r="J67" i="12" s="1"/>
  <c r="AF85" i="5"/>
  <c r="J66" i="12" s="1"/>
  <c r="AF84" i="5"/>
  <c r="AF83" i="5"/>
  <c r="AF82" i="5"/>
  <c r="J65" i="12" s="1"/>
  <c r="AF81" i="5"/>
  <c r="J64" i="12" s="1"/>
  <c r="AF80" i="5"/>
  <c r="J63" i="12" s="1"/>
  <c r="AF79" i="5"/>
  <c r="J62" i="12" s="1"/>
  <c r="AF78" i="5"/>
  <c r="J61" i="12" s="1"/>
  <c r="AF77" i="5"/>
  <c r="J60" i="12" s="1"/>
  <c r="AF76" i="5"/>
  <c r="J59" i="12" s="1"/>
  <c r="AF75" i="5"/>
  <c r="J58" i="12" s="1"/>
  <c r="AF74" i="5"/>
  <c r="J57" i="12" s="1"/>
  <c r="AF73" i="5"/>
  <c r="AF72" i="5"/>
  <c r="AF71" i="5"/>
  <c r="J55" i="12" s="1"/>
  <c r="AF70" i="5"/>
  <c r="AF68" i="5"/>
  <c r="AF67" i="5"/>
  <c r="AF66" i="5"/>
  <c r="AF65" i="5"/>
  <c r="J53" i="12" s="1"/>
  <c r="AF64" i="5"/>
  <c r="J52" i="12" s="1"/>
  <c r="AF63" i="5"/>
  <c r="J51" i="12" s="1"/>
  <c r="AF62" i="5"/>
  <c r="J50" i="12" s="1"/>
  <c r="AF61" i="5"/>
  <c r="AF60" i="5"/>
  <c r="J49" i="12" s="1"/>
  <c r="AF59" i="5"/>
  <c r="J48" i="12" s="1"/>
  <c r="AF58" i="5"/>
  <c r="AF57" i="5"/>
  <c r="J46" i="12" s="1"/>
  <c r="AF56" i="5"/>
  <c r="J45" i="12" s="1"/>
  <c r="AF55" i="5"/>
  <c r="AF54" i="5"/>
  <c r="AF53" i="5"/>
  <c r="J44" i="12" s="1"/>
  <c r="AF52" i="5"/>
  <c r="J43" i="12" s="1"/>
  <c r="AF51" i="5"/>
  <c r="AF50" i="5"/>
  <c r="AF49" i="5"/>
  <c r="J42" i="12" s="1"/>
  <c r="AF48" i="5"/>
  <c r="J41" i="12" s="1"/>
  <c r="AF47" i="5"/>
  <c r="J40" i="12" s="1"/>
  <c r="AF46" i="5"/>
  <c r="J39" i="12" s="1"/>
  <c r="AF45" i="5"/>
  <c r="J38" i="12" s="1"/>
  <c r="AF44" i="5"/>
  <c r="AF43" i="5"/>
  <c r="J37" i="12" s="1"/>
  <c r="AF42" i="5"/>
  <c r="J36" i="12" s="1"/>
  <c r="AF41" i="5"/>
  <c r="J35" i="12" s="1"/>
  <c r="AF40" i="5"/>
  <c r="J34" i="12" s="1"/>
  <c r="AF39" i="5"/>
  <c r="J33" i="12" s="1"/>
  <c r="AF38" i="5"/>
  <c r="J32" i="12" s="1"/>
  <c r="AF37" i="5"/>
  <c r="AF34" i="5"/>
  <c r="J29" i="12" s="1"/>
  <c r="AF33" i="5"/>
  <c r="J28" i="12" s="1"/>
  <c r="AF31" i="5"/>
  <c r="J26" i="12" s="1"/>
  <c r="AF30" i="5"/>
  <c r="J25" i="12" s="1"/>
  <c r="AF27" i="5"/>
  <c r="J22" i="12" s="1"/>
  <c r="AF26" i="5"/>
  <c r="J21" i="12" s="1"/>
  <c r="AF25" i="5"/>
  <c r="J20" i="12" s="1"/>
  <c r="AF24" i="5"/>
  <c r="J19" i="12" s="1"/>
  <c r="AF23" i="5"/>
  <c r="J18" i="12" s="1"/>
  <c r="AF22" i="5"/>
  <c r="J17" i="12" s="1"/>
  <c r="AF21" i="5"/>
  <c r="J16" i="12" s="1"/>
  <c r="AF20" i="5"/>
  <c r="AF18" i="5"/>
  <c r="J13" i="12" s="1"/>
  <c r="AF17" i="5"/>
  <c r="J12" i="12" s="1"/>
  <c r="AF16" i="5"/>
  <c r="AF15" i="5"/>
  <c r="J10" i="12" s="1"/>
  <c r="AF12" i="5"/>
  <c r="AF13" i="5"/>
  <c r="J8" i="12" s="1"/>
  <c r="AF14" i="5"/>
  <c r="J9" i="12" s="1"/>
  <c r="J15" i="12" l="1"/>
  <c r="B11" i="6"/>
  <c r="J11" i="12"/>
  <c r="D23" i="16"/>
  <c r="J7" i="12"/>
  <c r="J47" i="12"/>
  <c r="D6" i="16"/>
  <c r="F6" i="16" s="1"/>
  <c r="AG73" i="5"/>
  <c r="AJ73" i="5" s="1"/>
  <c r="J56" i="12"/>
  <c r="AG20" i="5"/>
  <c r="AJ20" i="5" s="1"/>
  <c r="AG110" i="5"/>
  <c r="AJ110" i="5" s="1"/>
  <c r="AG103" i="5"/>
  <c r="AK103" i="5" s="1"/>
  <c r="AS103" i="5" s="1"/>
  <c r="AG122" i="5"/>
  <c r="AJ122" i="5" s="1"/>
  <c r="AG87" i="5"/>
  <c r="AK87" i="5" s="1"/>
  <c r="AS87" i="5" s="1"/>
  <c r="AG111" i="5"/>
  <c r="AJ111" i="5" s="1"/>
  <c r="AI106" i="5"/>
  <c r="AJ92" i="5"/>
  <c r="AG37" i="5"/>
  <c r="AK37" i="5" s="1"/>
  <c r="AS37" i="5" s="1"/>
  <c r="AI80" i="5"/>
  <c r="AK80" i="5" s="1"/>
  <c r="AS80" i="5" s="1"/>
  <c r="AJ157" i="5"/>
  <c r="AX138" i="5"/>
  <c r="AJ72" i="5"/>
  <c r="AJ91" i="5"/>
  <c r="AJ113" i="5"/>
  <c r="AJ102" i="5"/>
  <c r="AJ74" i="5"/>
  <c r="AJ55" i="5"/>
  <c r="AJ58" i="5"/>
  <c r="AJ115" i="5"/>
  <c r="AJ124" i="5"/>
  <c r="AJ33" i="5"/>
  <c r="AJ67" i="5"/>
  <c r="AJ84" i="5"/>
  <c r="AJ117" i="5"/>
  <c r="AJ125" i="5"/>
  <c r="AJ42" i="5"/>
  <c r="AJ66" i="5"/>
  <c r="AJ83" i="5"/>
  <c r="AJ34" i="5"/>
  <c r="AJ68" i="5"/>
  <c r="AJ99" i="5"/>
  <c r="AJ126" i="5"/>
  <c r="AJ105" i="5"/>
  <c r="AJ53" i="5"/>
  <c r="AJ70" i="5"/>
  <c r="AJ78" i="5"/>
  <c r="AJ119" i="5"/>
  <c r="AJ141" i="5"/>
  <c r="AJ38" i="5"/>
  <c r="AJ54" i="5"/>
  <c r="AJ62" i="5"/>
  <c r="AJ131" i="5"/>
  <c r="AK132" i="5"/>
  <c r="AS132" i="5" s="1"/>
  <c r="AK42" i="5"/>
  <c r="AS42" i="5" s="1"/>
  <c r="AM70" i="5"/>
  <c r="AO70" i="5" s="1"/>
  <c r="AI14" i="5"/>
  <c r="AJ14" i="5" s="1"/>
  <c r="AI25" i="5"/>
  <c r="AJ25" i="5" s="1"/>
  <c r="AI41" i="5"/>
  <c r="AJ41" i="5" s="1"/>
  <c r="AI86" i="5"/>
  <c r="AJ86" i="5" s="1"/>
  <c r="AI114" i="5"/>
  <c r="AJ114" i="5" s="1"/>
  <c r="AI140" i="5"/>
  <c r="AJ140" i="5" s="1"/>
  <c r="AI75" i="5"/>
  <c r="AI16" i="5"/>
  <c r="AJ16" i="5" s="1"/>
  <c r="AI30" i="5"/>
  <c r="AJ30" i="5" s="1"/>
  <c r="AI82" i="5"/>
  <c r="AJ82" i="5" s="1"/>
  <c r="AI13" i="5"/>
  <c r="AJ13" i="5" s="1"/>
  <c r="AI26" i="5"/>
  <c r="AJ26" i="5" s="1"/>
  <c r="AI50" i="5"/>
  <c r="AJ50" i="5" s="1"/>
  <c r="AI71" i="5"/>
  <c r="AJ71" i="5" s="1"/>
  <c r="AI93" i="5"/>
  <c r="AJ93" i="5" s="1"/>
  <c r="AI98" i="5"/>
  <c r="AJ98" i="5" s="1"/>
  <c r="AI120" i="5"/>
  <c r="AJ120" i="5" s="1"/>
  <c r="AI18" i="5"/>
  <c r="AI27" i="5"/>
  <c r="AI39" i="5"/>
  <c r="AJ39" i="5" s="1"/>
  <c r="AI153" i="5"/>
  <c r="AJ153" i="5" s="1"/>
  <c r="AI45" i="5"/>
  <c r="AJ45" i="5" s="1"/>
  <c r="AI49" i="5"/>
  <c r="AJ49" i="5" s="1"/>
  <c r="AI61" i="5"/>
  <c r="AJ61" i="5" s="1"/>
  <c r="AI65" i="5"/>
  <c r="AJ65" i="5" s="1"/>
  <c r="AI101" i="5"/>
  <c r="AJ101" i="5" s="1"/>
  <c r="AI134" i="5"/>
  <c r="AJ134" i="5" s="1"/>
  <c r="AI17" i="5"/>
  <c r="AJ17" i="5" s="1"/>
  <c r="AI22" i="5"/>
  <c r="AJ22" i="5" s="1"/>
  <c r="AI31" i="5"/>
  <c r="AJ31" i="5" s="1"/>
  <c r="AI46" i="5"/>
  <c r="AJ46" i="5" s="1"/>
  <c r="AI79" i="5"/>
  <c r="AJ79" i="5" s="1"/>
  <c r="AI23" i="5"/>
  <c r="AJ23" i="5" s="1"/>
  <c r="AI43" i="5"/>
  <c r="AJ43" i="5" s="1"/>
  <c r="AI47" i="5"/>
  <c r="AJ47" i="5" s="1"/>
  <c r="AI51" i="5"/>
  <c r="AJ51" i="5" s="1"/>
  <c r="AI59" i="5"/>
  <c r="AJ59" i="5" s="1"/>
  <c r="AI63" i="5"/>
  <c r="AJ63" i="5" s="1"/>
  <c r="AI76" i="5"/>
  <c r="AI94" i="5"/>
  <c r="AJ94" i="5" s="1"/>
  <c r="AI112" i="5"/>
  <c r="AJ112" i="5" s="1"/>
  <c r="AI15" i="5"/>
  <c r="AJ15" i="5" s="1"/>
  <c r="AI24" i="5"/>
  <c r="AJ24" i="5" s="1"/>
  <c r="AI40" i="5"/>
  <c r="AJ40" i="5" s="1"/>
  <c r="AI44" i="5"/>
  <c r="AJ44" i="5" s="1"/>
  <c r="AI48" i="5"/>
  <c r="AJ48" i="5" s="1"/>
  <c r="AI52" i="5"/>
  <c r="AJ52" i="5" s="1"/>
  <c r="AI56" i="5"/>
  <c r="AJ56" i="5" s="1"/>
  <c r="AI60" i="5"/>
  <c r="AJ60" i="5" s="1"/>
  <c r="AI64" i="5"/>
  <c r="AJ64" i="5" s="1"/>
  <c r="AI77" i="5"/>
  <c r="AJ77" i="5" s="1"/>
  <c r="AI81" i="5"/>
  <c r="AJ81" i="5" s="1"/>
  <c r="AI85" i="5"/>
  <c r="AJ85" i="5" s="1"/>
  <c r="AI100" i="5"/>
  <c r="AJ100" i="5" s="1"/>
  <c r="AI104" i="5"/>
  <c r="AK104" i="5" s="1"/>
  <c r="AS104" i="5" s="1"/>
  <c r="AI133" i="5"/>
  <c r="AJ133" i="5" s="1"/>
  <c r="AI139" i="5"/>
  <c r="AJ139" i="5" s="1"/>
  <c r="AI57" i="5"/>
  <c r="AJ57" i="5" s="1"/>
  <c r="AK57" i="5"/>
  <c r="AS57" i="5" s="1"/>
  <c r="B14" i="6"/>
  <c r="AI121" i="5"/>
  <c r="AF32" i="5"/>
  <c r="J27" i="12" s="1"/>
  <c r="AI12" i="5"/>
  <c r="AJ12" i="5" s="1"/>
  <c r="AI118" i="5"/>
  <c r="AK118" i="5" s="1"/>
  <c r="AS118" i="5" s="1"/>
  <c r="AF69" i="5"/>
  <c r="D13" i="16" s="1"/>
  <c r="F23" i="16" l="1"/>
  <c r="F29" i="16" s="1"/>
  <c r="D29" i="16"/>
  <c r="J54" i="12"/>
  <c r="AJ103" i="5"/>
  <c r="AJ18" i="5"/>
  <c r="AK18" i="5"/>
  <c r="AX145" i="5"/>
  <c r="AJ106" i="5"/>
  <c r="AM106" i="5"/>
  <c r="AO106" i="5" s="1"/>
  <c r="I13" i="6" s="1"/>
  <c r="AJ37" i="5"/>
  <c r="AJ75" i="5"/>
  <c r="AK75" i="5"/>
  <c r="AS75" i="5" s="1"/>
  <c r="C11" i="6"/>
  <c r="AG7" i="5"/>
  <c r="AU135" i="5"/>
  <c r="AJ87" i="5"/>
  <c r="AJ127" i="5"/>
  <c r="AJ27" i="5"/>
  <c r="I14" i="6"/>
  <c r="AX148" i="5"/>
  <c r="AJ69" i="5"/>
  <c r="AJ32" i="5"/>
  <c r="AJ143" i="5"/>
  <c r="AJ104" i="5"/>
  <c r="AJ107" i="5"/>
  <c r="AJ76" i="5"/>
  <c r="AJ121" i="5"/>
  <c r="AJ118" i="5"/>
  <c r="AK133" i="5"/>
  <c r="AS133" i="5" s="1"/>
  <c r="B13" i="6"/>
  <c r="AF7" i="5"/>
  <c r="AF2" i="5" s="1"/>
  <c r="AI7" i="5"/>
  <c r="F13" i="16" l="1"/>
  <c r="F19" i="16" s="1"/>
  <c r="F31" i="16" s="1"/>
  <c r="D19" i="16"/>
  <c r="D31" i="16" s="1"/>
  <c r="AS18" i="5"/>
  <c r="AK7" i="5"/>
  <c r="D14" i="6"/>
  <c r="F14" i="6" s="1"/>
  <c r="H14" i="6" s="1"/>
  <c r="J14" i="6" s="1"/>
  <c r="I11" i="6"/>
  <c r="D13" i="6"/>
  <c r="F13" i="6" s="1"/>
  <c r="H13" i="6" s="1"/>
  <c r="F11" i="6"/>
  <c r="B16" i="6"/>
  <c r="AN7" i="5"/>
  <c r="AW19" i="1"/>
  <c r="AW18" i="1"/>
  <c r="AW17" i="1"/>
  <c r="AW16" i="1"/>
  <c r="AW15" i="1"/>
  <c r="AW14" i="1"/>
  <c r="AW13" i="1"/>
  <c r="AW12" i="1"/>
  <c r="AW11" i="1"/>
  <c r="AW10" i="1"/>
  <c r="AX5" i="1"/>
  <c r="AP3" i="5" s="1"/>
  <c r="AW9" i="1"/>
  <c r="AR5" i="1"/>
  <c r="AY5" i="1"/>
  <c r="AQ3" i="5" s="1"/>
  <c r="AV5" i="1"/>
  <c r="AN3" i="5" s="1"/>
  <c r="AT5" i="1"/>
  <c r="AK3" i="5" s="1"/>
  <c r="D5" i="16" s="1"/>
  <c r="F5" i="16" s="1"/>
  <c r="AW8" i="1"/>
  <c r="AW7" i="1"/>
  <c r="G5" i="16" l="1"/>
  <c r="G9" i="16" s="1"/>
  <c r="D7" i="16"/>
  <c r="D9" i="16" s="1"/>
  <c r="BB88" i="5"/>
  <c r="I16" i="6"/>
  <c r="H11" i="6"/>
  <c r="J11" i="6" s="1"/>
  <c r="F16" i="6"/>
  <c r="F30" i="6" s="1"/>
  <c r="F40" i="6" s="1"/>
  <c r="AO7" i="5"/>
  <c r="AJ89" i="5"/>
  <c r="AM7" i="5"/>
  <c r="AU7" i="5"/>
  <c r="C16" i="6"/>
  <c r="C30" i="6" s="1"/>
  <c r="C40" i="6" s="1"/>
  <c r="D16" i="6"/>
  <c r="AU5" i="1"/>
  <c r="AM3" i="5" s="1"/>
  <c r="AW5" i="1"/>
  <c r="AO3" i="5" s="1"/>
  <c r="I20" i="6" s="1"/>
  <c r="F11" i="16" l="1"/>
  <c r="G11" i="16" s="1"/>
  <c r="F7" i="16"/>
  <c r="F9" i="16" s="1"/>
  <c r="AP7" i="5"/>
  <c r="AP2" i="5" s="1"/>
  <c r="AO2" i="5"/>
  <c r="BE10" i="5" s="1"/>
  <c r="BE11" i="5" s="1"/>
  <c r="AQ7" i="5"/>
  <c r="AQ2" i="5" s="1"/>
  <c r="J13" i="6"/>
  <c r="J16" i="6" s="1"/>
  <c r="I28" i="6"/>
  <c r="I30" i="6" s="1"/>
  <c r="J20" i="6"/>
  <c r="J28" i="6" s="1"/>
  <c r="AB145" i="5"/>
  <c r="AA145" i="5"/>
  <c r="AT2" i="5" l="1"/>
  <c r="I40" i="6"/>
  <c r="J30" i="6"/>
  <c r="AM2" i="5"/>
  <c r="A37" i="13"/>
  <c r="B37" i="13"/>
  <c r="C37" i="13"/>
  <c r="D37" i="13"/>
  <c r="E37" i="13"/>
  <c r="F37" i="13"/>
  <c r="G37" i="13"/>
  <c r="H37" i="13"/>
  <c r="J37" i="13"/>
  <c r="A35" i="13"/>
  <c r="B35" i="13"/>
  <c r="C35" i="13"/>
  <c r="D35" i="13"/>
  <c r="E35" i="13"/>
  <c r="F35" i="13"/>
  <c r="G35" i="13"/>
  <c r="H35" i="13"/>
  <c r="J35" i="13"/>
  <c r="A36" i="13"/>
  <c r="B36" i="13"/>
  <c r="C36" i="13"/>
  <c r="D36" i="13"/>
  <c r="E36" i="13"/>
  <c r="F36" i="13"/>
  <c r="G36" i="13"/>
  <c r="H36" i="13"/>
  <c r="J36" i="13"/>
  <c r="N19" i="1"/>
  <c r="N18" i="1"/>
  <c r="AB149" i="5"/>
  <c r="AA149" i="5"/>
  <c r="AB147" i="5"/>
  <c r="AA147" i="5"/>
  <c r="AT4" i="5" l="1"/>
  <c r="AU4" i="5"/>
  <c r="AB148" i="5"/>
  <c r="AA148" i="5"/>
  <c r="AB141" i="5" l="1"/>
  <c r="AA141" i="5"/>
  <c r="AB146" i="5" l="1"/>
  <c r="AA146" i="5"/>
  <c r="AB144" i="5"/>
  <c r="AA144" i="5"/>
  <c r="J34" i="13" l="1"/>
  <c r="H34" i="13"/>
  <c r="G34" i="13"/>
  <c r="F34" i="13"/>
  <c r="E34" i="13"/>
  <c r="D34" i="13"/>
  <c r="C34" i="13"/>
  <c r="B34" i="13"/>
  <c r="A34" i="13"/>
  <c r="J33" i="13"/>
  <c r="H33" i="13"/>
  <c r="G33" i="13"/>
  <c r="F33" i="13"/>
  <c r="E33" i="13"/>
  <c r="D33" i="13"/>
  <c r="C33" i="13"/>
  <c r="B33" i="13"/>
  <c r="A33" i="13"/>
  <c r="J32" i="13"/>
  <c r="H32" i="13"/>
  <c r="G32" i="13"/>
  <c r="F32" i="13"/>
  <c r="E32" i="13"/>
  <c r="D32" i="13"/>
  <c r="C32" i="13"/>
  <c r="B32" i="13"/>
  <c r="A32" i="13"/>
  <c r="N17" i="1"/>
  <c r="AA107" i="5"/>
  <c r="AB107" i="5"/>
  <c r="A6" i="12"/>
  <c r="AB143" i="5"/>
  <c r="AA143" i="5"/>
  <c r="AB340" i="5"/>
  <c r="AA340" i="5"/>
  <c r="AB140" i="5" l="1"/>
  <c r="AA140" i="5"/>
  <c r="A30" i="13" l="1"/>
  <c r="B30" i="13"/>
  <c r="C30" i="13"/>
  <c r="D30" i="13"/>
  <c r="E30" i="13"/>
  <c r="F30" i="13"/>
  <c r="G30" i="13"/>
  <c r="H30" i="13"/>
  <c r="J30" i="13"/>
  <c r="A31" i="13"/>
  <c r="B31" i="13"/>
  <c r="C31" i="13"/>
  <c r="D31" i="13"/>
  <c r="E31" i="13"/>
  <c r="F31" i="13"/>
  <c r="G31" i="13"/>
  <c r="H31" i="13"/>
  <c r="J31" i="13"/>
  <c r="I7" i="13" l="1"/>
  <c r="AA139" i="5"/>
  <c r="AB139" i="5"/>
  <c r="AB134" i="5"/>
  <c r="AA134" i="5"/>
  <c r="AB138" i="5" l="1"/>
  <c r="AA138" i="5"/>
  <c r="AB25" i="5"/>
  <c r="AA25" i="5"/>
  <c r="AB24" i="5"/>
  <c r="AA24" i="5"/>
  <c r="AB27" i="5" l="1"/>
  <c r="AA27" i="5"/>
  <c r="AA126" i="5" l="1"/>
  <c r="AB126" i="5"/>
  <c r="AA125" i="5"/>
  <c r="AB125" i="5"/>
  <c r="AA133" i="5" l="1"/>
  <c r="AB133" i="5"/>
  <c r="AA132" i="5" l="1"/>
  <c r="AB132" i="5"/>
  <c r="AB124" i="5" l="1"/>
  <c r="AA124" i="5"/>
  <c r="AB123" i="5"/>
  <c r="AA123" i="5"/>
  <c r="N16" i="1" l="1"/>
  <c r="AB122" i="5" l="1"/>
  <c r="AA122" i="5"/>
  <c r="AB121" i="5"/>
  <c r="AA121" i="5"/>
  <c r="AB118" i="5"/>
  <c r="AA118" i="5"/>
  <c r="AB108" i="5"/>
  <c r="AA108" i="5"/>
  <c r="AA344" i="5"/>
  <c r="AB344" i="5"/>
  <c r="AA343" i="5"/>
  <c r="AB343" i="5"/>
  <c r="AB119" i="5" l="1"/>
  <c r="AA119" i="5"/>
  <c r="AB115" i="5" l="1"/>
  <c r="AA115" i="5"/>
  <c r="A21" i="13" l="1"/>
  <c r="B21" i="13"/>
  <c r="C21" i="13"/>
  <c r="D21" i="13"/>
  <c r="E21" i="13"/>
  <c r="F21" i="13"/>
  <c r="G21" i="13"/>
  <c r="H21" i="13"/>
  <c r="J21" i="13"/>
  <c r="A22" i="13"/>
  <c r="B22" i="13"/>
  <c r="C22" i="13"/>
  <c r="D22" i="13"/>
  <c r="E22" i="13"/>
  <c r="F22" i="13"/>
  <c r="G22" i="13"/>
  <c r="H22" i="13"/>
  <c r="J22" i="13"/>
  <c r="A23" i="13"/>
  <c r="B23" i="13"/>
  <c r="C23" i="13"/>
  <c r="D23" i="13"/>
  <c r="E23" i="13"/>
  <c r="F23" i="13"/>
  <c r="G23" i="13"/>
  <c r="H23" i="13"/>
  <c r="J23" i="13"/>
  <c r="A24" i="13"/>
  <c r="B24" i="13"/>
  <c r="C24" i="13"/>
  <c r="D24" i="13"/>
  <c r="E24" i="13"/>
  <c r="F24" i="13"/>
  <c r="G24" i="13"/>
  <c r="H24" i="13"/>
  <c r="J24" i="13"/>
  <c r="A25" i="13"/>
  <c r="B25" i="13"/>
  <c r="C25" i="13"/>
  <c r="D25" i="13"/>
  <c r="E25" i="13"/>
  <c r="F25" i="13"/>
  <c r="G25" i="13"/>
  <c r="H25" i="13"/>
  <c r="J25" i="13"/>
  <c r="A26" i="13"/>
  <c r="B26" i="13"/>
  <c r="C26" i="13"/>
  <c r="D26" i="13"/>
  <c r="E26" i="13"/>
  <c r="F26" i="13"/>
  <c r="G26" i="13"/>
  <c r="H26" i="13"/>
  <c r="J26" i="13"/>
  <c r="A27" i="13"/>
  <c r="B27" i="13"/>
  <c r="C27" i="13"/>
  <c r="D27" i="13"/>
  <c r="E27" i="13"/>
  <c r="F27" i="13"/>
  <c r="G27" i="13"/>
  <c r="H27" i="13"/>
  <c r="J27" i="13"/>
  <c r="A28" i="13"/>
  <c r="B28" i="13"/>
  <c r="C28" i="13"/>
  <c r="D28" i="13"/>
  <c r="E28" i="13"/>
  <c r="F28" i="13"/>
  <c r="G28" i="13"/>
  <c r="H28" i="13"/>
  <c r="J28" i="13"/>
  <c r="A29" i="13"/>
  <c r="B29" i="13"/>
  <c r="C29" i="13"/>
  <c r="D29" i="13"/>
  <c r="E29" i="13"/>
  <c r="F29" i="13"/>
  <c r="G29" i="13"/>
  <c r="H29" i="13"/>
  <c r="J29" i="13"/>
  <c r="N15" i="1" l="1"/>
  <c r="AB339" i="5" l="1"/>
  <c r="AA339" i="5"/>
  <c r="G7" i="14" l="1"/>
  <c r="F2" i="14" l="1"/>
  <c r="AV38" i="5" l="1"/>
  <c r="AW18" i="5" l="1"/>
  <c r="AA112" i="5" l="1"/>
  <c r="AB112" i="5"/>
  <c r="AB113" i="5"/>
  <c r="AA113" i="5"/>
  <c r="AB111" i="5"/>
  <c r="AA111" i="5"/>
  <c r="N14" i="1" l="1"/>
  <c r="N13" i="1"/>
  <c r="AA110" i="5"/>
  <c r="AB110" i="5"/>
  <c r="AA63" i="5" l="1"/>
  <c r="AB63" i="5"/>
  <c r="AB106" i="5" l="1"/>
  <c r="AA106" i="5"/>
  <c r="AB105" i="5"/>
  <c r="AA105" i="5"/>
  <c r="AA104" i="5"/>
  <c r="AB104" i="5"/>
  <c r="AB101" i="5" l="1"/>
  <c r="AA101" i="5"/>
  <c r="AA103" i="5" l="1"/>
  <c r="AB103" i="5"/>
  <c r="AB102" i="5" l="1"/>
  <c r="AA102" i="5"/>
  <c r="AB338" i="5" l="1"/>
  <c r="AA338" i="5"/>
  <c r="AB100" i="5"/>
  <c r="AA100" i="5"/>
  <c r="AB99" i="5"/>
  <c r="AA99" i="5"/>
  <c r="AB98" i="5"/>
  <c r="AA98" i="5"/>
  <c r="AA95" i="5"/>
  <c r="AB95" i="5"/>
  <c r="AA94" i="5"/>
  <c r="AB94" i="5"/>
  <c r="AB92" i="5" l="1"/>
  <c r="AA92" i="5"/>
  <c r="AB91" i="5" l="1"/>
  <c r="AA91" i="5"/>
  <c r="AB93" i="5"/>
  <c r="AA93" i="5"/>
  <c r="N12" i="1" l="1"/>
  <c r="AB64" i="5" l="1"/>
  <c r="AA64" i="5"/>
  <c r="AB89" i="5" l="1"/>
  <c r="AA89" i="5"/>
  <c r="AB87" i="5"/>
  <c r="AA87" i="5"/>
  <c r="AB86" i="5"/>
  <c r="AA86" i="5"/>
  <c r="AB85" i="5" l="1"/>
  <c r="AA85" i="5"/>
  <c r="N11" i="1" l="1"/>
  <c r="AB84" i="5"/>
  <c r="AA84" i="5"/>
  <c r="AB79" i="5" l="1"/>
  <c r="AA79" i="5"/>
  <c r="AB80" i="5"/>
  <c r="AA80" i="5"/>
  <c r="AB81" i="5"/>
  <c r="AA81" i="5"/>
  <c r="AB83" i="5"/>
  <c r="AA83" i="5"/>
  <c r="J20" i="13" l="1"/>
  <c r="H20" i="13"/>
  <c r="G20" i="13"/>
  <c r="F20" i="13"/>
  <c r="E20" i="13"/>
  <c r="D20" i="13"/>
  <c r="C20" i="13"/>
  <c r="B20" i="13"/>
  <c r="A20" i="13"/>
  <c r="J19" i="13"/>
  <c r="H19" i="13"/>
  <c r="G19" i="13"/>
  <c r="F19" i="13"/>
  <c r="E19" i="13"/>
  <c r="D19" i="13"/>
  <c r="C19" i="13"/>
  <c r="B19" i="13"/>
  <c r="A19" i="13"/>
  <c r="J18" i="13"/>
  <c r="H18" i="13"/>
  <c r="G18" i="13"/>
  <c r="F18" i="13"/>
  <c r="E18" i="13"/>
  <c r="D18" i="13"/>
  <c r="C18" i="13"/>
  <c r="B18" i="13"/>
  <c r="A18" i="13"/>
  <c r="J17" i="13"/>
  <c r="H17" i="13"/>
  <c r="G17" i="13"/>
  <c r="F17" i="13"/>
  <c r="E17" i="13"/>
  <c r="D17" i="13"/>
  <c r="C17" i="13"/>
  <c r="B17" i="13"/>
  <c r="A17" i="13"/>
  <c r="J16" i="13"/>
  <c r="H16" i="13"/>
  <c r="G16" i="13"/>
  <c r="F16" i="13"/>
  <c r="E16" i="13"/>
  <c r="D16" i="13"/>
  <c r="C16" i="13"/>
  <c r="B16" i="13"/>
  <c r="A16" i="13"/>
  <c r="J15" i="13"/>
  <c r="I15" i="13"/>
  <c r="H15" i="13"/>
  <c r="G15" i="13"/>
  <c r="F15" i="13"/>
  <c r="E15" i="13"/>
  <c r="D15" i="13"/>
  <c r="C15" i="13"/>
  <c r="B15" i="13"/>
  <c r="A15" i="13"/>
  <c r="J14" i="13"/>
  <c r="I14" i="13"/>
  <c r="H14" i="13"/>
  <c r="G14" i="13"/>
  <c r="F14" i="13"/>
  <c r="E14" i="13"/>
  <c r="D14" i="13"/>
  <c r="C14" i="13"/>
  <c r="B14" i="13"/>
  <c r="A14" i="13"/>
  <c r="J13" i="13"/>
  <c r="H13" i="13"/>
  <c r="G13" i="13"/>
  <c r="F13" i="13"/>
  <c r="E13" i="13"/>
  <c r="D13" i="13"/>
  <c r="C13" i="13"/>
  <c r="B13" i="13"/>
  <c r="A13" i="13"/>
  <c r="J12" i="13"/>
  <c r="H12" i="13"/>
  <c r="G12" i="13"/>
  <c r="F12" i="13"/>
  <c r="E12" i="13"/>
  <c r="D12" i="13"/>
  <c r="C12" i="13"/>
  <c r="B12" i="13"/>
  <c r="A12" i="13"/>
  <c r="J11" i="13"/>
  <c r="I11" i="13"/>
  <c r="H11" i="13"/>
  <c r="G11" i="13"/>
  <c r="F11" i="13"/>
  <c r="E11" i="13"/>
  <c r="D11" i="13"/>
  <c r="C11" i="13"/>
  <c r="B11" i="13"/>
  <c r="A11" i="13"/>
  <c r="J10" i="13"/>
  <c r="I10" i="13"/>
  <c r="H10" i="13"/>
  <c r="G10" i="13"/>
  <c r="F10" i="13"/>
  <c r="E10" i="13"/>
  <c r="D10" i="13"/>
  <c r="C10" i="13"/>
  <c r="B10" i="13"/>
  <c r="A10" i="13"/>
  <c r="J9" i="13"/>
  <c r="I9" i="13"/>
  <c r="H9" i="13"/>
  <c r="G9" i="13"/>
  <c r="F9" i="13"/>
  <c r="E9" i="13"/>
  <c r="D9" i="13"/>
  <c r="C9" i="13"/>
  <c r="B9" i="13"/>
  <c r="A9" i="13"/>
  <c r="J8" i="13"/>
  <c r="I8" i="13"/>
  <c r="H8" i="13"/>
  <c r="G8" i="13"/>
  <c r="F8" i="13"/>
  <c r="E8" i="13"/>
  <c r="D8" i="13"/>
  <c r="C8" i="13"/>
  <c r="B8" i="13"/>
  <c r="A8" i="13"/>
  <c r="J7" i="13"/>
  <c r="H7" i="13"/>
  <c r="G7" i="13"/>
  <c r="F7" i="13"/>
  <c r="E7" i="13"/>
  <c r="D7" i="13"/>
  <c r="C7" i="13"/>
  <c r="B7" i="13"/>
  <c r="A7" i="13"/>
  <c r="J6" i="13"/>
  <c r="I6" i="13"/>
  <c r="H6" i="13"/>
  <c r="G6" i="13"/>
  <c r="F6" i="13"/>
  <c r="E6" i="13"/>
  <c r="D6" i="13"/>
  <c r="C6" i="13"/>
  <c r="B6" i="13"/>
  <c r="A6" i="13"/>
  <c r="J5" i="13"/>
  <c r="I5" i="13"/>
  <c r="H5" i="13"/>
  <c r="G5" i="13"/>
  <c r="F5" i="13"/>
  <c r="E5" i="13"/>
  <c r="D5" i="13"/>
  <c r="C5" i="13"/>
  <c r="B5" i="13"/>
  <c r="A5" i="13"/>
  <c r="J4" i="13"/>
  <c r="I4" i="13"/>
  <c r="H4" i="13"/>
  <c r="G4" i="13"/>
  <c r="F4" i="13"/>
  <c r="E4" i="13"/>
  <c r="D4" i="13"/>
  <c r="C4" i="13"/>
  <c r="B4" i="13"/>
  <c r="A4" i="13"/>
  <c r="K6" i="12"/>
  <c r="I6" i="12"/>
  <c r="H6" i="12"/>
  <c r="G6" i="12"/>
  <c r="F6" i="12"/>
  <c r="E6" i="12"/>
  <c r="D6" i="12"/>
  <c r="C6" i="12"/>
  <c r="B6" i="12"/>
  <c r="AB82" i="5" l="1"/>
  <c r="AA82" i="5"/>
  <c r="AA76" i="5"/>
  <c r="AB76" i="5"/>
  <c r="N10" i="1" l="1"/>
  <c r="AB78" i="5" l="1"/>
  <c r="AA78" i="5"/>
  <c r="AB69" i="5" l="1"/>
  <c r="AA69" i="5"/>
  <c r="AA75" i="5" l="1"/>
  <c r="AB75" i="5"/>
  <c r="AB71" i="5" l="1"/>
  <c r="AA71" i="5"/>
  <c r="K16" i="11" l="1"/>
  <c r="AA73" i="5" l="1"/>
  <c r="AB73" i="5"/>
  <c r="AB72" i="5"/>
  <c r="AA72" i="5"/>
  <c r="AB62" i="5" l="1"/>
  <c r="AA62" i="5"/>
  <c r="AB70" i="5" l="1"/>
  <c r="AA70" i="5"/>
  <c r="AA68" i="5"/>
  <c r="AB68" i="5"/>
  <c r="AA67" i="5"/>
  <c r="AB67" i="5"/>
  <c r="AA66" i="5"/>
  <c r="AB66" i="5"/>
  <c r="AA65" i="5"/>
  <c r="AB65" i="5"/>
  <c r="AA337" i="5" l="1"/>
  <c r="AB337" i="5"/>
  <c r="AA61" i="5" l="1"/>
  <c r="AB61" i="5" l="1"/>
  <c r="AB60" i="5" l="1"/>
  <c r="AA60" i="5"/>
  <c r="AB59" i="5"/>
  <c r="AA59" i="5"/>
  <c r="AA56" i="5" l="1"/>
  <c r="AB56" i="5"/>
  <c r="AA54" i="5"/>
  <c r="AB54" i="5"/>
  <c r="AA55" i="5"/>
  <c r="AB55" i="5"/>
  <c r="AB21" i="5" l="1"/>
  <c r="AA21" i="5"/>
  <c r="AB52" i="5" l="1"/>
  <c r="AA52" i="5"/>
  <c r="AA336" i="5" l="1"/>
  <c r="AB336" i="5"/>
  <c r="AB335" i="5"/>
  <c r="AA335" i="5"/>
  <c r="AB47" i="5" l="1"/>
  <c r="AA47" i="5"/>
  <c r="AB35" i="5" l="1"/>
  <c r="AA35" i="5"/>
  <c r="AB45" i="5" l="1"/>
  <c r="AA45" i="5"/>
  <c r="N9" i="1" l="1"/>
  <c r="AB39" i="5" l="1"/>
  <c r="AA39" i="5"/>
  <c r="AB22" i="5" l="1"/>
  <c r="AA22" i="5"/>
  <c r="AB32" i="5" l="1"/>
  <c r="AA32" i="5"/>
  <c r="AA33" i="5" l="1"/>
  <c r="AA30" i="5"/>
  <c r="AB30" i="5"/>
  <c r="AB26" i="5" l="1"/>
  <c r="AA26" i="5"/>
  <c r="N8" i="1" l="1"/>
  <c r="Z17" i="5" l="1"/>
  <c r="AX18" i="5" l="1"/>
  <c r="N7" i="1" l="1"/>
  <c r="AA13" i="5"/>
  <c r="AB13" i="5"/>
  <c r="AA14" i="5"/>
  <c r="AB14" i="5"/>
  <c r="AA15" i="5"/>
  <c r="AB15" i="5"/>
  <c r="AA16" i="5"/>
  <c r="AB16" i="5"/>
  <c r="AA17" i="5"/>
  <c r="AB17" i="5"/>
  <c r="AA18" i="5"/>
  <c r="AB18" i="5"/>
  <c r="AA20" i="5"/>
  <c r="AB20" i="5"/>
  <c r="AA23" i="5"/>
  <c r="AB23" i="5"/>
  <c r="AB33" i="5"/>
  <c r="AA34" i="5"/>
  <c r="AB34" i="5"/>
  <c r="AA37" i="5"/>
  <c r="AB37" i="5"/>
  <c r="AA38" i="5"/>
  <c r="AB38" i="5"/>
  <c r="AA40" i="5"/>
  <c r="AB40" i="5"/>
  <c r="AA41" i="5"/>
  <c r="AB41" i="5"/>
  <c r="AA42" i="5"/>
  <c r="AB42" i="5"/>
  <c r="AA43" i="5"/>
  <c r="AB43" i="5"/>
  <c r="AA44" i="5"/>
  <c r="AB44" i="5"/>
  <c r="AA46" i="5"/>
  <c r="AB46" i="5"/>
  <c r="AA48" i="5"/>
  <c r="AB48" i="5"/>
  <c r="AA49" i="5"/>
  <c r="AB49" i="5"/>
  <c r="AA50" i="5"/>
  <c r="AB50" i="5"/>
  <c r="AA51" i="5"/>
  <c r="AB51" i="5"/>
  <c r="AA31" i="5"/>
  <c r="AB31" i="5"/>
  <c r="AA74" i="5"/>
  <c r="AB74" i="5"/>
  <c r="AA334" i="5"/>
  <c r="AB334" i="5"/>
  <c r="AA53" i="5"/>
  <c r="AB53" i="5"/>
  <c r="AA57" i="5"/>
  <c r="AB57" i="5"/>
  <c r="AA58" i="5"/>
  <c r="AB58" i="5"/>
  <c r="AA127" i="5"/>
  <c r="AB127" i="5"/>
  <c r="AA131" i="5"/>
  <c r="AB131" i="5"/>
  <c r="AA341" i="5"/>
  <c r="AB341" i="5"/>
  <c r="AA342" i="5"/>
  <c r="AB342" i="5"/>
  <c r="AA345" i="5"/>
  <c r="AB345" i="5"/>
  <c r="AA346" i="5"/>
  <c r="AB346" i="5"/>
  <c r="AA347" i="5"/>
  <c r="AB347" i="5"/>
  <c r="AA348" i="5"/>
  <c r="AB348" i="5"/>
  <c r="AA349" i="5"/>
  <c r="AB349" i="5"/>
  <c r="AA350" i="5"/>
  <c r="AB350" i="5"/>
  <c r="AA351" i="5"/>
  <c r="AB351" i="5"/>
  <c r="AB12" i="5"/>
  <c r="AA12" i="5"/>
  <c r="AB11" i="5"/>
  <c r="AA11" i="5"/>
  <c r="N24" i="6" l="1"/>
  <c r="M30" i="6" l="1"/>
  <c r="N25" i="6"/>
  <c r="N26" i="6"/>
  <c r="N27" i="6"/>
  <c r="N23" i="6"/>
  <c r="N22" i="6"/>
  <c r="N21" i="6"/>
  <c r="N19" i="6"/>
  <c r="N28" i="6" s="1"/>
  <c r="N12" i="6" l="1"/>
  <c r="L16" i="6"/>
  <c r="N10" i="6" l="1"/>
  <c r="N16" i="6" s="1"/>
  <c r="L30" i="6"/>
  <c r="N30" i="6" s="1"/>
  <c r="AV354" i="5" l="1"/>
  <c r="D4" i="5" l="1"/>
  <c r="C2" i="1" s="1"/>
  <c r="B2" i="3" s="1"/>
  <c r="D30" i="6" l="1"/>
  <c r="B28" i="6"/>
  <c r="B30" i="6" l="1"/>
  <c r="B40" i="6" s="1"/>
  <c r="D40" i="6"/>
  <c r="D45" i="6" s="1"/>
  <c r="D49" i="6" s="1"/>
  <c r="A3" i="6"/>
  <c r="D5" i="5"/>
  <c r="B3" i="3"/>
  <c r="C3" i="1"/>
  <c r="H28" i="6"/>
  <c r="H16" i="6" l="1"/>
  <c r="H30" i="6" s="1"/>
  <c r="H40" i="6" s="1"/>
  <c r="I41" i="6" s="1"/>
  <c r="AN2" i="5"/>
  <c r="I31" i="6" l="1"/>
  <c r="AJ7" i="5" l="1"/>
  <c r="AG2" i="5"/>
  <c r="AK5" i="5" l="1"/>
  <c r="AK2" i="5" s="1"/>
  <c r="BD10" i="5" l="1"/>
  <c r="BD11" i="5" s="1"/>
  <c r="V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McMahon, Patrick</author>
  </authors>
  <commentList>
    <comment ref="AK25" authorId="0" shapeId="0" xr:uid="{00000000-0006-0000-0200-000001000000}">
      <text>
        <r>
          <rPr>
            <b/>
            <sz val="9"/>
            <color indexed="81"/>
            <rFont val="Tahoma"/>
            <family val="2"/>
          </rPr>
          <t>McMahon, Patrick:</t>
        </r>
        <r>
          <rPr>
            <sz val="9"/>
            <color indexed="81"/>
            <rFont val="Tahoma"/>
            <family val="2"/>
          </rPr>
          <t xml:space="preserve">
VD-08 - To be re--distributed</t>
        </r>
      </text>
    </comment>
    <comment ref="AL25" authorId="0" shapeId="0" xr:uid="{EA69E528-A946-4E77-BF58-ACB208B07581}">
      <text>
        <r>
          <rPr>
            <b/>
            <sz val="9"/>
            <color indexed="81"/>
            <rFont val="Tahoma"/>
            <family val="2"/>
          </rPr>
          <t>McMahon, Patrick:</t>
        </r>
        <r>
          <rPr>
            <sz val="9"/>
            <color indexed="81"/>
            <rFont val="Tahoma"/>
            <family val="2"/>
          </rPr>
          <t xml:space="preserve">
VD-08 - To be re--distributed</t>
        </r>
      </text>
    </comment>
    <comment ref="AF131" authorId="0" shapeId="0" xr:uid="{00000000-0006-0000-0200-000003000000}">
      <text>
        <r>
          <rPr>
            <b/>
            <sz val="9"/>
            <color indexed="81"/>
            <rFont val="Tahoma"/>
            <family val="2"/>
          </rPr>
          <t>McMahon, Patrick:</t>
        </r>
        <r>
          <rPr>
            <sz val="9"/>
            <color indexed="81"/>
            <rFont val="Tahoma"/>
            <family val="2"/>
          </rPr>
          <t xml:space="preserve">
No Claim?</t>
        </r>
      </text>
    </comment>
    <comment ref="AF227" authorId="0" shapeId="0" xr:uid="{D7BA78F4-3A0C-489A-B2F0-6DE150DD800F}">
      <text>
        <r>
          <rPr>
            <b/>
            <sz val="9"/>
            <color indexed="81"/>
            <rFont val="Tahoma"/>
            <family val="2"/>
          </rPr>
          <t>McMahon, Patrick:</t>
        </r>
        <r>
          <rPr>
            <sz val="9"/>
            <color indexed="81"/>
            <rFont val="Tahoma"/>
            <family val="2"/>
          </rPr>
          <t xml:space="preserve">
See NOV-253</t>
        </r>
      </text>
    </comment>
    <comment ref="AK227" authorId="0" shapeId="0" xr:uid="{5A09C066-D27E-4421-A5F1-8F59273E1C59}">
      <text>
        <r>
          <rPr>
            <b/>
            <sz val="9"/>
            <color indexed="81"/>
            <rFont val="Tahoma"/>
            <family val="2"/>
          </rPr>
          <t>McMahon, Patrick:</t>
        </r>
        <r>
          <rPr>
            <sz val="9"/>
            <color indexed="81"/>
            <rFont val="Tahoma"/>
            <family val="2"/>
          </rPr>
          <t xml:space="preserve">
See NOV-253</t>
        </r>
      </text>
    </comment>
  </commentList>
</comments>
</file>

<file path=xl/sharedStrings.xml><?xml version="1.0" encoding="utf-8"?>
<sst xmlns="http://schemas.openxmlformats.org/spreadsheetml/2006/main" count="4639" uniqueCount="2083">
  <si>
    <t>Title</t>
  </si>
  <si>
    <t>Brief Description</t>
  </si>
  <si>
    <t>Action/Comment</t>
  </si>
  <si>
    <t>Due Date</t>
  </si>
  <si>
    <t>Submitted Pending Approval</t>
  </si>
  <si>
    <t>ACTIONS/STATUS</t>
  </si>
  <si>
    <t>Action Owner</t>
  </si>
  <si>
    <t>DELAY DETAILS</t>
  </si>
  <si>
    <t>EXTENSION OF TIME</t>
  </si>
  <si>
    <t>Status</t>
  </si>
  <si>
    <t>Cost &amp; Time Approved</t>
  </si>
  <si>
    <t>Cost &amp; Time Rejected</t>
  </si>
  <si>
    <t>Time Approved, Cost Rejected</t>
  </si>
  <si>
    <t>Cost Approved, Time Rejected</t>
  </si>
  <si>
    <t>APPROVAL</t>
  </si>
  <si>
    <t xml:space="preserve">*For Accleration Direction details refer to next tab. </t>
  </si>
  <si>
    <t>ACCELERATION DIRECTION REGISTER</t>
  </si>
  <si>
    <t>EOT Ref No.</t>
  </si>
  <si>
    <t>ACCELERATION DIRECTION DETAILS</t>
  </si>
  <si>
    <t>LCPL RESPONSE</t>
  </si>
  <si>
    <t>Comments/Actions</t>
  </si>
  <si>
    <t>Date of MR Acceleration Direction</t>
  </si>
  <si>
    <t>VARIATION REGISTER</t>
  </si>
  <si>
    <t>VARIATION DETAILS</t>
  </si>
  <si>
    <t>Anticipated Work Commence Date</t>
  </si>
  <si>
    <t>TBC</t>
  </si>
  <si>
    <t>Approved</t>
  </si>
  <si>
    <t>Contractor Proposed Variation</t>
  </si>
  <si>
    <t>Variation_Type1</t>
  </si>
  <si>
    <t>Response Due Date</t>
  </si>
  <si>
    <t>Date of Reponse</t>
  </si>
  <si>
    <t>Escalate</t>
  </si>
  <si>
    <t>VO_Status</t>
  </si>
  <si>
    <t>INSERT ABOVE THIS LINE</t>
  </si>
  <si>
    <r>
      <t xml:space="preserve">Correction of Delay 
</t>
    </r>
    <r>
      <rPr>
        <sz val="10"/>
        <rFont val="Arial"/>
        <family val="2"/>
      </rPr>
      <t>(Calendar Days)</t>
    </r>
  </si>
  <si>
    <r>
      <t xml:space="preserve">Approved Correction of Delay 
</t>
    </r>
    <r>
      <rPr>
        <sz val="10"/>
        <rFont val="Arial"/>
        <family val="2"/>
      </rPr>
      <t>(Calendar Days)</t>
    </r>
  </si>
  <si>
    <t>COUNT OF VARIATIONS</t>
  </si>
  <si>
    <t>TOTAL PROJECT</t>
  </si>
  <si>
    <t>Submitted</t>
  </si>
  <si>
    <t>Approved On Account*</t>
  </si>
  <si>
    <t>O/S Target Less Approved</t>
  </si>
  <si>
    <t>Current</t>
  </si>
  <si>
    <t>Prev. Period</t>
  </si>
  <si>
    <t>Period Movement</t>
  </si>
  <si>
    <t>A</t>
  </si>
  <si>
    <t>C</t>
  </si>
  <si>
    <t>D</t>
  </si>
  <si>
    <t>F = (A-C)</t>
  </si>
  <si>
    <t>No Action / Withdrawn</t>
  </si>
  <si>
    <t>N/A</t>
  </si>
  <si>
    <t>Approved Value</t>
  </si>
  <si>
    <t xml:space="preserve">Estimated Acceleration Cost </t>
  </si>
  <si>
    <t>Approved Accleration Cost</t>
  </si>
  <si>
    <t>Activities Impacted</t>
  </si>
  <si>
    <t>Identified Not Submitted</t>
  </si>
  <si>
    <t>HCV-001</t>
  </si>
  <si>
    <t>Target Value</t>
  </si>
  <si>
    <t>VARIATION / EOT REGISTER SUMMARY</t>
  </si>
  <si>
    <t>VARIATIONS</t>
  </si>
  <si>
    <t>EXTENSION OF TIME (EOT)</t>
  </si>
  <si>
    <t>VARIATIONS TOTAL</t>
  </si>
  <si>
    <t>EOT TOTAL</t>
  </si>
  <si>
    <t xml:space="preserve">Variation Type 
</t>
  </si>
  <si>
    <t>Delay Mitigated - closed</t>
  </si>
  <si>
    <t>Withdrawn</t>
  </si>
  <si>
    <t>DELAY / EXTENSION OF TIME REGISTER</t>
  </si>
  <si>
    <t xml:space="preserve">  </t>
  </si>
  <si>
    <t>R&amp;F</t>
  </si>
  <si>
    <t>Closed - Superseded</t>
  </si>
  <si>
    <t>CPB Ref. No.</t>
  </si>
  <si>
    <t>NOD-001</t>
  </si>
  <si>
    <t>N</t>
  </si>
  <si>
    <t>Ongoing</t>
  </si>
  <si>
    <t>Potential forthcoming Change</t>
  </si>
  <si>
    <t>Nil</t>
  </si>
  <si>
    <t>MR Variations missing form schedule:</t>
  </si>
  <si>
    <t>Completed</t>
  </si>
  <si>
    <r>
      <t>EOT Ref. No.</t>
    </r>
    <r>
      <rPr>
        <sz val="11"/>
        <color theme="1"/>
        <rFont val="Calibri"/>
        <family val="2"/>
        <scheme val="minor"/>
      </rPr>
      <t xml:space="preserve"> 
(If applicable)</t>
    </r>
  </si>
  <si>
    <r>
      <t xml:space="preserve">Variation Notice Due Date 
</t>
    </r>
    <r>
      <rPr>
        <sz val="11"/>
        <color theme="1"/>
        <rFont val="Calibri"/>
        <family val="2"/>
        <scheme val="minor"/>
      </rPr>
      <t>(*See above)</t>
    </r>
  </si>
  <si>
    <t>CPB NOTICE</t>
  </si>
  <si>
    <t>Has Variation Proposal Been Requested by the Company?
(Y/N)</t>
  </si>
  <si>
    <t>Variation Proposal Due (If requested)</t>
  </si>
  <si>
    <t>ACTUAL Variation Notice Submission Date</t>
  </si>
  <si>
    <t>Date of Receiving a Notice/Direction 
or
First Becomes Aware of the Variation</t>
  </si>
  <si>
    <t>Company Variation Direction</t>
  </si>
  <si>
    <t>Variation (Other than a Company Variation Direction)</t>
  </si>
  <si>
    <t>Force Majure Event</t>
  </si>
  <si>
    <t>Breach by the Company</t>
  </si>
  <si>
    <t>Failure to grant Site access by Access Date</t>
  </si>
  <si>
    <t>Company Direction relating to an Unsafe Act (where Contractor proves it did not cause or contribute to)</t>
  </si>
  <si>
    <t>Latent Condition</t>
  </si>
  <si>
    <t>Suspension (Other than for Contractor breach)</t>
  </si>
  <si>
    <t>Variation Direction</t>
  </si>
  <si>
    <t>Unidentified Cultural heritage or atrefacts</t>
  </si>
  <si>
    <t>Contaminated Fiborous Material</t>
  </si>
  <si>
    <t>Suspesion by Contractor due to Security of Payment Act</t>
  </si>
  <si>
    <t>EOT_Status</t>
  </si>
  <si>
    <t>EOT_Type</t>
  </si>
  <si>
    <t>**As soon as aware, but not later than 5 BD after commencement of the cause of delay</t>
  </si>
  <si>
    <t>DC</t>
  </si>
  <si>
    <t>MATTER</t>
  </si>
  <si>
    <t>VALUE</t>
  </si>
  <si>
    <t>VARIATION STATUS</t>
  </si>
  <si>
    <t>1-23</t>
  </si>
  <si>
    <t>9641-C-83588-CFC-0006</t>
  </si>
  <si>
    <t>COMMUNICATION Ref</t>
  </si>
  <si>
    <t>COMMENT</t>
  </si>
  <si>
    <t>TITLE</t>
  </si>
  <si>
    <t>DESCRIPTION</t>
  </si>
  <si>
    <t>MILESTONES AFFECTED</t>
  </si>
  <si>
    <t>DELAY (CALENDAR DAYS)</t>
  </si>
  <si>
    <t>STATUS</t>
  </si>
  <si>
    <t xml:space="preserve"> </t>
  </si>
  <si>
    <t>9641-C-83588-CTC-0002</t>
  </si>
  <si>
    <t>Variation No.</t>
  </si>
  <si>
    <t>VARIATION NO.</t>
  </si>
  <si>
    <t xml:space="preserve">Company Comm No. </t>
  </si>
  <si>
    <t>Contractor Comm No.</t>
  </si>
  <si>
    <t>9641-C-83588-CFC-0006 &amp;
9641-C-83588-CFC-0006</t>
  </si>
  <si>
    <t>CONTRACTOR COMMUNICATION REF</t>
  </si>
  <si>
    <t>COMPANY COMMUNICATION  REF</t>
  </si>
  <si>
    <t>Bulk Earthworks and Concrete  - MAC
Variation Direction 1</t>
  </si>
  <si>
    <t>Contractor's Pre-Mobilisation Requirements and other Early Works activities delayed until Contract signing and Company's authorisation to commence Early Works under Variation Direction 1.
Milstones 1-23 to be adjusted in consideration of late commencement</t>
  </si>
  <si>
    <t>W01022 South Flank MAC</t>
  </si>
  <si>
    <t>TBA</t>
  </si>
  <si>
    <t>HCV-002</t>
  </si>
  <si>
    <t>Wet Area Rail Outgo Formation CH 2100 - 2400</t>
  </si>
  <si>
    <t>Y - informal</t>
  </si>
  <si>
    <t>Additional Information</t>
  </si>
  <si>
    <t>HCV-003</t>
  </si>
  <si>
    <t>HCV-004</t>
  </si>
  <si>
    <t>Clear &amp; Grub Sleeper Laydown area</t>
  </si>
  <si>
    <t>HCV-005</t>
  </si>
  <si>
    <t>Company Site Instruction</t>
  </si>
  <si>
    <t>Temporary piping &amp; fittings to TK 12</t>
  </si>
  <si>
    <t>Carpark for VIP</t>
  </si>
  <si>
    <t>VIP Carpark for ground breaking ceremony</t>
  </si>
  <si>
    <t>Work to be undertaken on Dayworks with Estimated value of $17,300</t>
  </si>
  <si>
    <t>Dayworks - With Estmated Cost</t>
  </si>
  <si>
    <t>`</t>
  </si>
  <si>
    <t>HCV-006</t>
  </si>
  <si>
    <t>Noise Assessment Testing Requirements</t>
  </si>
  <si>
    <t>Noise Assessment Testing Requirements set out in SPEC-000-M-00106 in Revision 4 Documents List</t>
  </si>
  <si>
    <t>Submitted - Variation Proposal (Company Direction TBC)</t>
  </si>
  <si>
    <t>With Company for Review</t>
  </si>
  <si>
    <t>Management of Traffic and Install OPS haul road windrow</t>
  </si>
  <si>
    <t>Install OPS Haul Road Windrow</t>
  </si>
  <si>
    <t>Company has requested a quotation for clear and grub of Sleeper Laydown Area. Scope has been changed by Company from original request.</t>
  </si>
  <si>
    <t>Dayworks sheets signed by Company submitted to Company progressively as works undertaken by Contractor</t>
  </si>
  <si>
    <t>HCV-007</t>
  </si>
  <si>
    <t>Site Instruction No.</t>
  </si>
  <si>
    <t>NOD-004</t>
  </si>
  <si>
    <t>9641-C-83588-CFC-0049</t>
  </si>
  <si>
    <t xml:space="preserve">BHPSFP-RESTECHQ-002869 </t>
  </si>
  <si>
    <t>W01022-CPB-NOD-0001</t>
  </si>
  <si>
    <t>W01022-CPB-NOD-0004</t>
  </si>
  <si>
    <t>Box Culvert Design</t>
  </si>
  <si>
    <t>8,14</t>
  </si>
  <si>
    <t>HCV-008</t>
  </si>
  <si>
    <t>9641-C-83588-CFC-0051</t>
  </si>
  <si>
    <t>Box culverts</t>
  </si>
  <si>
    <t>BHPSFP-RESTEHQ-002869</t>
  </si>
  <si>
    <t>Not agreed by Company</t>
  </si>
  <si>
    <t>Not agreed by Company - Pending Contractor's further details</t>
  </si>
  <si>
    <t>HCV-009</t>
  </si>
  <si>
    <t>9641-C-83588-CTC-00090</t>
  </si>
  <si>
    <t>9641-C-83588-CTC-00091</t>
  </si>
  <si>
    <t>9641-C-83588-CTC-00049</t>
  </si>
  <si>
    <t>9641-C-83588-CTC-00075</t>
  </si>
  <si>
    <t>Aconex</t>
  </si>
  <si>
    <t>9641-C-83588-CFC-0063</t>
  </si>
  <si>
    <t>CSP Culverts</t>
  </si>
  <si>
    <t>Advance Issue - IFC drawings transmitted. Drawing detail indicates changes to culvert detail, from the Contract Date Design</t>
  </si>
  <si>
    <t>Changes to CSP Culverts between Contract Date Design and IFC drawings. Scope of Work variations include quantity, length, depth, CSP material thickness and additional works during shutdown activities</t>
  </si>
  <si>
    <t>$0 Adjustment to Contract Price. 
Undertake Early Works up to the value under the Contract of $7m. Early Works maximum value until Condition Precedent is satisfied or further Variation Direction is issued by 05/07/2018</t>
  </si>
  <si>
    <t>Time Approved</t>
  </si>
  <si>
    <t xml:space="preserve">Company has agred to the EOT of 14 calendar days to Milestone 1-23 and $0 cost. </t>
  </si>
  <si>
    <t>Contractor to seek reinforcement scheduling to determine change quantum</t>
  </si>
  <si>
    <t>Transfer Station 476 - Sheet Piling</t>
  </si>
  <si>
    <t>Company's Technical Material (design transmittals) indicate sheet piling requirements at TS476 which were not part of the Contract Date Design</t>
  </si>
  <si>
    <t>Contractor reviewing requirements as well as engaging  with specialist subcontractors to under stand work timing and price</t>
  </si>
  <si>
    <t>Liquid Waste Disposal</t>
  </si>
  <si>
    <t>Liquid Waste to Mulla Mulla</t>
  </si>
  <si>
    <t>Company has signed dayworks sheets. Contractor awaiting SI from Company</t>
  </si>
  <si>
    <t>Contractor has submitted mitigation costs with variation for design change to box culverts. Currently discussing costs with Company</t>
  </si>
  <si>
    <r>
      <t xml:space="preserve">Event which caused the Delay 
</t>
    </r>
    <r>
      <rPr>
        <sz val="11"/>
        <color rgb="FFFF0000"/>
        <rFont val="Calibri"/>
        <family val="2"/>
        <scheme val="minor"/>
      </rPr>
      <t>(Include communication no./email ref etc if applicable)</t>
    </r>
  </si>
  <si>
    <r>
      <t>VAR Ref. No.</t>
    </r>
    <r>
      <rPr>
        <sz val="11"/>
        <color theme="1"/>
        <rFont val="Calibri"/>
        <family val="2"/>
        <scheme val="minor"/>
      </rPr>
      <t xml:space="preserve"> (If applicable)</t>
    </r>
  </si>
  <si>
    <r>
      <t xml:space="preserve">Expected Delay Duration to Milestones </t>
    </r>
    <r>
      <rPr>
        <sz val="11"/>
        <color theme="1"/>
        <rFont val="Calibri"/>
        <family val="2"/>
        <scheme val="minor"/>
      </rPr>
      <t>(Calendar Days)</t>
    </r>
  </si>
  <si>
    <r>
      <t>EOT Duration Claimed</t>
    </r>
    <r>
      <rPr>
        <sz val="11"/>
        <color theme="1"/>
        <rFont val="Calibri"/>
        <family val="2"/>
        <scheme val="minor"/>
      </rPr>
      <t xml:space="preserve"> (Calendar Days)</t>
    </r>
  </si>
  <si>
    <r>
      <t xml:space="preserve">Approved Total EOT Duration </t>
    </r>
    <r>
      <rPr>
        <sz val="11"/>
        <color theme="1"/>
        <rFont val="Calibri"/>
        <family val="2"/>
        <scheme val="minor"/>
      </rPr>
      <t>(Calendar Days)</t>
    </r>
  </si>
  <si>
    <r>
      <t xml:space="preserve">Accleration Direction
</t>
    </r>
    <r>
      <rPr>
        <sz val="11"/>
        <color theme="1"/>
        <rFont val="Calibri"/>
        <family val="2"/>
        <scheme val="minor"/>
      </rPr>
      <t>(Y/N)
(*See note above)</t>
    </r>
  </si>
  <si>
    <t>HCV-011</t>
  </si>
  <si>
    <t>HCV-012</t>
  </si>
  <si>
    <t>HCV-013</t>
  </si>
  <si>
    <t>Wet Area Rail Outgo Formation CH 2100 - 2400. Pumpout of Company dewatering</t>
  </si>
  <si>
    <t>Company's Operations team will be dispersing dewatering into Contractor's work area. Work involves installation and operation of 6 inch pump to remove water</t>
  </si>
  <si>
    <t>Estimate submitted to Company. Contractor awaiting Site Instruction</t>
  </si>
  <si>
    <t>LC-001</t>
  </si>
  <si>
    <t>005 &amp; 007</t>
  </si>
  <si>
    <t>004</t>
  </si>
  <si>
    <t>9641-C-83588-CFC-0072</t>
  </si>
  <si>
    <t>Conditions encountered during locate and verify Existing Services</t>
  </si>
  <si>
    <t>Contractor has encountered subsurface cement stabilised fill material when trying to locate existing services, prior to earthworks</t>
  </si>
  <si>
    <t>Contractor has submitted its Variation costs which includes costs to address the mitigation of the delay. Company has provided its interim assessment of Variation cost. Currently under review by Contractor.</t>
  </si>
  <si>
    <t>Value of Variation agreed.</t>
  </si>
  <si>
    <t>HCV-014</t>
  </si>
  <si>
    <t>Existing Services</t>
  </si>
  <si>
    <t>Company's CSD's indicate additional Services to those identified in the Contract Date Design. Also, errors in the CSD has caused Contractor to undertake additional works</t>
  </si>
  <si>
    <t>HCV-017</t>
  </si>
  <si>
    <t>9641-C-83588-CFC-0079</t>
  </si>
  <si>
    <t>Design changes in Stacker 04, Reclaimer 02 and Transfer Station 472 Drawings issued for construction purposes</t>
  </si>
  <si>
    <t>Advance issue IFC drawings (upon review by Contractor) indicate changes to Work relating to steel reinforcement</t>
  </si>
  <si>
    <t>Contractor reviewing reinforcement works involved including reinforcement scheduled quantities and installation requirements</t>
  </si>
  <si>
    <t>HCV-019</t>
  </si>
  <si>
    <t>Design changes in Coarse Ore Stockpile Drawings issued for construction purposes</t>
  </si>
  <si>
    <t>Advance issue IFC drawings (upon review by Contractor) indicate changes to Work relating to concrete cast-ins</t>
  </si>
  <si>
    <t>Contractor reviewing the drawings to understand quantum and will undertake subsequent discussions with suppliers</t>
  </si>
  <si>
    <t>HCV-009a</t>
  </si>
  <si>
    <t>9641-C-83588-CFC-0084</t>
  </si>
  <si>
    <t>Contractor has submitted cost of Scope change relating to schedule of Rates</t>
  </si>
  <si>
    <t>Company is not able to accept that the claim has been satisfactorily demonstrated. Company has provided further concessions relating to the Specification. Contractor to review impact of cost prior to concessions being granted and revert to Company.</t>
  </si>
  <si>
    <t>All</t>
  </si>
  <si>
    <t>9641-C-83588-CFC-0090</t>
  </si>
  <si>
    <t>Company Stockpile 2 located in Milestone 4 (Outgo Rail)</t>
  </si>
  <si>
    <t>Portions of Stockpile 2 has been located over the Outgo rail construction formation in Milestone 4. This impacts Contractor's earthworks activities</t>
  </si>
  <si>
    <t>HCV-020</t>
  </si>
  <si>
    <t>SI 009</t>
  </si>
  <si>
    <t>Southern Diversion Drain</t>
  </si>
  <si>
    <t>9641-C-83588-CFC-0099</t>
  </si>
  <si>
    <t>Raw Water Piping (TK12 to TK301) Tie-in and isolation of Bore 3 &amp; Bore 5</t>
  </si>
  <si>
    <t>Company unable to provide isolation of water bores to enable Contractor to complete piping works tie-in</t>
  </si>
  <si>
    <t>Company Site Inductions</t>
  </si>
  <si>
    <t>Company requires Contractor's personnel to complete onsite inductions in addition to Contract specified pre-mobilisation requirements</t>
  </si>
  <si>
    <t>Contractor's costs relate to lost time costs for labour and plant due to inductions</t>
  </si>
  <si>
    <t>HCV-021</t>
  </si>
  <si>
    <t>HCV-022</t>
  </si>
  <si>
    <t>9641-C-83588-CFC-0150</t>
  </si>
  <si>
    <t>9641-C-83588-CTC-0152</t>
  </si>
  <si>
    <t>Contractor has provided batteries to the Company</t>
  </si>
  <si>
    <t>Sign Board Batteries</t>
  </si>
  <si>
    <t>Contractor indicates SoR item no. 103690 be applicable to works.
Contractor reviewing impact to Material Management Plan</t>
  </si>
  <si>
    <t>Unknown Service in Milestones 8 &amp; 11 – (Rail Communications Service)</t>
  </si>
  <si>
    <t>W01022-CPB-NOD-0011</t>
  </si>
  <si>
    <t>NOD-011</t>
  </si>
  <si>
    <t>9641-C-83588-CFC-0105</t>
  </si>
  <si>
    <t>The delay relates to an existing below ground Rail Communications service which has not been previously identified in the Contract Date Design or composite services Drawings (CSD) issued to Contractor</t>
  </si>
  <si>
    <t>Company requested Contractor to provide replacement batteries to 8 no. sign boards</t>
  </si>
  <si>
    <t>8,11</t>
  </si>
  <si>
    <t>Passing valve is preventing Contractor from pressurising piping. The passing valve is a change to the Contract Scope of Work</t>
  </si>
  <si>
    <t>Contractor is required to undertake additional works to locate and blank off  valve or Company to provide safe work method to undertake pressurisation without blanking off passing valve.</t>
  </si>
  <si>
    <t>HCV-023</t>
  </si>
  <si>
    <t>HCV-024</t>
  </si>
  <si>
    <t>HCV-025</t>
  </si>
  <si>
    <t>HCV-026</t>
  </si>
  <si>
    <t>SI 012</t>
  </si>
  <si>
    <t>SI 013</t>
  </si>
  <si>
    <t>Relocate Miscellaneous Operations Equipment</t>
  </si>
  <si>
    <t>Rail Contractors Laydown - Office Footprint Area</t>
  </si>
  <si>
    <t>Remove Bio-max Tanks</t>
  </si>
  <si>
    <t>9641-C-83588-CTC-0171</t>
  </si>
  <si>
    <t>9641-C-83588-CTC-0174</t>
  </si>
  <si>
    <t>9641-C-83588-CTC-0175</t>
  </si>
  <si>
    <t>LC-002</t>
  </si>
  <si>
    <t>Rock Excavation MS1 &amp; MS2</t>
  </si>
  <si>
    <t>Servicing of Company's Rail Contractor - Site Facilities</t>
  </si>
  <si>
    <t>Servicing of site facility inclusive of daily cleaning, supply of welfare consumables, removal of waste and supply of generator fuel</t>
  </si>
  <si>
    <t>Y</t>
  </si>
  <si>
    <t>Company has issued a Site Instruction for the works. Contractor to assess impact to its Work under Contract and cost for the variation works</t>
  </si>
  <si>
    <t>Latent condition - rock located in MS 1 &amp; MS2</t>
  </si>
  <si>
    <t>HCV-018</t>
  </si>
  <si>
    <t>Conditions Encountered in Relation to the Location and Extent of Rock</t>
  </si>
  <si>
    <t>9641-C-83588-CFC-0118</t>
  </si>
  <si>
    <t>Mechanical Rock removal in MS 1 &amp; MS2</t>
  </si>
  <si>
    <t>We had planned to have the Surface Miner onsite for the western areas of MS2 which occur December-January. This planning aligned with the Geotech information on rock locations (Contractually, Reliable Information) We have hit approx 13,000m3 of hard rock which we are removing with rock breakers. This is consuming excavator resources and slowing our loading operations</t>
  </si>
  <si>
    <t>We are being made to attend additional site inductions onsite which were not part of the Contract.  Personnel, then have to attend CPB, induction meaning an unproductive 1st day for labbour and standing plant. BHP have indicated (mid-Sept)  they will provide CPB with their induction details to incorporate into our induction. This has yet to occur.</t>
  </si>
  <si>
    <t>Operations are discharging dewatering into MS4 preventing foundation preparation</t>
  </si>
  <si>
    <t>This discharge was intially intermitent and then continuous since 02/10/18. It is affecting approx 200m of MS4 which impacts our materila movement as it is close to current cut activties in the Southern Diversion Drain</t>
  </si>
  <si>
    <t>1 &amp; 2</t>
  </si>
  <si>
    <t>Additional 60,000m3 of excavation added by BHP (due to works they were meant to complete themselves, but didn't). BHP will argue that it is just less borrow to fill material. Their agruement doesn’t account for how it impact the material movement plan and also additional hours in excavating bank material, as opposed to stockpiled material</t>
  </si>
  <si>
    <t>CSP Culverts - Quantity increase</t>
  </si>
  <si>
    <t>20% increase in CSP culvert volume</t>
  </si>
  <si>
    <t>Comments</t>
  </si>
  <si>
    <t>Variation</t>
  </si>
  <si>
    <t>SI 014</t>
  </si>
  <si>
    <t>HCV-027</t>
  </si>
  <si>
    <t>9641-C-83588-CTC-0184</t>
  </si>
  <si>
    <t>HCV-028</t>
  </si>
  <si>
    <t>Change to Construction Water off-take location</t>
  </si>
  <si>
    <t>Works required to change construction water piping from previous installed temporary off-take location to new/contracted take-off location</t>
  </si>
  <si>
    <t xml:space="preserve">Company has issued a Site Instruction for the works. </t>
  </si>
  <si>
    <t>Contractor has signed dayworks sheets but awaits Site Instruction for the Works</t>
  </si>
  <si>
    <t>HCV-029</t>
  </si>
  <si>
    <t>9641-C-83588-CFC-0127</t>
  </si>
  <si>
    <t>Design Changes in Reclaimer RC02</t>
  </si>
  <si>
    <t>Advance issue IFC drawings (upon review by Contractor) indicate changes to Work relating to sole plates, rubber pads, grout pads and additional rail anchors</t>
  </si>
  <si>
    <t>Contractor reviewing all drawings relating to RC02 and engaging suppliers to determine full extent of impacts to the Works.</t>
  </si>
  <si>
    <t>Relocate Company equipment obstructing SME Haul Road design footprint</t>
  </si>
  <si>
    <t>HCV-031</t>
  </si>
  <si>
    <t>9641-C-83588-CFC-0138</t>
  </si>
  <si>
    <t>Design changes in Conveyor CV484</t>
  </si>
  <si>
    <t>Contractor reviewing all drawings relating to CV484 and engaging suppliers to determine full extent of impacts to the Works.</t>
  </si>
  <si>
    <t>SI - TBA</t>
  </si>
  <si>
    <t>Updated notice issued with costs incurred up until 20/10/2018. Contractor has incorporated Notice 9641-C-83588-CFC-0072 &amp;  9641-C-83588-CFC-0078 into this current assessment</t>
  </si>
  <si>
    <t>Refer to Corr No. 
9641-C-83588-CFC-0139</t>
  </si>
  <si>
    <t>Incorporated into costs under 
9641-C-83588-CFC-0139</t>
  </si>
  <si>
    <t>HCV-032</t>
  </si>
  <si>
    <t>Design Changes Service Pit Types</t>
  </si>
  <si>
    <t>Issued for Construction model and drawings (full Project detail yet to be received) indicate a change in the character of the service pits and additional service pits to those identified in the Contract Date Design</t>
  </si>
  <si>
    <t>HCV-1001</t>
  </si>
  <si>
    <t>9641-C-83588-CFC-0142</t>
  </si>
  <si>
    <t>HCV-1002</t>
  </si>
  <si>
    <t>9641-C-83588-CFC-0149</t>
  </si>
  <si>
    <t>Omit MS05 Temporary SME Level Crossing</t>
  </si>
  <si>
    <t>Company  has directed that the Company no longer requires a Temporary Level Crossing to be installed at the location detailed in DWG 075-R-00002 by 12/03/2019.
The Company does require the permanent level crossing as detailed in DWG 075-R-00002 by 24/09/2019 prior to SF-29 TL01 shutdown</t>
  </si>
  <si>
    <t>Contractor to assess impact and advise the Company accordingly.</t>
  </si>
  <si>
    <t>Guardrail to Embankment MS01 &amp; MS04</t>
  </si>
  <si>
    <t>Pumping Excess Water</t>
  </si>
  <si>
    <t>Dewatering Pump Standby</t>
  </si>
  <si>
    <t>Contractor continues to claim progressively for standby as applicable under SI 08</t>
  </si>
  <si>
    <t>Progressively claimed under SI08</t>
  </si>
  <si>
    <t>9641-C-83588-CFC-0095 
9641-C-83588-CFC-0144</t>
  </si>
  <si>
    <t>HCV-035</t>
  </si>
  <si>
    <t>Company's dewatering discharges into Contractor's work under Contract in MS4 causing flooding and preventing Contractor from performing construction activities in accordance with the ACP</t>
  </si>
  <si>
    <t>Box Culvert design delay and changes to Scope of Work has prevented Contractor from procuring precast materials in accordance with Programme.</t>
  </si>
  <si>
    <t>LC-002b</t>
  </si>
  <si>
    <t>Conditions encountered in Relation to Location and Extent of Rock - Milestone 2</t>
  </si>
  <si>
    <t>Contractor now requires an additional RSM to undertake rock excavation concurrently with planned rock excavation (based on the Reliable Information), in Milestone 10 &amp; 18.</t>
  </si>
  <si>
    <t>HCV-033</t>
  </si>
  <si>
    <t>9641-C-83588-CFC-0155</t>
  </si>
  <si>
    <t>Costs assessed based on dayworks</t>
  </si>
  <si>
    <t>refer to Variations ref 9641-C-83588-CFC-0051</t>
  </si>
  <si>
    <t>Defective design has resulted on Contractor reworking the crown of the rail access road in Milestone 1</t>
  </si>
  <si>
    <t>Contractor has submitted EOT notice with delay mitigation measures and costs to bring the Milestone Dates back in line with the ACP dates</t>
  </si>
  <si>
    <t>Company has relocated unknown service. Contractor to assess any impact to the ACP and advise the Company</t>
  </si>
  <si>
    <t>Flooding Caused by Company’s Operations Dewatering Discharge – Milestone 4</t>
  </si>
  <si>
    <t>Dump Waste Disposal</t>
  </si>
  <si>
    <t>HCV-038</t>
  </si>
  <si>
    <t>9641-C-83588-CFC-0140</t>
  </si>
  <si>
    <t>HCV-039</t>
  </si>
  <si>
    <t>Southern Diversion Drain - Additional Works</t>
  </si>
  <si>
    <t>By side casting the excavated material OPS have increased the complexity to excavate the spoil from the flow drain and then create and trim the batters. 
In addition to this, Contractor has additional works to rework the batters to OSA design.</t>
  </si>
  <si>
    <t>Contractor has submitted lump sum cost of delay and mitigation of delay. Contractor to review against finalised DL hours</t>
  </si>
  <si>
    <t>Changes to CSP Culverts between Contract Date Design and IFC drawings. Scope of Work variations include quantity, length, depth, CSP material thickness for additional works during shutdown activities (HCV-009a)</t>
  </si>
  <si>
    <t>SITE INSTRUCTION NO.</t>
  </si>
  <si>
    <t>VD-04</t>
  </si>
  <si>
    <t>VD-02</t>
  </si>
  <si>
    <t>002</t>
  </si>
  <si>
    <t>001</t>
  </si>
  <si>
    <t>009</t>
  </si>
  <si>
    <t>006</t>
  </si>
  <si>
    <t>011</t>
  </si>
  <si>
    <t>012</t>
  </si>
  <si>
    <t>013</t>
  </si>
  <si>
    <t>014</t>
  </si>
  <si>
    <t>015</t>
  </si>
  <si>
    <t>017</t>
  </si>
  <si>
    <t>021</t>
  </si>
  <si>
    <t>010</t>
  </si>
  <si>
    <t>Maintenance Shared Roads</t>
  </si>
  <si>
    <t>019</t>
  </si>
  <si>
    <t>HCV-037</t>
  </si>
  <si>
    <t>Company has requested Guardrail to Embankment MS01 &amp; MS04 in lieu of the following items introduced in the IFC design:
0.75m safety berm and additional flume openings</t>
  </si>
  <si>
    <t>Contractor requests Company confirm if "anticipated cross section" provided with Site Instruction is the final cross section to be used in construction</t>
  </si>
  <si>
    <t>9641-C-83588-CTC-0212</t>
  </si>
  <si>
    <t>HCV-036</t>
  </si>
  <si>
    <t>MAC-C52 &amp; MAC-C71 - Change in Specification for CSF Backfill during TLO1 Shutdown</t>
  </si>
  <si>
    <t>Cement content of cement stabilised material has increased to 20% and install methodology has changed</t>
  </si>
  <si>
    <t>9641-C-83588_CFC-0035
9641-C-83588_CFC-0042</t>
  </si>
  <si>
    <t>9641-C-83588-CFC-0071
9641-C-83588-CFC-0139</t>
  </si>
  <si>
    <t>HCV-040</t>
  </si>
  <si>
    <t>Installation of Netting Beneath Conveyor MC315 over Culvert C21</t>
  </si>
  <si>
    <t>Company has directed Contractor to install netting beneath the MC315 Conveyor at the section over Culvert 21.</t>
  </si>
  <si>
    <t>HCV-041</t>
  </si>
  <si>
    <t>9641-C-83588-CFC-0175</t>
  </si>
  <si>
    <t xml:space="preserve">Alternative Accommodation - Personnel at Kurra Village </t>
  </si>
  <si>
    <t>Company has directed Contractor to send some of its personnel to Kurra Village</t>
  </si>
  <si>
    <t>Conditions encountered in Relation to Location of Subsurface Void</t>
  </si>
  <si>
    <t xml:space="preserve">The Latent Condition consisting of a subsurface void detected has caused Contractor to cease works in the area. </t>
  </si>
  <si>
    <t>HCV-1003</t>
  </si>
  <si>
    <t>9641-C-83588-CFC-0190</t>
  </si>
  <si>
    <t>HCV-043</t>
  </si>
  <si>
    <t>9641-C-83588-CFC-0187</t>
  </si>
  <si>
    <t>Deletion of Culvert MAC-C68A</t>
  </si>
  <si>
    <t>9641-C-83588-CTC-0253</t>
  </si>
  <si>
    <t>Company has advised Contractor that culvert MAC-C68A is not required to be installed. Contractor to recoup procurement costs.</t>
  </si>
  <si>
    <t>HCV-044</t>
  </si>
  <si>
    <t>9641-C-83588-CFC-0180</t>
  </si>
  <si>
    <t>9641-C-83588-CTC-0261</t>
  </si>
  <si>
    <t>Insufficient Cutting Material</t>
  </si>
  <si>
    <t xml:space="preserve">Contractor’s earthworks team is currently undertaking the Embankment Construction on the Outgo Track in Milestone 2. There is insufficient material from cuttings to complete the works and Contractor has estimated it will require an additional 40,000m3 to complete. </t>
  </si>
  <si>
    <t>HCV-045</t>
  </si>
  <si>
    <t>9641-C-83588-CFC-0181</t>
  </si>
  <si>
    <t>9641-C-83588-CTC-0254</t>
  </si>
  <si>
    <t>Encapsulation of Rock within Embankment</t>
  </si>
  <si>
    <t xml:space="preserve">The soil used in the method specification complied with type C1 material, however it was free running, free draining and non-plastic and requires encapsulation in batters to protect them from erosion and scouring. </t>
  </si>
  <si>
    <t>HCV-046</t>
  </si>
  <si>
    <t>9641-C-83588-CFC-0189</t>
  </si>
  <si>
    <t>9641-C-83588-CTC-0260</t>
  </si>
  <si>
    <t>January Shutdown</t>
  </si>
  <si>
    <t>Company has revised the timeline for the schedule shutdown of the MAC plant</t>
  </si>
  <si>
    <t>LC-002d</t>
  </si>
  <si>
    <t>Contractor now requires an additional shift (night shift)
to undertake rock excavation to mitigate potenital delays.</t>
  </si>
  <si>
    <t>PM</t>
  </si>
  <si>
    <t>9641-C-83588-CFC-0111</t>
  </si>
  <si>
    <t>SI - 011</t>
  </si>
  <si>
    <t>9641-C-83588-CFC-0168
9641-C-83588-CFC-0178</t>
  </si>
  <si>
    <t>HCV-042</t>
  </si>
  <si>
    <t>Expose Subsurface void</t>
  </si>
  <si>
    <t>Company has directed Contractor to excavate the void exposed in MS02 to establish the extent of the void</t>
  </si>
  <si>
    <t>HCV-049</t>
  </si>
  <si>
    <t>HCV-050</t>
  </si>
  <si>
    <t xml:space="preserve">Design changes in Scalping Screening Building BG440 and Product Screening Building BG460 </t>
  </si>
  <si>
    <t>Advance issue IFC drawings (upon review by Contractor) indicate changes to anchor bolts</t>
  </si>
  <si>
    <t>Shared Road Maintenance</t>
  </si>
  <si>
    <t>Culvert Install January Shutdown</t>
  </si>
  <si>
    <t>HCV-051</t>
  </si>
  <si>
    <t>9641-C-83588-CTC-0269</t>
  </si>
  <si>
    <t>Company has directed Contractor MAC-C55a and MAC-C56 are no longer able to be completed during the January shutdown.</t>
  </si>
  <si>
    <t/>
  </si>
  <si>
    <t>EOT (Costs are for Delay mitigation)</t>
  </si>
  <si>
    <t>TOTAL</t>
  </si>
  <si>
    <t>PRIORITY CLAIMS - PENDING RESOLUTION</t>
  </si>
  <si>
    <t>Action</t>
  </si>
  <si>
    <t>Mitigate with additional resources</t>
  </si>
  <si>
    <t>Mitigate with additional resources &amp; Night Shift</t>
  </si>
  <si>
    <t>Mitigate with additional resources
(additional Surface Miner)</t>
  </si>
  <si>
    <t>Mitigate with additional resources 
(Excavators &amp; Rock Breakers)</t>
  </si>
  <si>
    <t>4,9,11</t>
  </si>
  <si>
    <t>14 days</t>
  </si>
  <si>
    <t>57 days (PC)</t>
  </si>
  <si>
    <t>All. Inc PC</t>
  </si>
  <si>
    <t>20/11/2018 &amp; 20/12/2018</t>
  </si>
  <si>
    <t>COMPANY RESPONSE DATE</t>
  </si>
  <si>
    <t>26/11/2018 &amp; 21/11/2018</t>
  </si>
  <si>
    <t>CONTRACTOR SUBMISSION DATE(S)</t>
  </si>
  <si>
    <t>Extend earthworks approx 150m beyond battery limits for Southern Diversion Drain in MS4 (increased cut to fill by 54,000m3)</t>
  </si>
  <si>
    <t>4, 10</t>
  </si>
  <si>
    <t>9 days</t>
  </si>
  <si>
    <t>19/10/2018 &amp; 13/12/2018</t>
  </si>
  <si>
    <t>Additional Resources Mobilised since November 2018</t>
  </si>
  <si>
    <t>Description</t>
  </si>
  <si>
    <t>2/10/2018 &amp; 07/12/2017</t>
  </si>
  <si>
    <t>Company requires Contractor's personnel to complete onsite inductions in addition to Contract specified pre-mobilisation requirements. Pre-mobilisation modules has doubled from those advised in Scope of Works</t>
  </si>
  <si>
    <t>D8 Dozer</t>
  </si>
  <si>
    <t>Water Cart - 773</t>
  </si>
  <si>
    <t>CAT 992 Loader</t>
  </si>
  <si>
    <t>CAT 773 Dump Truck</t>
  </si>
  <si>
    <t>Roller - 19t padfoot</t>
  </si>
  <si>
    <t>Lighting Towers</t>
  </si>
  <si>
    <t>Agi Trucks</t>
  </si>
  <si>
    <t>Concrete Pump</t>
  </si>
  <si>
    <t>Rough Terrain Crane</t>
  </si>
  <si>
    <t>Franna</t>
  </si>
  <si>
    <t>Excavator</t>
  </si>
  <si>
    <t>6 wheel Tippers</t>
  </si>
  <si>
    <t>IT Loader</t>
  </si>
  <si>
    <t>Surface Miner + 2 operators</t>
  </si>
  <si>
    <t>Plant Quantity</t>
  </si>
  <si>
    <t>Labour Quantity</t>
  </si>
  <si>
    <t>Steel Fixer</t>
  </si>
  <si>
    <t>Carpenter</t>
  </si>
  <si>
    <t>Concrete Finisher</t>
  </si>
  <si>
    <t>Planned Additional Resources to be Mobilised 2019 (Concrete Resources)</t>
  </si>
  <si>
    <t>30t &amp; 45t Excavator</t>
  </si>
  <si>
    <t>9641-C-83588-CFC-0214</t>
  </si>
  <si>
    <t>9641-C-83588-CFC-0118
9641-C-83588-CFC-0214</t>
  </si>
  <si>
    <t>9641-C-83588-CFC-0205</t>
  </si>
  <si>
    <t>HCV-048</t>
  </si>
  <si>
    <t>Capping of Monitoring Bores HGC0035V &amp; HGC00046V</t>
  </si>
  <si>
    <t>Company has directed Contractor to decommission monitoring bores HGC0035V and HGC00046V.</t>
  </si>
  <si>
    <t>9641-C-83588-CFC-0208</t>
  </si>
  <si>
    <t>Superseded by corr 9641-C-83588-CFC-0156 and 9641-C-83588-CFC-0216</t>
  </si>
  <si>
    <t>HCV-047</t>
  </si>
  <si>
    <t>HCV-052</t>
  </si>
  <si>
    <t>Culvert Bedding</t>
  </si>
  <si>
    <t>Company has direct Contractor to install additional bedding underneath piping culverts</t>
  </si>
  <si>
    <t>Additional Volume of Fill to Outgo Track in Milestone 4</t>
  </si>
  <si>
    <t>HCV-055</t>
  </si>
  <si>
    <t>HCV-056</t>
  </si>
  <si>
    <t>HCV-057</t>
  </si>
  <si>
    <t>9641-C-83588-CFC-0231</t>
  </si>
  <si>
    <t>9641-C-83588-CFC-0232</t>
  </si>
  <si>
    <t>Provision of Watercart for BHP OPS during Dec shutdown</t>
  </si>
  <si>
    <t>Cable Installation – Stockyard 2 Sub SB05 and Pole JS-61-2</t>
  </si>
  <si>
    <t>Contract rates for applicable items</t>
  </si>
  <si>
    <t>ST04 Boom Tie Down Footing Relocation</t>
  </si>
  <si>
    <t>NOD-019</t>
  </si>
  <si>
    <t>9641-C-83588-CFC-0235</t>
  </si>
  <si>
    <t>W01022-CPB-NOD-0019</t>
  </si>
  <si>
    <t>Design Delay - AFC Design Drawings</t>
  </si>
  <si>
    <t>The delay relates to the non-availability of AFC drawings and the 3D model</t>
  </si>
  <si>
    <t>9641-C-83588-CTC-0299</t>
  </si>
  <si>
    <t>9641-C-83588-CFC-0206
9641-C-83588-CFC-0235</t>
  </si>
  <si>
    <t>Company has issued revised drawings which included the relocation of ST04. Contractor had completed works prior to receiving the new drawings. Re-works required.</t>
  </si>
  <si>
    <t>HCV-062</t>
  </si>
  <si>
    <t>9641-C-83588-CFC-0243</t>
  </si>
  <si>
    <t>MAC604ADW 72_P1JT1 Relocation</t>
  </si>
  <si>
    <t>Contractor carried out the trench excavation as per drawings. During site inspection it was identified the inline joint for MAC604/ADW: 7:2_P1/JT1 is not within the trench vicinity. Contractor has proposed to re-align the trench to align with the inline joint.</t>
  </si>
  <si>
    <t>9641-C-83588-CFC-0100
9641-C-83588-CFC-0238</t>
  </si>
  <si>
    <t>COMPANY / CONTRACTOR VARIATION SUMMARY (clause 21)</t>
  </si>
  <si>
    <t>SUBMISSION DATE</t>
  </si>
  <si>
    <t xml:space="preserve">Description </t>
  </si>
  <si>
    <t>PA</t>
  </si>
  <si>
    <t>COMPANY / CONTRACTOR DELAY &amp; EOT SUMMARY (Clause 16)</t>
  </si>
  <si>
    <t>Submission Date</t>
  </si>
  <si>
    <t>Actions</t>
  </si>
  <si>
    <t>LC-002e</t>
  </si>
  <si>
    <t>9641-C-83588-CTC-0265</t>
  </si>
  <si>
    <t>HCV-061</t>
  </si>
  <si>
    <t>Relocate Ore Car</t>
  </si>
  <si>
    <t>HCV-060</t>
  </si>
  <si>
    <t>Construct temporary overload ore car pad</t>
  </si>
  <si>
    <t>Company has directed Contractor to undertake the construction of a pad next to the outgo rail. The pad will be removed at a later date to be confirmed by the Company.</t>
  </si>
  <si>
    <t>HCV-059</t>
  </si>
  <si>
    <t>Company has directed Contractor to move BHP operations stockpile from the HV cable alignment to allow Contractor to continue with trenching.</t>
  </si>
  <si>
    <t>HCV-063</t>
  </si>
  <si>
    <t>CSF Under Structures</t>
  </si>
  <si>
    <t>Contractor has been directed to use 7% CSF backfill under structures in place of 5%, which was not achieving the required 2Mpa.
*** Company approved Contractor concession to use 5% - Claim Withdrawn</t>
  </si>
  <si>
    <t>9641-C-83588-CFC-0253</t>
  </si>
  <si>
    <t>W01022-CPB-NOD-0020</t>
  </si>
  <si>
    <t>Design Delay - AFC Concrete Drawings</t>
  </si>
  <si>
    <t>The delay relates to the non-availability of AFC drawings.</t>
  </si>
  <si>
    <t>VD-05</t>
  </si>
  <si>
    <t>HCV-064</t>
  </si>
  <si>
    <t>9641-C-83588-CFC-0252</t>
  </si>
  <si>
    <t>Installation of DN200 Sleeves with Stabilised BF</t>
  </si>
  <si>
    <t xml:space="preserve">The 33kV cable install was to be direct buried and backfilled with suitable backfill material. To allow Company’s Operations Contractor (OPS) continued and uninterrupted access to Stockyard 1, Contractor installed 200DN PVC conduit sleeves and backfilled sections of the trench with stabilized sand. </t>
  </si>
  <si>
    <t>NOD-020</t>
  </si>
  <si>
    <t>9641-C-83588-CFC-0166
9641-C-83588-CFC-0233</t>
  </si>
  <si>
    <t>Rework due to Design error - Milestone 1</t>
  </si>
  <si>
    <t>9641-C-83588-CFC-0249</t>
  </si>
  <si>
    <t>DL Hours attached to this variation</t>
  </si>
  <si>
    <t>CSP Additional Bedding</t>
  </si>
  <si>
    <t>Biomax Tanks</t>
  </si>
  <si>
    <t>Exist Services Latent Cond</t>
  </si>
  <si>
    <t>Relocate Equip</t>
  </si>
  <si>
    <t>Subsurf void</t>
  </si>
  <si>
    <t>MAC-C68</t>
  </si>
  <si>
    <t>Quantity x Extra Over Contract Rate for Machine Storage Spur</t>
  </si>
  <si>
    <t>HCV-065</t>
  </si>
  <si>
    <t>HCV-066</t>
  </si>
  <si>
    <t>HCV-067</t>
  </si>
  <si>
    <t>Void Laser Scanning Works</t>
  </si>
  <si>
    <t>Underboring</t>
  </si>
  <si>
    <t>Change in Design - Void laser scanning was added to Contractors scope after contract award</t>
  </si>
  <si>
    <t>9641-C-83588-CFC-0261</t>
  </si>
  <si>
    <t>HCV-042a</t>
  </si>
  <si>
    <t>Excavate and Backfill Subsurface void</t>
  </si>
  <si>
    <t>Company has directed Contractor to excavate and backfill the subsurface void.</t>
  </si>
  <si>
    <t>MEMO-019473</t>
  </si>
  <si>
    <t>NOD-021</t>
  </si>
  <si>
    <t>9641-C-83588-CFC-0266</t>
  </si>
  <si>
    <t>W01022-CPB-NOD-0021</t>
  </si>
  <si>
    <t>Installation of Additional Flumes and Berms</t>
  </si>
  <si>
    <t>The delay relates to additional quantities of flumes to be constructed</t>
  </si>
  <si>
    <t>Estimated amount now included into HCV-009a</t>
  </si>
  <si>
    <t>9641-C-83588-CFC-0267
9641-C-83588-CFC-0275</t>
  </si>
  <si>
    <t>Concrete/ Earthworks</t>
  </si>
  <si>
    <t>Concrete</t>
  </si>
  <si>
    <t>HCV-070</t>
  </si>
  <si>
    <t>Transmitted drawings for Conveyor CV484 indicates changes to the pedestals that have already been installed</t>
  </si>
  <si>
    <t>HCV-068</t>
  </si>
  <si>
    <t>Transition Layer</t>
  </si>
  <si>
    <t>Specification document SPEC-860-C-00010/1, item 10.3.1 notes that a Transition Layer, consisting of either Type C1 Fine Rock Fill or Type A4 Select Fill shall be used immediately below the subgrade level unless noted otherwise on the Drawings.</t>
  </si>
  <si>
    <t>HCV-069</t>
  </si>
  <si>
    <t>COS Escape Tunnel Arch</t>
  </si>
  <si>
    <t>HCV-071</t>
  </si>
  <si>
    <t>HCV-072</t>
  </si>
  <si>
    <t>HCV-074</t>
  </si>
  <si>
    <t>HCV-075</t>
  </si>
  <si>
    <t>BHPSFP-MEMO-020196</t>
  </si>
  <si>
    <t>Culvert MAC-C20</t>
  </si>
  <si>
    <t>1. Installation of Temporary Works for MAC-C20 excavation beneath Conveyor
2. Sketch SFP-C-1240 has revised (increased) the length of Culvert MAC-C20.</t>
  </si>
  <si>
    <t>MEMO-020196</t>
  </si>
  <si>
    <t>Oxy Cutting COS Base Reo</t>
  </si>
  <si>
    <t>Oxy cutting to the reo ligature cogs of the COS foundation</t>
  </si>
  <si>
    <t>HDPE Piping</t>
  </si>
  <si>
    <t>9641-C-83588-CFC-0295</t>
  </si>
  <si>
    <t>HCV-076</t>
  </si>
  <si>
    <t>9641-C-83588-CFC-0298</t>
  </si>
  <si>
    <t>ACO Pit Changes</t>
  </si>
  <si>
    <t>The scope for the HDPE piping has increased from Contract Award.</t>
  </si>
  <si>
    <t>HCV-1004</t>
  </si>
  <si>
    <t>9641-C-83588-CFC-0300</t>
  </si>
  <si>
    <t xml:space="preserve">Central Pilbara Terminal SOW Interface Adjustment </t>
  </si>
  <si>
    <t>HCV-078</t>
  </si>
  <si>
    <t>9641-C-83588-CFC-0305</t>
  </si>
  <si>
    <t>Design Changes in Reclaimer RC03</t>
  </si>
  <si>
    <t>IFC drawings (upon review by Contractor) indicate changes to Work relating to sole plates, rubber pads, grout pads and additional rail anchors</t>
  </si>
  <si>
    <t>Contractor reviewing all drawings relating to RC03 and engaging suppliers to determine full extent of impacts to the Works.</t>
  </si>
  <si>
    <t>Conveyor CV484 Drive Station Design Change</t>
  </si>
  <si>
    <t>Company has issued sketches advising of changes to the Type 66 ACO pits.</t>
  </si>
  <si>
    <t>Change in item 4 - Schedule of Rates Quantity</t>
  </si>
  <si>
    <t>Items identified by survey and included in October 2018 Payment Claim as exceeding the Company's estimated Quantity</t>
  </si>
  <si>
    <t>As per Payment Claim quantity and Contract rates for applicable items</t>
  </si>
  <si>
    <t>Items identified by survey and included in November 2018 Payment Claim as exceeding the Company's estimated Quantity</t>
  </si>
  <si>
    <t>Items identified by survey and included in December 2018 Payment Claim as exceeding the Company's estimated Quantity</t>
  </si>
  <si>
    <t>Items identified by survey and included in March 2019 Payment Claim as exceeding the Company's estimated Quantity</t>
  </si>
  <si>
    <t>*This notice must be:
   (a) Within 10 business days after 1st becoming aware of the Variation (either by direction or where Contractor is of the opinion that it has been directed).</t>
  </si>
  <si>
    <t>Record of meeting minutes and status notes</t>
  </si>
  <si>
    <r>
      <t xml:space="preserve">Company has requested a quotation for Wet Area Rail Outgo Formation CH 2100 - 2400. Scope has been amended to include minor earthworks as described in SI3. Additional pumping activities captured under new </t>
    </r>
    <r>
      <rPr>
        <sz val="11"/>
        <color rgb="FFFF0000"/>
        <rFont val="Calibri"/>
        <family val="2"/>
        <scheme val="minor"/>
      </rPr>
      <t xml:space="preserve">SI(TBA) </t>
    </r>
  </si>
  <si>
    <t>Extra over works associated with temporary piping to connecting TK 12 to TK 301.</t>
  </si>
  <si>
    <t>Changes to CSP Culverts between Contract Date Design and IFC drawings. Scope of Work for MAC-C56 &amp; C58. Final agreement will be based on evident install CSF material and quantity</t>
  </si>
  <si>
    <t>COS advance issue IFC drawings (upon review by Contractor) indicate changes to reinforcement quantities</t>
  </si>
  <si>
    <t>Passing Valve Preventing Preparation of TK12 to TK301 Tie-in</t>
  </si>
  <si>
    <t>Company has requested Contractor provide a price for the servicing of their Rail Contractor's site facility</t>
  </si>
  <si>
    <t>Transmitted drawings for Conveyor CV484 indicates changes to steel embedment's and conduit</t>
  </si>
  <si>
    <t>Company has directed Contractor to:
Excavate and dispose approx. 300m3 of waste material from drain in MS20 &amp; M24.</t>
  </si>
  <si>
    <t>Contractor now requires an additional shift (night shift)
to undertake rock excavation to mitigate potential delays.</t>
  </si>
  <si>
    <t>Contractor has proposed a fixed unit rate for the works.</t>
  </si>
  <si>
    <t>Transport of Redundant Bore Infrastructure</t>
  </si>
  <si>
    <t>Company has directed Contractor to transport the redundant transformer and power pole infrastructure to Packsaddle waste dump.</t>
  </si>
  <si>
    <t>Company has requested Contractor to provide a water cart on stand by for OPS during the December shut down tie in.</t>
  </si>
  <si>
    <t>Cable size has increased from 240mm to 300mm. Contractor has proposed to utilise the 300mm contract rate to value the works.</t>
  </si>
  <si>
    <t>Additional work to complete cable trench</t>
  </si>
  <si>
    <t>Company has directed Contractor to relocate the Company owned ore car which is impeding the design footprint of the outgo track within Milestone 4.</t>
  </si>
  <si>
    <t>Contractor is encountering rock with a UCS of greater than 50Mpa. Contractor has proposed EO rates for excavating rock with a Surface Miner and Rock Breaker in MS02.</t>
  </si>
  <si>
    <t>Transmitted drawings for Transfer Station TS472 indicates changes to steel embedment's and conduit</t>
  </si>
  <si>
    <t>Transmitted drawings for COS Escape Tunnel indicates changes to the Arch</t>
  </si>
  <si>
    <t>Extend earthworks approx. 150m beyond battery limits for Southern Diversion Drain in MS4</t>
  </si>
  <si>
    <t>Last response by</t>
  </si>
  <si>
    <t>Contractor</t>
  </si>
  <si>
    <t>Company</t>
  </si>
  <si>
    <t>9641-C-83588-CTC-0317</t>
  </si>
  <si>
    <t>9641-C-83588-CTC-0379</t>
  </si>
  <si>
    <t>9641-C-83588-CTC-0239
9641-C-83588-CTC-0379</t>
  </si>
  <si>
    <t>9641-C-83588-CTC-0219
9641-C-83588-CTC-0364</t>
  </si>
  <si>
    <t>9641-C-83588-CFC-0265
Email 2019/03/17</t>
  </si>
  <si>
    <t>9641-C-83588-CFC-0257
Email 20/3/2019</t>
  </si>
  <si>
    <t>9641-C-83588-CTC-0199
9641-C-83588-CTC-0336</t>
  </si>
  <si>
    <t>9641-C-83588-CTC-0286</t>
  </si>
  <si>
    <t>9641-C-83588-CTC-0328</t>
  </si>
  <si>
    <t>9641-C-83588-CTC-0342</t>
  </si>
  <si>
    <t>9641-C-83588-CTC-0285</t>
  </si>
  <si>
    <t>9641-C-83588-CTC-0303</t>
  </si>
  <si>
    <t>9641-C-83588-CFC-0197
9641-C-83588-CFC-0266</t>
  </si>
  <si>
    <t>9641-C-83588-CFC-0156
9641-C-83588-CFC-0236</t>
  </si>
  <si>
    <t>9641-C-83588-CFC-0143
9641-C-83588-CFC-0264</t>
  </si>
  <si>
    <t>9641-C-83588-CTC-0343
9641-C-83588-CTC-0363</t>
  </si>
  <si>
    <t>9641-C-83588-CFC-0085
9641-C-83588-CFC-0287</t>
  </si>
  <si>
    <t>HCV-079</t>
  </si>
  <si>
    <t>Outgo Rail Services Trench Under New Rail Formation</t>
  </si>
  <si>
    <t>9641-C-83588-CFC-0311</t>
  </si>
  <si>
    <t>IFC drawings (upon review by Contractor) indicate 200mm  conduits are to be installed and the trench is to be backfilled with CSF.</t>
  </si>
  <si>
    <t>9641-C-83588-CFC-0225
9641-C-83588-CFC-0245
9641-C-83588-CFC-0308</t>
  </si>
  <si>
    <t>7, 8, 11</t>
  </si>
  <si>
    <t>HCV-077</t>
  </si>
  <si>
    <t>9641-C-83588-CFC-0303</t>
  </si>
  <si>
    <t>FOC Conduit and Pits</t>
  </si>
  <si>
    <t xml:space="preserve">Existing Stockpile and precast sleepers placed on FOC trench alignment. </t>
  </si>
  <si>
    <t>Substation 2 Cable Supporting Structure</t>
  </si>
  <si>
    <t>HCV-080</t>
  </si>
  <si>
    <t>9641-C-83588-CFC-0314</t>
  </si>
  <si>
    <t>300mm Cable Installation Additional Scope</t>
  </si>
  <si>
    <t>9641-C-83588-CFC-0318</t>
  </si>
  <si>
    <t>HCV-081</t>
  </si>
  <si>
    <t>The qty of the 300mm cable to be installed has increased.</t>
  </si>
  <si>
    <t>HCV-082</t>
  </si>
  <si>
    <t>Secondary Crushing Building BG450</t>
  </si>
  <si>
    <t>Email (D.Cabassi to S.Schalk 04/09/2018)
9641-C-83588-CFC-0333</t>
  </si>
  <si>
    <t>9641-C-83588-CFC-0174
9641-C-83588-CFC-0331</t>
  </si>
  <si>
    <t>9641-C-83588-CTC-0407</t>
  </si>
  <si>
    <t>9641-C-83588-CFC-0208
Email 2019/03/17</t>
  </si>
  <si>
    <t>9641-C-83588-CTC-0250</t>
  </si>
  <si>
    <t>9641-C-83588-CTC-0327</t>
  </si>
  <si>
    <t>142/2/19</t>
  </si>
  <si>
    <t>GPR Survey in MS02</t>
  </si>
  <si>
    <t xml:space="preserve">Company has directed Contractor to carry out GPR Survey </t>
  </si>
  <si>
    <t>Approved in Company Assessment - VO not issued</t>
  </si>
  <si>
    <t>HCV-042 (2)</t>
  </si>
  <si>
    <t>HCV-085</t>
  </si>
  <si>
    <t>9641-C-83588-CFC-0325</t>
  </si>
  <si>
    <t>Cable Installation - Trench Excavation</t>
  </si>
  <si>
    <t>Contractor has encountered rock during trench excavation activities on the Outgo Track</t>
  </si>
  <si>
    <t>NOD-025</t>
  </si>
  <si>
    <t>9641-C-83588-CFC-0315</t>
  </si>
  <si>
    <t>W01022-CPB-NOD-0025</t>
  </si>
  <si>
    <t>Central Pilbara Terminal</t>
  </si>
  <si>
    <t>NOD-026</t>
  </si>
  <si>
    <t>W01022-CPB-NOD-0026</t>
  </si>
  <si>
    <t>Company issued SI-039 and SI-043, directing Contractor to undertake additional work in the Pilbara Central Terminal</t>
  </si>
  <si>
    <t>Underground Services Model</t>
  </si>
  <si>
    <t>9641-C-83588-CFC-0316</t>
  </si>
  <si>
    <t>The delay relates to the ongoing changes to the AFC model.</t>
  </si>
  <si>
    <t>9641-C-83588-CFC-0260
9641-C-83588-CFC-0336</t>
  </si>
  <si>
    <t>HCV-086</t>
  </si>
  <si>
    <t>9641-C-83588-CFC-0326</t>
  </si>
  <si>
    <t>Ground Improvement - Scope Growth</t>
  </si>
  <si>
    <t>HCV-088</t>
  </si>
  <si>
    <t>9641-C-83588-CFC-0334</t>
  </si>
  <si>
    <t>Design Changes - Transfer Station TS471</t>
  </si>
  <si>
    <t>HCV-087</t>
  </si>
  <si>
    <t>9641-C-83588-CFC-0328</t>
  </si>
  <si>
    <t>Excavation Permit Training</t>
  </si>
  <si>
    <t>Company has directed Contractor to present a training package to its supervisory staff</t>
  </si>
  <si>
    <t>9641-C-83588-CTC-420</t>
  </si>
  <si>
    <t>9641-C-83588-CTC-0419</t>
  </si>
  <si>
    <t>$97,913.8 - Approved value for Guardrail will not be recognised</t>
  </si>
  <si>
    <t>Current assessed Value</t>
  </si>
  <si>
    <t>Variation/ EOT No.</t>
  </si>
  <si>
    <t>Programme Impact Analysis (relating to Company Stockpile 2 and Raw Water Piping Tie-in Works)</t>
  </si>
  <si>
    <t>Site Inductions</t>
  </si>
  <si>
    <t>Status Comments</t>
  </si>
  <si>
    <t>NOD-016a</t>
  </si>
  <si>
    <t>In Apr-19 Payment Claim (11/04/19)</t>
  </si>
  <si>
    <t>Contractor has submitted a worked example of costs in Feb-19 and submitted actual direct costs based on same basis using actual labour numbers and pay grades in Mar-19 &amp; Apr-19.
Contractor has yet to receive a response from Company.</t>
  </si>
  <si>
    <t>1st Submission</t>
  </si>
  <si>
    <t>16/11/18 &amp; 20/11/18</t>
  </si>
  <si>
    <t>Last Correspondence by</t>
  </si>
  <si>
    <t>Last Correspondence Date</t>
  </si>
  <si>
    <t>NOD-008a</t>
  </si>
  <si>
    <t>NOD-008a &amp; NOD-009a</t>
  </si>
  <si>
    <t>NOV-018b</t>
  </si>
  <si>
    <t>Disagreement on what was included/excluded from WOP offer for Company Stockpile delay</t>
  </si>
  <si>
    <t>On hold pending Company's completion of programme impact analysis</t>
  </si>
  <si>
    <t>Roster Change - Change to Contract shift Roster: 7hr shift changes from Sunday to Monday Direct Cost Assessment</t>
  </si>
  <si>
    <t>Company's correspondence CTC-0280 supported reimbursement of direct costs for additional shift costs
Current direct cost value based on period 13/01/19 - 06/04/19 (included in Apr-19 Payment Claim = $790k)
Estimated value through until 25/05/19 (nominal date based on discussions with the Company) = $1.29m</t>
  </si>
  <si>
    <t>Contractor provided impact analysis with EOT submissions (16/11/18 &amp; 20/11/18)</t>
  </si>
  <si>
    <t>Awaiting Company response</t>
  </si>
  <si>
    <t>11/04/19 (update)</t>
  </si>
  <si>
    <t>Contractor has provided impact analysis. 
Company unable/unwilling to provide their impact analysis. Without Prejudice meeting to discuss scheduled for 17/04/19</t>
  </si>
  <si>
    <t>Worked Example of Costs (based on Company's CTC-0280) 
18/02/2019</t>
  </si>
  <si>
    <t>Contractor is required to undertake a Company site induction in addition to pre-mobilisation induction and Contractor induction. Claim is for Company site induction attendance which is not a requirement of the Contract.</t>
  </si>
  <si>
    <t>HCV-1005</t>
  </si>
  <si>
    <t>9641-C-83588-CFC-0346</t>
  </si>
  <si>
    <t>Items identified by survey and included in April 2019 Payment Claim as exceeding the Company's estimated Quantity</t>
  </si>
  <si>
    <t>HCV-083</t>
  </si>
  <si>
    <t>HCV-084</t>
  </si>
  <si>
    <t>Conduit &amp; 33KV Realign</t>
  </si>
  <si>
    <t>Company has directed Contractor to supply and install only the following bollard types:
• Bollards cast within concrete slabs as detailed in the Contract Drawings, and
• Type 2/2A bollards chemically anchored within concrete slabs as detailed in the Contract Drawings.</t>
  </si>
  <si>
    <t>Action by</t>
  </si>
  <si>
    <t>Yes</t>
  </si>
  <si>
    <t>VO_Status (Internal)</t>
  </si>
  <si>
    <t>Agreed</t>
  </si>
  <si>
    <t>9641-C-83588-CFC-0055
9641-C-83588-CFC-0287</t>
  </si>
  <si>
    <t xml:space="preserve">BHPSFP-MEMO-01547
9641-C-83588-CTC-0159
9641-C-83588-CTC-0425 </t>
  </si>
  <si>
    <t>Agreed by Company - Pending Contractor's further details</t>
  </si>
  <si>
    <t>9641-C-83588-CTC-0202
9641-C-83588-CTC-0410</t>
  </si>
  <si>
    <t>See HCV-014</t>
  </si>
  <si>
    <t>9641-C-83588-CTC-0412</t>
  </si>
  <si>
    <t>No</t>
  </si>
  <si>
    <t>Agreed in principle - awaiting additional info</t>
  </si>
  <si>
    <t>Covered under HCV-012</t>
  </si>
  <si>
    <t>Covered under HCV-012 / SI-008</t>
  </si>
  <si>
    <t>Works Ongoing</t>
  </si>
  <si>
    <t>BHPSFP-MEMO-019473
9641-C-83588-CTC-0362
9641-C-83588-CTC-0323</t>
  </si>
  <si>
    <t>9641-C-83588-CFC-0237
9641-C-83588-CFC-0256</t>
  </si>
  <si>
    <t>To be quantified</t>
  </si>
  <si>
    <t>NOD-027</t>
  </si>
  <si>
    <t>9641-C-83588-CFC-0344</t>
  </si>
  <si>
    <t>W01022-CPB-NOD-0027</t>
  </si>
  <si>
    <t>Conveyors CV472 and CV475</t>
  </si>
  <si>
    <t xml:space="preserve">02a, 02b, 06, 08, 09, 14, 15, 16, 18, 20, 21 </t>
  </si>
  <si>
    <t>The delay relates to the realignment of buried services underneath CV472 and CV475.</t>
  </si>
  <si>
    <t>HCV-089</t>
  </si>
  <si>
    <t>9641-C-83588-CFC-0348</t>
  </si>
  <si>
    <t>Reclaimer RC02 - Storm Lock Footing Duct Install in Lieu of Anchor Bolts</t>
  </si>
  <si>
    <t>Company has directed Contractor to not install the 4AB6-A-30-750-200 anchor bolts for the Reclaimer RC02 Storm
Lock Footing and install steel ducts instead.</t>
  </si>
  <si>
    <t>bcm rock in Outgo (MS2)</t>
  </si>
  <si>
    <t>% of UCS tests &gt;50MPa (51 of 70 tests)</t>
  </si>
  <si>
    <t>HCV-091</t>
  </si>
  <si>
    <t>Installation of Flumes and Berms – Outgo Tracks</t>
  </si>
  <si>
    <t>HCV-090</t>
  </si>
  <si>
    <t>9641-C-83588-CFC-0357</t>
  </si>
  <si>
    <t>MASW Survey</t>
  </si>
  <si>
    <t xml:space="preserve">Company has provided additional information regarding the MASW survey that was not available at Contract Date Design. </t>
  </si>
  <si>
    <t>9641-C-83588-CFC-0110
9641-C-83588-CFC-0173
9641-C-83588-CFC-0354</t>
  </si>
  <si>
    <t>9641-C-83588-CFC-0186
9641-C-83588-CFC-0307
9641-C-83588-CFC-0354</t>
  </si>
  <si>
    <t>9641-C-83588-CFC-0247
9641-C-83588-CFC-0354</t>
  </si>
  <si>
    <t>HCV-092</t>
  </si>
  <si>
    <t>9641-C-83588-CFC-0361</t>
  </si>
  <si>
    <t>HCV-094</t>
  </si>
  <si>
    <t>9641-C-83588-CFC-0365</t>
  </si>
  <si>
    <t>HCV-093</t>
  </si>
  <si>
    <t>9641-C-83588-CFC-0337</t>
  </si>
  <si>
    <t>9641-C-83588-CTC-0435</t>
  </si>
  <si>
    <t>Isolation of LP-17 Stockyard 2</t>
  </si>
  <si>
    <t>HCV-096</t>
  </si>
  <si>
    <t>9641-C-83588-CFC-0369</t>
  </si>
  <si>
    <t>Transfer Station 472 - Anchor Bolt Block Out</t>
  </si>
  <si>
    <t>HCV-097</t>
  </si>
  <si>
    <t>9641-C-83588-CTC-0454</t>
  </si>
  <si>
    <t>Removal of Inert Waste Material in MS20 &amp; MS24</t>
  </si>
  <si>
    <t>HCV-098</t>
  </si>
  <si>
    <t>9641-C-83588-CTC-0455</t>
  </si>
  <si>
    <t>Extra Over Haulage - P4-5 Module Road</t>
  </si>
  <si>
    <t>NOD-029</t>
  </si>
  <si>
    <t>W01022-CPB-NOD-0029</t>
  </si>
  <si>
    <t>Cut and Fill Quantities</t>
  </si>
  <si>
    <t>9641-C-83588-CFC-0367</t>
  </si>
  <si>
    <t>Increase in the cut and fill quantities from Contract Award</t>
  </si>
  <si>
    <t>Upon receipt of AFC drawings and 3D model, Contractor can identify mitigation measures.
Included in EOT issued uinder CFC-0342</t>
  </si>
  <si>
    <t>EOT submitted. Awaiting Company review and determination</t>
  </si>
  <si>
    <t>Company has directed Contractor to haul and place any remaining spoil excess and / or spoil unsuitable excavated material to the location of the P4/5 Module Road</t>
  </si>
  <si>
    <t>Company has directed Contractor to:
Excavate, load and haul to stockpile and dispose 5,903m3 of inert waste material from drain in MS20 &amp; M24.</t>
  </si>
  <si>
    <t>9641-C-83588-CFC-0366</t>
  </si>
  <si>
    <t>9641-C-83588-CTC-0287
9641-C-83588-CTC-0436</t>
  </si>
  <si>
    <t>9641-C-83588-CTC-0367
9641-C-83588-CTC-0436</t>
  </si>
  <si>
    <t>9641-C-83588-CTC-0436</t>
  </si>
  <si>
    <t>HCV-099</t>
  </si>
  <si>
    <t>HCV-100</t>
  </si>
  <si>
    <t>9641-C-83588-CFC-0378</t>
  </si>
  <si>
    <t>Stockyard 2 Earthworks Changes</t>
  </si>
  <si>
    <t>Contractor has undertaken a preliminary review of the drawings and has become aware of evident changes. These changes include, but not limited to, changes in the set out co-ordinates of the TS314 pad.</t>
  </si>
  <si>
    <t>OHP3 Earthworks Design Changes</t>
  </si>
  <si>
    <t>Design Changes - Transfer Station CV521</t>
  </si>
  <si>
    <t>9641-C-83588-CFC-0390</t>
  </si>
  <si>
    <t>Change in Schedule 1.9 - Table 1.9.2 Cable Drums</t>
  </si>
  <si>
    <t>500mm 1C 33kV and 630mm 1C 132kV cables delivered as single cable drums and not 3 off as per Table 1.9.2</t>
  </si>
  <si>
    <t>Contractor has proposed a new rate for additional work required for cable drum setup and cable pulling</t>
  </si>
  <si>
    <t>9641-C-83588-CFC-0392</t>
  </si>
  <si>
    <t>Direction to Relocate Laydown Area</t>
  </si>
  <si>
    <t>Company Direction to remove and relocate all Contractor’s Goods, consumables, demountable buildings, materials, Plant and Equipment of whatever kind situated in or on the area</t>
  </si>
  <si>
    <t>Rail Tie-In Works for Track Slews</t>
  </si>
  <si>
    <t>Company has directed Contractor to undertake necessary work to facilitate rail tie-in works by Company</t>
  </si>
  <si>
    <t>HCV-101</t>
  </si>
  <si>
    <t>HCV-102</t>
  </si>
  <si>
    <t>HCV-103</t>
  </si>
  <si>
    <t>HCV-104</t>
  </si>
  <si>
    <t>HCV-105</t>
  </si>
  <si>
    <t>Excess Topsoil</t>
  </si>
  <si>
    <t>HCV-106</t>
  </si>
  <si>
    <t>TS471 Design clashes between reinforcing steel and bolts</t>
  </si>
  <si>
    <t>Contractor has identified design clashes between reinforcing steel and bolts in TS471 requiring rectification work</t>
  </si>
  <si>
    <t>9641-C-83588-CFC-0383</t>
  </si>
  <si>
    <t>New Substation SUB485</t>
  </si>
  <si>
    <t>Contractor issued schedule which included release dates for SUB485 which does not form part of WUC</t>
  </si>
  <si>
    <t>9641-C-83588-CFC-0385</t>
  </si>
  <si>
    <t>Signed Field Inspection Records for agreed quantities for the excess topsoil and subsoil removed by Contractor as of 30/04/19 indicates additional quantities to Contract Date Design</t>
  </si>
  <si>
    <t>9641-C-83588-CFC-0397</t>
  </si>
  <si>
    <t>9641-C-83588-CTC-0482</t>
  </si>
  <si>
    <t>9641-C-83588-CTC-0476</t>
  </si>
  <si>
    <t>9641-C-83588-CTC-0416
9641-C-83588-CTC-0421</t>
  </si>
  <si>
    <t>VD-06</t>
  </si>
  <si>
    <t>HCV-012a</t>
  </si>
  <si>
    <t xml:space="preserve">Liquid Waste to Mulla Mulla </t>
  </si>
  <si>
    <t>Weekly rate of $5,055.27 for 6 months</t>
  </si>
  <si>
    <t>003</t>
  </si>
  <si>
    <t>9641-C-83588_CFC-0040
9641-C-83588-CFC-0375</t>
  </si>
  <si>
    <t>9641-C-83588-CTC-0110
9641-C-83588-CTC-0478</t>
  </si>
  <si>
    <t>Partially Approved</t>
  </si>
  <si>
    <t>Closed</t>
  </si>
  <si>
    <t>HCV-010c</t>
  </si>
  <si>
    <t>Superseded</t>
  </si>
  <si>
    <t>HCV-010 (a)(b)</t>
  </si>
  <si>
    <t>HCV-010d</t>
  </si>
  <si>
    <t>9641-C-83588-CFC-0356</t>
  </si>
  <si>
    <t>9641-C-83588-CFC-0395</t>
  </si>
  <si>
    <t>HCV-109</t>
  </si>
  <si>
    <t>9641-C-83588-CFC-0379</t>
  </si>
  <si>
    <t>Revised Electrical Scope</t>
  </si>
  <si>
    <t>9641-C-83588-CFC-0400</t>
  </si>
  <si>
    <t>Contractor has revised the electrical MTO based on the latest AFC model issued</t>
  </si>
  <si>
    <t>HCV-107</t>
  </si>
  <si>
    <t>HCV-108</t>
  </si>
  <si>
    <t>Light Pole Isolations</t>
  </si>
  <si>
    <t>HCV-110</t>
  </si>
  <si>
    <t>9641-C-83588-CFC-0402</t>
  </si>
  <si>
    <t>Puraceptors</t>
  </si>
  <si>
    <t>Contractor has been directed to escort, receipt, unload and store the Company supplied puraceptors.</t>
  </si>
  <si>
    <t>The not to exceed value included in the SI was not sufficient for the works</t>
  </si>
  <si>
    <t>Cost Approved</t>
  </si>
  <si>
    <t>9641-C-83588-CTC-0502</t>
  </si>
  <si>
    <t>9641-C-83588-CFC-0409</t>
  </si>
  <si>
    <t>The 33kV Conduit and Cable trench in Milestone 2b has been re-aligned, with the addition of excess material to be removed and underboring.</t>
  </si>
  <si>
    <t>HCV-111</t>
  </si>
  <si>
    <t>Module Route - COS Hopper</t>
  </si>
  <si>
    <t>Contractor has been directed to construct a 10 meter wide access track to facilitate suitable access for Company to transport COS cast in chutes (hoppers).</t>
  </si>
  <si>
    <t>VD-06 $1.5M Budget Allowance. To be reconciled</t>
  </si>
  <si>
    <r>
      <t xml:space="preserve">Coarse Ore Stockpile – Reinforcement 
</t>
    </r>
    <r>
      <rPr>
        <b/>
        <sz val="11"/>
        <color theme="1"/>
        <rFont val="Calibri"/>
        <family val="2"/>
        <scheme val="minor"/>
      </rPr>
      <t>Raft Foundation</t>
    </r>
  </si>
  <si>
    <r>
      <t xml:space="preserve">Coarse Ore Stockpile – Reinforcement
</t>
    </r>
    <r>
      <rPr>
        <b/>
        <sz val="11"/>
        <color theme="1"/>
        <rFont val="Calibri"/>
        <family val="2"/>
        <scheme val="minor"/>
      </rPr>
      <t>Vault Walls</t>
    </r>
  </si>
  <si>
    <r>
      <t xml:space="preserve">Coarse Ore Stockpile – Reinforcement
</t>
    </r>
    <r>
      <rPr>
        <b/>
        <sz val="11"/>
        <color theme="1"/>
        <rFont val="Calibri"/>
        <family val="2"/>
        <scheme val="minor"/>
      </rPr>
      <t>Mezzanine</t>
    </r>
  </si>
  <si>
    <t>9641-C-83588-CTC-0233
9641-C-83588-CTC-0507</t>
  </si>
  <si>
    <t>HCV-1006</t>
  </si>
  <si>
    <t>9641-C-83588-CFC-0411</t>
  </si>
  <si>
    <t>Items identified by survey and included in May 2019 Payment Claim as exceeding the Company's estimated Quantity</t>
  </si>
  <si>
    <t>HCV-115</t>
  </si>
  <si>
    <t>HV Cable Trench Re-Work</t>
  </si>
  <si>
    <t>Contractor has encountered mine waste whilst excavating the HV cable trench in MS4. As a result, the sand bedding material is sinking. 
Contractor has been directed to remove the sand bedding and install a 150mm layer of select fill, and install the sand bedding on top of it.</t>
  </si>
  <si>
    <t>HCV-117</t>
  </si>
  <si>
    <t>Guardrail to Embankment MS02 &amp; MS04</t>
  </si>
  <si>
    <t>Company has directed to construct Guardrail to Embankment MS02 &amp; MS04 in lieu of the 0.75 high safety berm and flume openings.</t>
  </si>
  <si>
    <t>NOV No</t>
  </si>
  <si>
    <t>NOD-032</t>
  </si>
  <si>
    <t>9641-C-83588-CFC-0405</t>
  </si>
  <si>
    <t>W01022-CPB-NOD-0032</t>
  </si>
  <si>
    <t>The delay relates to the addition of embedments to the BG450 Walls - Contractor cannot complete the concrete walls until the new embedments are fabricated and delivered.</t>
  </si>
  <si>
    <t>HCV-118</t>
  </si>
  <si>
    <t>HCV-119</t>
  </si>
  <si>
    <t>Piping Scope Change</t>
  </si>
  <si>
    <t>Contractor has revised the piping MTO based on the latest AFC model issued</t>
  </si>
  <si>
    <t>Removal of additional LP, cabling</t>
  </si>
  <si>
    <t>9641-C-83588-CFC-0413</t>
  </si>
  <si>
    <t>HCV-121</t>
  </si>
  <si>
    <t>9641-C-83588-CTC-0494</t>
  </si>
  <si>
    <t>9641-C-83588-CFC-0396
9641-C-83588-CFC-0426</t>
  </si>
  <si>
    <t>9641-C-83588-CTC-0517</t>
  </si>
  <si>
    <t>9641-C-83588-CFC-0393
9641-C-83588-CFC-0416</t>
  </si>
  <si>
    <t>9641-C-83588-CFC-0340</t>
  </si>
  <si>
    <t>9641-C-83588-CTC-0487</t>
  </si>
  <si>
    <t>9641-C-83588-CTC-0296
9641-C-83588-CTC-0318
9641-C-83588-CTC-0507</t>
  </si>
  <si>
    <t>9641-C-83588-CFC-0281
9641-C-83588-CFC-0401</t>
  </si>
  <si>
    <t>9641-C-83588-CTC-0361
9641-C-83588-CTC-0542</t>
  </si>
  <si>
    <t>9641-C-83588-CFC-0428</t>
  </si>
  <si>
    <t>9641-C-83588-CFC-0288
9641-C-83588-CFC-0431</t>
  </si>
  <si>
    <t>9641-C-83588-CTC-0488</t>
  </si>
  <si>
    <t>9641-C-83588-CFC-0353
9641-C-83588-CFC-0434</t>
  </si>
  <si>
    <t>Additional Works instructed under SI-055</t>
  </si>
  <si>
    <t>9641-C-83588-CFC-0435</t>
  </si>
  <si>
    <t>132kV Jointing Kits</t>
  </si>
  <si>
    <t xml:space="preserve">Contractor has received revised drawing 860-E-00018 Rev 3 which indicate changes to the Works including the removal of an additional light pole, cable </t>
  </si>
  <si>
    <t>Date of Last Response</t>
  </si>
  <si>
    <t>Existing Cable tray under the Substation is non-compliant. Company has directed Contractor to rectify the cable tray</t>
  </si>
  <si>
    <t>IFC drawings (upon review by Contractor) indicate changes to Work relating to embedment's</t>
  </si>
  <si>
    <t>Reduction in scope has increased the supply cost of the bollards</t>
  </si>
  <si>
    <t xml:space="preserve">Quantity of the piles to be installed has increased from 80 to 84. </t>
  </si>
  <si>
    <t xml:space="preserve">Company has issued AFC drawings indicating an increase of flumes on Outgo Tracks from 18 to 261.
Company has withdrawn SI-016 which had included W-beam in lieu of 0.75m berms and flumes.
</t>
  </si>
  <si>
    <t>The Qty of fill to the Outgo Track in Milestone 4 has increased from Contract Award.</t>
  </si>
  <si>
    <t>Contractor was directed to isolate LP-17 to allow Contractor to remove the light pole as part of its Scope of Works.</t>
  </si>
  <si>
    <t>Due to design changes in TS472, Contractor has had to procure additional/ new anchor bolts. To mitigate potential delays to construction whilst awaiting the delivery of the anchor bolts, Contractor has constructed block outs in the pedestals to allow anchor bolts to be installed after pedestal construction.</t>
  </si>
  <si>
    <t>Contractor has been directed to supply and install 5 Nr electrically rated boxes suitable to isolate the redundant lighting poles.</t>
  </si>
  <si>
    <t>Superseded by HCV-103</t>
  </si>
  <si>
    <t>Superseded by HCV-108</t>
  </si>
  <si>
    <t>Contractor has been directed to procure the items listed in Drawing 845-E-14138 that are not being supplied with the Company Supplied 132kV Jointing Kits</t>
  </si>
  <si>
    <t>HCV-120</t>
  </si>
  <si>
    <t>Above Ground Valves</t>
  </si>
  <si>
    <t>HCV-122</t>
  </si>
  <si>
    <t>9641-C-83588-CFC-0441</t>
  </si>
  <si>
    <t>9641-C-83588-CTC-0504</t>
  </si>
  <si>
    <t>HCV-123</t>
  </si>
  <si>
    <t>9641-C-83588-CFC-0432</t>
  </si>
  <si>
    <t>COS Mezzanine Reinforcement Clash</t>
  </si>
  <si>
    <t>Company issued RVP-005 for the install of Puraceptors</t>
  </si>
  <si>
    <t>Company issued RVP-004 for the install of Above Ground Valves.</t>
  </si>
  <si>
    <t>Company has directed Contractor to undertake rectification works to the BG420 Mezzanine reinforcement clashes.</t>
  </si>
  <si>
    <t>HCV-124</t>
  </si>
  <si>
    <t>MAC 132/33kV Switchyard</t>
  </si>
  <si>
    <t>IFC drawings (upon review by Contractor) indicate changes to Works.</t>
  </si>
  <si>
    <t>HCV-125</t>
  </si>
  <si>
    <t>Transfer Station TS477 Reinforcement Changes</t>
  </si>
  <si>
    <t>9641-C-83588-CFC-0443</t>
  </si>
  <si>
    <t>HCV-128</t>
  </si>
  <si>
    <t>9641-C-83588-CFC-0447</t>
  </si>
  <si>
    <t>Riser and Spool Scope of Works</t>
  </si>
  <si>
    <t xml:space="preserve">The quantity of the following works has increased based on the current services model:
• The building risers,
• The water cannon risers and spools, and 
• The water cannon and fire hydrant risers and spools.
</t>
  </si>
  <si>
    <t>W01022-CPB-NOD-0034</t>
  </si>
  <si>
    <t>W01022-CPB-NOD-0036</t>
  </si>
  <si>
    <t>NOD-034</t>
  </si>
  <si>
    <t>NOD-036</t>
  </si>
  <si>
    <t>TS476 Access Date</t>
  </si>
  <si>
    <t>CV521 Company Supplied Items</t>
  </si>
  <si>
    <t>9641-C-83588-CFC-0438</t>
  </si>
  <si>
    <t>9641-C-83588-CFC-0425</t>
  </si>
  <si>
    <t>TS476 handover has been moved from 15 Sep 2019 to 20 Dec 2019.</t>
  </si>
  <si>
    <t>The delay relates to the Company Supplied Items for CV521</t>
  </si>
  <si>
    <t>FPM Recognised Value (APPROVED inc R&amp;F)</t>
  </si>
  <si>
    <t>FPM LOW RISK UNAPPROVED REVENUE</t>
  </si>
  <si>
    <t>FPM MED-HIGH RISK UNAPPROVED REVENUE
(STRETCH)</t>
  </si>
  <si>
    <t>TOTAL UNAPPROVED REVENUE</t>
  </si>
  <si>
    <t>BU STRETCH UNNAPPROVED REVENUE (@10/05/19)</t>
  </si>
  <si>
    <t>HCV-118a</t>
  </si>
  <si>
    <t>HCV-072a</t>
  </si>
  <si>
    <t>De-scope</t>
  </si>
  <si>
    <t>In SOR</t>
  </si>
  <si>
    <t>Inc in Elect Scope</t>
  </si>
  <si>
    <t>A8(1)</t>
  </si>
  <si>
    <t>A8(2)</t>
  </si>
  <si>
    <t>A8</t>
  </si>
  <si>
    <t>B1.6</t>
  </si>
  <si>
    <t>B1.8</t>
  </si>
  <si>
    <t>9641-C-83588-CFC-0413
9641-C-83588-CFC-0421</t>
  </si>
  <si>
    <t>CONTRACT ADJUSTMENTS</t>
  </si>
  <si>
    <t>VARIATIONS &amp; DAYWORKS</t>
  </si>
  <si>
    <t>CLAIMS</t>
  </si>
  <si>
    <t>SUBMITTED OR AGREED VALUE</t>
  </si>
  <si>
    <t>WITHDRAWN OR TO BE SUPERSEDED CHANGES</t>
  </si>
  <si>
    <t>REVISED SUBMITTED OR AGREED VALUE</t>
  </si>
  <si>
    <t>9641-C-83588-CTC-0561</t>
  </si>
  <si>
    <t>9641-C-83588-CTC-0549</t>
  </si>
  <si>
    <t>9641-C-83588-CTC-0565</t>
  </si>
  <si>
    <t>HCV-130</t>
  </si>
  <si>
    <t>9641-C-83588-CTC-0518</t>
  </si>
  <si>
    <t>Module Staging Yard Laydown</t>
  </si>
  <si>
    <t>Descope by the Company of Inflow and Process Module  Staging Yard</t>
  </si>
  <si>
    <t>Refer to june-19 detail</t>
  </si>
  <si>
    <t>Additional Rip-Rap Quantities</t>
  </si>
  <si>
    <t>Foundation preparation - Under SY2 Berms</t>
  </si>
  <si>
    <t>Foundation preparation - Under SY2 Berms (Jun-19 measured qty)</t>
  </si>
  <si>
    <t>Additional Rip-Rap Quantities (Jun-19 measured qty)</t>
  </si>
  <si>
    <t>HCV-131</t>
  </si>
  <si>
    <t>9641-C-83588-CTC-0572</t>
  </si>
  <si>
    <t>Rise &amp; Fall (Fuel)</t>
  </si>
  <si>
    <t>Rise and Fall amount based on approved Payment Claim value to date</t>
  </si>
  <si>
    <t>Current Month Reqd UVO</t>
  </si>
  <si>
    <t>TOTAL VARIATIONS AND DELAY</t>
  </si>
  <si>
    <t>Paid on Account to Date 
(Jun-19)</t>
  </si>
  <si>
    <t>B2.3</t>
  </si>
  <si>
    <t>A3</t>
  </si>
  <si>
    <t>Potential Forthcoming Changes</t>
  </si>
  <si>
    <t>Unapproved Revenue</t>
  </si>
  <si>
    <t>Rise &amp; Fall</t>
  </si>
  <si>
    <t>Approved Revenue</t>
  </si>
  <si>
    <t>Exclude Contract Adjustments &amp; R&amp;F</t>
  </si>
  <si>
    <t>A2</t>
  </si>
  <si>
    <t>Approved VO &amp; Delay Costs (Excl A1 &amp; A2)</t>
  </si>
  <si>
    <t>A4</t>
  </si>
  <si>
    <t>A1</t>
  </si>
  <si>
    <t>Category of Claim</t>
  </si>
  <si>
    <t>Summary Delay Costs 
(Refer to "Delay" tab for detail)</t>
  </si>
  <si>
    <t>Approved Revenue (Contract Adjust, VO's, Delay &amp; R&amp;F)</t>
  </si>
  <si>
    <r>
      <t xml:space="preserve">Rise and Fall amount based on approved Payment Claim value to date </t>
    </r>
    <r>
      <rPr>
        <sz val="11"/>
        <color rgb="FFFF0000"/>
        <rFont val="Calibri"/>
        <family val="2"/>
        <scheme val="minor"/>
      </rPr>
      <t>(Forecast to Completion)</t>
    </r>
  </si>
  <si>
    <r>
      <t xml:space="preserve">Contractor has undertaken a preliminary review of the drawings and has become aware of evident changes. These changes include, but not limited to, an increase in the 132kV /33 kV substation pad foundation. </t>
    </r>
    <r>
      <rPr>
        <sz val="11"/>
        <color rgb="FFFF0000"/>
        <rFont val="Calibri"/>
        <family val="2"/>
        <scheme val="minor"/>
      </rPr>
      <t>(CURRENT VALUE FOR BASECOURSE ONLY)</t>
    </r>
  </si>
  <si>
    <t>UVO</t>
  </si>
  <si>
    <t>Revenue Variances</t>
  </si>
  <si>
    <t>Profit &amp; Loss</t>
  </si>
  <si>
    <t>Delay - Additional Fill Volume MS04</t>
  </si>
  <si>
    <t>Latent Conditions - Rock Not Consistent with Reliable (geotech) Information</t>
  </si>
  <si>
    <t>Change RDO to Monday - ST</t>
  </si>
  <si>
    <t>Company Inductions (VO-018)</t>
  </si>
  <si>
    <t>Scope Change - Earthworks DTM Quantities</t>
  </si>
  <si>
    <t>Company Stockpile 2 Located MS4 Align-Acceleration Costs - ST</t>
  </si>
  <si>
    <t>500mm 33kV &amp; 630mm 132kV Single Drums - ST</t>
  </si>
  <si>
    <t>Install Additional Flumes (Scope Change) - ST</t>
  </si>
  <si>
    <t>Piping Scope Change - AFC Model</t>
  </si>
  <si>
    <t>COS Vault Walls - Complexity Works - ST</t>
  </si>
  <si>
    <t>COS - LV Tunnel - Multiplate Arch (Scope Change)</t>
  </si>
  <si>
    <t>Consolidated Variations &lt;$50k</t>
  </si>
  <si>
    <t>Scope Change - Electrical Services - AFC Model</t>
  </si>
  <si>
    <t>COST STRATEGY Reduce Engineering/QA Staff Early (Extend MDR Period)</t>
  </si>
  <si>
    <t>COST STRATEGY Optimise Usage of Existing Haul Rds</t>
  </si>
  <si>
    <t>COST STRATEGY - Reinforcement Installation Efficiency</t>
  </si>
  <si>
    <t>COST STRATEGY - Dynamic Compaction Revised methodology</t>
  </si>
  <si>
    <t xml:space="preserve">COST STRATEGY Optimised concrete labour and craneage </t>
  </si>
  <si>
    <t>COST STRATEGY Use Cutting Material (Spoil) for Capping Layers in Lieu of Borrow Pit Material</t>
  </si>
  <si>
    <t>COST STRATEGY - Formwork Reuse - Material cost reduction</t>
  </si>
  <si>
    <t>COST STRATEGY - Concrete resale to BHP Contractors</t>
  </si>
  <si>
    <t>COST STRATEGY Plant Hire C-Provision Recovery</t>
  </si>
  <si>
    <t>COST STRATEGY Plant Dept Credit - Overcharge to Direct Labour Codes</t>
  </si>
  <si>
    <t>COST STRATEGY - Offset Piling Costs into Sheet Piling Scope Change</t>
  </si>
  <si>
    <t>COST STRATEGY - Forthcoming Changes (To Offset UAR G&amp;A)</t>
  </si>
  <si>
    <t>Resolution Strategy</t>
  </si>
  <si>
    <t>By When</t>
  </si>
  <si>
    <t>Owner</t>
  </si>
  <si>
    <t>Entitled due to scope change. Currently with Client under review.</t>
  </si>
  <si>
    <t>Indirect costs relating to delay. Risk on approval due to some evidence of concurrent delay</t>
  </si>
  <si>
    <t>Claim based on differences in Client Supplied Materials. Currently in negotiations with Client</t>
  </si>
  <si>
    <t>Entitled due to design change</t>
  </si>
  <si>
    <t>Cost savings on Edition forecast by maximising use of existing haul roads</t>
  </si>
  <si>
    <t>Reduction in cement stabilised fill (CSF) due to design changes under structures. Reduce waste by neat dig</t>
  </si>
  <si>
    <t>Savings identified in compaction methodology during dynamic compaction trial pad. Additionally, current forecast includes for additional rolling patterns for which entitlement exists under contract</t>
  </si>
  <si>
    <t>Savings by changing tender methodology from battered excavations to neat dig excavations with back blinding</t>
  </si>
  <si>
    <t>Estimate of C Provision recovery due to Plant Dept's over recovery on Hired Plant</t>
  </si>
  <si>
    <t>COST STRATEGY - Concrete Pump Efficiency - Maximise Direct Pour</t>
  </si>
  <si>
    <t>Reduced concrete pump costs</t>
  </si>
  <si>
    <t>Piling was part of Contractor's original scope. Client has included design change for Sheet Piling at TS471</t>
  </si>
  <si>
    <t>Richard Walford / Daniel Cabassi</t>
  </si>
  <si>
    <t>Daniel Cabassi</t>
  </si>
  <si>
    <t>Joseph Sanzone</t>
  </si>
  <si>
    <t>Accelerate demob of site personnel. Demob QA staff to Perth to reduce uplift component of salaries</t>
  </si>
  <si>
    <t>Richard Walford</t>
  </si>
  <si>
    <t>Shahid Zia</t>
  </si>
  <si>
    <t>Shahi Zia / Joseph Sanzone</t>
  </si>
  <si>
    <t>Strategies Included in Planning</t>
  </si>
  <si>
    <t>Additional Under boring Scope - ST</t>
  </si>
  <si>
    <t>Scope continues to be changed by the Client to reduce quantity of flumes. This value is based on current scope. Likely to reduce further. Will be resolved when Client finalises scope</t>
  </si>
  <si>
    <t>Currently negotiating amounts of complexity works not included in Contract variation rate ($/TN). Some risk that this amount may reduce by 50%</t>
  </si>
  <si>
    <t>Rise &amp; Fall - Forecast Revenue (ECAC inc in Indirect Diesel Fuel Rebate)</t>
  </si>
  <si>
    <t>Entitled due to R&amp;F mechanism in Contract. Earned on a monthly basis, based on Diesel prices</t>
  </si>
  <si>
    <t>Conduit &amp; 33KV Realign (SI-056) - Under bores Only</t>
  </si>
  <si>
    <t>COST STRATEGY - CSF Quantum reduction (CSP Back fill &amp; reduced waste under Structures)</t>
  </si>
  <si>
    <t xml:space="preserve">COST STRATEGY - Detailed Excavation &amp; Backfill Neat Dig &amp; Back Blinding </t>
  </si>
  <si>
    <t>Optimise programming of structures to maximise formwork reuse. Utilisation of tub forms for pedestals</t>
  </si>
  <si>
    <t>Over charge from Plant dept for fitters to Project direct cost codes. Realised in current Edition</t>
  </si>
  <si>
    <t xml:space="preserve">Currently in negotiation. Breakdown of quantities into Milestone geographical locations. Client currently doing own survey investigations </t>
  </si>
  <si>
    <t>Prefab of reinforcement beams and cages enabling higher efficiency of tieing and reduced installation costs (less craneage/rigger time)</t>
  </si>
  <si>
    <t>Total</t>
  </si>
  <si>
    <t>Client's assessment currently -$100k from Strategy amount. Client not considering stand down component of claim. Still in negotiations and Client has committed to review their assessment.</t>
  </si>
  <si>
    <t>Client's assessment currently -$200k from Strategy amount. Client not considering correct rates and resources. Client currently reviewing original assessment</t>
  </si>
  <si>
    <t>Involvement in Client's design development of Client Supplied materials (hoppers) to ensure CPB 250tn crane can be used for all install and 450tn crane not required</t>
  </si>
  <si>
    <t>Change original source of capping material from Borrow Pit to utilise existing cut material meaning reduced cost in borrow pit establishment and management</t>
  </si>
  <si>
    <t>CPB on sells concrete from its onsite batch plant to other Client contractors. Estimated margin on cost</t>
  </si>
  <si>
    <t>Currently in negotiation. EIC involved since Feb-19. CPB/EIC currently proving test methodology in accordance with Aust Standards to prove Unilateral Compressive Strength (UCS)</t>
  </si>
  <si>
    <t>Component of Earthworks scope change which Client is disagreeing with related to Transition Layer. CPB maitains entitlement on basis of Client's Specification requirements. Currently with Client under review.</t>
  </si>
  <si>
    <t>Contract</t>
  </si>
  <si>
    <t>Revised Value</t>
  </si>
  <si>
    <t>VD-08</t>
  </si>
  <si>
    <t>Variance</t>
  </si>
  <si>
    <t>HCV-126</t>
  </si>
  <si>
    <t>9641-C-83588-CFC-0458</t>
  </si>
  <si>
    <t>Change in Dry Compressive Test frequency from 1 test per source to 1 test per 5,000m3</t>
  </si>
  <si>
    <t>HCV-127</t>
  </si>
  <si>
    <t>RVP-010 Laydown Area Plate Load Testing</t>
  </si>
  <si>
    <t>The Company has requested pricing for Plate Load Bearing Test</t>
  </si>
  <si>
    <t>HCV-132</t>
  </si>
  <si>
    <t>HCV-133</t>
  </si>
  <si>
    <t>HCV-134</t>
  </si>
  <si>
    <t>HCV-135</t>
  </si>
  <si>
    <t>HCV-136</t>
  </si>
  <si>
    <t>HCV-137</t>
  </si>
  <si>
    <t>HCV-138</t>
  </si>
  <si>
    <t>HCV-139</t>
  </si>
  <si>
    <t>HCV-140</t>
  </si>
  <si>
    <t>HCV-141</t>
  </si>
  <si>
    <t>HCV-142</t>
  </si>
  <si>
    <t>HCV-143</t>
  </si>
  <si>
    <t>HCV-144</t>
  </si>
  <si>
    <t>HCV-145</t>
  </si>
  <si>
    <t>HCV-146</t>
  </si>
  <si>
    <t>HCV-147</t>
  </si>
  <si>
    <t>HCV-148</t>
  </si>
  <si>
    <t>HCV-149</t>
  </si>
  <si>
    <t>HCV-150</t>
  </si>
  <si>
    <t>HCV-151</t>
  </si>
  <si>
    <t>HCV-152</t>
  </si>
  <si>
    <t>HCV-153</t>
  </si>
  <si>
    <t>Delay Notice - Time/Cost NOT Submitted</t>
  </si>
  <si>
    <t>Below Ground Piping TK671A &amp; TK671B</t>
  </si>
  <si>
    <t>Company issued RVP-007 for the supply and installation of below ground pipework at tank TK671A and tank TK671B</t>
  </si>
  <si>
    <t>Removal of Existing Sewer Line and Building Structures</t>
  </si>
  <si>
    <t>Drawing 860-C-12593, Rev 1, which directs the Contractor to remove the existing sewer lines and building structures. The requirement to remove the existing sewer line and building structures was first added to revision 0 of the above referenced Drawing, which was issued post Contract Award. Revision C of Drawing 860-C-12593 did not include for these works.</t>
  </si>
  <si>
    <t>RC02 Temporary Buffer End Stops</t>
  </si>
  <si>
    <t>Company issued RVP-009 for the installation of temporary buffer end stops at reclaimer RC02</t>
  </si>
  <si>
    <t>Mechanical Excavation of Rock in Drains – Milestone 24A</t>
  </si>
  <si>
    <t>Contractor has encountered rock during drain excavation activities in Milestone 21A.</t>
  </si>
  <si>
    <t>TLO Module Access Rail Crossing</t>
  </si>
  <si>
    <t>Company issued RVP-006 for construction of the southwest module rail crossing within the train load out vicinity</t>
  </si>
  <si>
    <t>Safety Pause</t>
  </si>
  <si>
    <t>Contractor has been directed by Company for personnel to attend the Safety Pause conducted between 24 June 2019 to 29 June 2019</t>
  </si>
  <si>
    <t>MAC132/33kV Puraceptor</t>
  </si>
  <si>
    <t>Company issued Site Instruction 062 for collection, transportation, assembly and installation of the MAC 132/33kV switchyard puraceptor (refer HCV-122 for Cost detail)</t>
  </si>
  <si>
    <t>Contractor received updated Drawings for the TL02 concrete Works and identified changes</t>
  </si>
  <si>
    <t>Additional Electrical Testing</t>
  </si>
  <si>
    <t>Company response to technical queries CPB Con-TECHQ-000381 and CPB Con-TECHQ-000379 confirmed additional test requirements on ITR's from original Contract documents</t>
  </si>
  <si>
    <t>Minor Earthworks CH-4900 EW1A</t>
  </si>
  <si>
    <t>Clearing Adjacent to MAC Admin Building</t>
  </si>
  <si>
    <t>RVP-008 TK301 Electrical Scope Additions</t>
  </si>
  <si>
    <t>Electrical Works between TK301 and SUB207</t>
  </si>
  <si>
    <t>RVP-011 Construction of SY2 Drain Drop Structure</t>
  </si>
  <si>
    <t>Construction of Stockyard Drain Drop Structure including supply and install of all materials nominated</t>
  </si>
  <si>
    <t>RVP-012 Module Access Roads</t>
  </si>
  <si>
    <t xml:space="preserve">All earthworks to subgrade level for Module Access Roads
Access Road 1 MS10 to MS4
Access Road 2 - MS18
Access Road 3 MS7,9 &amp; 19
</t>
  </si>
  <si>
    <t>SI-068 Geotextile to MAC-C95</t>
  </si>
  <si>
    <t>Supply &amp; install geotextile to MAC-C95 (Dayworks)</t>
  </si>
  <si>
    <t>Removal of Conveyor Clearance Guards for SME</t>
  </si>
  <si>
    <t>Removal of overhead clearance guards including footings and signage</t>
  </si>
  <si>
    <t>CPT Access Track Maintenance</t>
  </si>
  <si>
    <t>Clear and grub, grade and trim, delineator removal and reinstatement</t>
  </si>
  <si>
    <t>Mechanical Excavation of Rock - MS18B</t>
  </si>
  <si>
    <t>Contractor has encountered rock in MS18B that cannot be excavated using the Surface Miner, due to the hardness of the rock. Mechanical Excavation is now required</t>
  </si>
  <si>
    <t>Scope Increase – Culverts to be removed or filled in</t>
  </si>
  <si>
    <t>The Contractor has removed or filled in additional existing culverts that were not allowed for the Sch 6.3 rates.</t>
  </si>
  <si>
    <t>Production of RipRap Material</t>
  </si>
  <si>
    <t xml:space="preserve">Contractor has won and installed 6,281m3 of rock from cuttings that Contractor can use as riprap. The rates in the Contract for riprap material is for the sorting and producing of riprap from the Company Supplied stockpile as per the TNCS. The Contractor has undertaken additional work in winning, sorting and hauling the riprap material prior to placement. </t>
  </si>
  <si>
    <t>Material from Borrow - Conveyor CV413 Embankment Construction – MS21B</t>
  </si>
  <si>
    <t>Redundant Bollards</t>
  </si>
  <si>
    <t>9641-C-83588-CFC-0489</t>
  </si>
  <si>
    <t>9641-C-83588-CFC-0486</t>
  </si>
  <si>
    <t>9641-C-83588-CFC-0484</t>
  </si>
  <si>
    <t>9641-C-83588-CFC-0490</t>
  </si>
  <si>
    <t>9641-C-83588-CFC-0457</t>
  </si>
  <si>
    <t>9641-C-83588-CTC-0609</t>
  </si>
  <si>
    <t>9641-C-83588-CFC-0473</t>
  </si>
  <si>
    <t>9641-C-83588-CFC-0479</t>
  </si>
  <si>
    <t>9641-C-83588-CTC-0566</t>
  </si>
  <si>
    <t>9641-C-83588-CFC-0475</t>
  </si>
  <si>
    <t>9641-C-83588-CFC-0462</t>
  </si>
  <si>
    <t>9641-C-83588-CTC-0580</t>
  </si>
  <si>
    <t>9641-C-83588-CFC-0465</t>
  </si>
  <si>
    <t>9641-C-83588-CFC-0468</t>
  </si>
  <si>
    <t>VD-06 &amp; VD-08</t>
  </si>
  <si>
    <t>VD-07</t>
  </si>
  <si>
    <t>VD-07 &amp; VD-08</t>
  </si>
  <si>
    <t>HCV-154</t>
  </si>
  <si>
    <t>De-scope MAC NPI Kiosk &amp; Substation</t>
  </si>
  <si>
    <t>Company has removed the NPI Kiosk &amp; Substation from Contractor's scope</t>
  </si>
  <si>
    <t>HCV-155</t>
  </si>
  <si>
    <t>Reduce Basecourse - LV Access Roads</t>
  </si>
  <si>
    <t>Inc in HCV-042 below</t>
  </si>
  <si>
    <t>Jul-19 UVO</t>
  </si>
  <si>
    <t>Change due to approval (expected) of Induction Claim, RDO Shift change claim,  Rock (MS1 &amp; 2 &amp; Central Pilbara Terminal)</t>
  </si>
  <si>
    <t>Aug-19 UVO</t>
  </si>
  <si>
    <t>Payment on Account</t>
  </si>
  <si>
    <t>MDR retention amount</t>
  </si>
  <si>
    <t>HCV-156</t>
  </si>
  <si>
    <t>9641-C-83588-CTC-0610</t>
  </si>
  <si>
    <t>9641-C-83588-CFC-0495</t>
  </si>
  <si>
    <t>RVP-013 OHP Crane Pad</t>
  </si>
  <si>
    <t>Construct OHP Crane Pads</t>
  </si>
  <si>
    <t>HCV-157</t>
  </si>
  <si>
    <t>CV477 GTU Slab Additional Works</t>
  </si>
  <si>
    <t>The reinforcement will not fit within the boundaries of the current slab design. The Contractor proposed to extend the perimeter of the slab edge in the location highlighted in the marked-up drawing accompanying TQ-000462.</t>
  </si>
  <si>
    <t>HCV-158</t>
  </si>
  <si>
    <t>9641-C-83588-CFC-0510</t>
  </si>
  <si>
    <t>TS472 P22 Pedestal Reinforcement and VSL Duct Clash (TQ 442)</t>
  </si>
  <si>
    <t>HCV-159</t>
  </si>
  <si>
    <t>9641-C-83588-CFC-0512</t>
  </si>
  <si>
    <t>Mesh Reinforcement in Excavations</t>
  </si>
  <si>
    <t>Company has verbally Directed the Contractor to install mesh in the over excavated locations to reduce the cover (where the cover exceeds 125mm)</t>
  </si>
  <si>
    <t>HCV-160</t>
  </si>
  <si>
    <t>9641-C-83588-CTC-0631</t>
  </si>
  <si>
    <t>TK Laydown Area</t>
  </si>
  <si>
    <t>HCV-161</t>
  </si>
  <si>
    <t>MASW Testing to Buildings</t>
  </si>
  <si>
    <t>HCV-162</t>
  </si>
  <si>
    <t>Temporary Windrows - MS4c</t>
  </si>
  <si>
    <t>Contractor was verbally directed by Company's J. Farmer to construct temporary windrows in MS4c whilst the guardrails scope of work is finalised.</t>
  </si>
  <si>
    <t>HCV-163</t>
  </si>
  <si>
    <t>Inspection of 33kV Cable</t>
  </si>
  <si>
    <t>Contractor was verbally directed by Company to inspect the equipment latent defect encountered in the Company Supplied 33kV cable.</t>
  </si>
  <si>
    <t>9641-C-83588-CTC-0607</t>
  </si>
  <si>
    <t>9641-C-83588-CFC-0516</t>
  </si>
  <si>
    <t>HCV-116</t>
  </si>
  <si>
    <t>9641-C-83588-CFC-0500</t>
  </si>
  <si>
    <t>TS472 P15 Bolt and Reinforcement Clash (TQ-0353)</t>
  </si>
  <si>
    <t>Design clashes between the reinforcing steel and bolts in the TS472 P15 pedestal, as listed below:
• Ligature cogs clash with the bolts,
• T1/T2 layer clash with the bolts</t>
  </si>
  <si>
    <t>HCV-129</t>
  </si>
  <si>
    <t>9641-C-83588-CFC-0501</t>
  </si>
  <si>
    <t>TS472 P13 Embedment Modifications (SI-064)</t>
  </si>
  <si>
    <t>SI-064 directed Contractor to cut and remove the type AB6 anchor bolts at slab level and install type AB9 cast-in ducts in their place where depicted on the accompanying marked up Drawing 865-C-12100/2.</t>
  </si>
  <si>
    <t>9641-C-83588-CFC-0513</t>
  </si>
  <si>
    <t>9641-C-83588-CTC-0600</t>
  </si>
  <si>
    <t>9641-C-83588-CFC-0493</t>
  </si>
  <si>
    <t>9641-C-83588-CFC-0478</t>
  </si>
  <si>
    <t>NOD-038</t>
  </si>
  <si>
    <t>9641-C-835​88-CFC-0469</t>
  </si>
  <si>
    <t>W01022-CPB-NOD-0038</t>
  </si>
  <si>
    <t>Company Rail Preventing Access</t>
  </si>
  <si>
    <t>The delay relates to the Company’s rail materials being stockpiled within the Ore Handling Plant 3 (OHP), Milestone 9 which has restricted Contractor’s access and ability to perform its earthworks activities.</t>
  </si>
  <si>
    <t>NOD-040a</t>
  </si>
  <si>
    <t>9641-C-83588-CFC-0504</t>
  </si>
  <si>
    <t>W01022-CPB-NOD-0040a</t>
  </si>
  <si>
    <t>Milestone 6</t>
  </si>
  <si>
    <t>Claim for Extension of Time to Milestone 6</t>
  </si>
  <si>
    <t>NOD-040b</t>
  </si>
  <si>
    <t>9641-C-83588-CFC-0505</t>
  </si>
  <si>
    <t>W01022-CPB-NOD-0040b</t>
  </si>
  <si>
    <t>Milestone 8</t>
  </si>
  <si>
    <t>Claim for Extension of Time to Milestone 8</t>
  </si>
  <si>
    <t>9641-C-83588-CFC-0506</t>
  </si>
  <si>
    <t>W01022-CPB-NOD-0040c</t>
  </si>
  <si>
    <t>Milestone 9</t>
  </si>
  <si>
    <t>Claim for Extension of Time to Milestone 9</t>
  </si>
  <si>
    <t>NOD-040d</t>
  </si>
  <si>
    <t>9641-C-83588-CFC-0507</t>
  </si>
  <si>
    <t>W01022-CPB-NOD-0040d</t>
  </si>
  <si>
    <t>Milestone 11</t>
  </si>
  <si>
    <t>Claim for Extension of Time to Milestone 11</t>
  </si>
  <si>
    <t>HCV-108.2</t>
  </si>
  <si>
    <t>058 &amp; 073</t>
  </si>
  <si>
    <t>HCV-1000</t>
  </si>
  <si>
    <t>Adjustment for VO103a+Piping-1+Piping 2</t>
  </si>
  <si>
    <t>De-Scope NPI Kiosk &amp; Substation</t>
  </si>
  <si>
    <t>Contract Amts Adj</t>
  </si>
  <si>
    <t>WITHDRAWN / STALLED VARIATIONS /  ADJUSTMENTS</t>
  </si>
  <si>
    <t>VO-CSF</t>
  </si>
  <si>
    <t>Scope Reduction - Stab Fill Under Structures</t>
  </si>
  <si>
    <t>Descope - Dynamic Comp Trial Pad for CV413</t>
  </si>
  <si>
    <t>Rock Excavation MS3, 18A &amp; 23</t>
  </si>
  <si>
    <t>SY2+TLO2 Water Piping (SOR adjustmts)</t>
  </si>
  <si>
    <t>Contract Adjustments</t>
  </si>
  <si>
    <t>HCV-072b</t>
  </si>
  <si>
    <t>E/O Rock Excavation Central Pilbara Terminal (removed with rock breaker)</t>
  </si>
  <si>
    <t>Contract Adjustment (SOR Qty Change)</t>
  </si>
  <si>
    <t>TOTAL APPROVED</t>
  </si>
  <si>
    <r>
      <t xml:space="preserve">EOT Submitted </t>
    </r>
    <r>
      <rPr>
        <b/>
        <sz val="11"/>
        <color rgb="FFFF0000"/>
        <rFont val="Calibri"/>
        <family val="2"/>
        <scheme val="minor"/>
      </rPr>
      <t>(Summary of submissions)</t>
    </r>
  </si>
  <si>
    <t>C1</t>
  </si>
  <si>
    <t>C2</t>
  </si>
  <si>
    <t>C3</t>
  </si>
  <si>
    <t>EIS - A4.</t>
  </si>
  <si>
    <t>EIS - A2.</t>
  </si>
  <si>
    <t>EIS - A3.</t>
  </si>
  <si>
    <t>Additional Variations/Claims (Not Submitted / Strategies Outside of Planning)</t>
  </si>
  <si>
    <t xml:space="preserve">SUB-TOTAL </t>
  </si>
  <si>
    <t>EIS A14</t>
  </si>
  <si>
    <t>Valued</t>
  </si>
  <si>
    <t>9641-C-83588-CFC-0549</t>
  </si>
  <si>
    <t>9641-C-83588-CFC-0550</t>
  </si>
  <si>
    <t>9641-C-83588-CFC-0552</t>
  </si>
  <si>
    <t>9641-C-83588-CFC-0553</t>
  </si>
  <si>
    <t>HCV-165</t>
  </si>
  <si>
    <t>9641-C-83588-CFC-0538</t>
  </si>
  <si>
    <t>Puraceptor Piping</t>
  </si>
  <si>
    <t>9641-C-83588-CFC-0554</t>
  </si>
  <si>
    <t>9641-C-83588-CFC-0551</t>
  </si>
  <si>
    <t>HCV-167</t>
  </si>
  <si>
    <t>HCV-166</t>
  </si>
  <si>
    <t xml:space="preserve">Milestone 8 and 11 Netting Installation </t>
  </si>
  <si>
    <t xml:space="preserve">Contractor refers to Site Instruction SI077 wherein the Company has directed the Contractor to install netting beneath conveyors MC307 and MC315. </t>
  </si>
  <si>
    <t>9641-C-83588-CFC-0548</t>
  </si>
  <si>
    <t>HCV-164</t>
  </si>
  <si>
    <t>9641-C-83588-CFC-0547</t>
  </si>
  <si>
    <t>Milestone 08 Extension of Rail Signal Pad – SI066</t>
  </si>
  <si>
    <t xml:space="preserve">SI066 directs the Contractor to extend the existing Rail
Signal Pad located at Milestone 8. </t>
  </si>
  <si>
    <t>BG440 F4 Footing P11 Reo - VSL Ducts Clash (TQ 517)</t>
  </si>
  <si>
    <t>Not used</t>
  </si>
  <si>
    <t>VD-09</t>
  </si>
  <si>
    <t>VD-07 &amp; VD-09</t>
  </si>
  <si>
    <t>VD-08 &amp; VD-10</t>
  </si>
  <si>
    <t>VD-10</t>
  </si>
  <si>
    <t>VD-07 &amp; VD-10</t>
  </si>
  <si>
    <t>VD-09 &amp; VD-10</t>
  </si>
  <si>
    <t>9641-C-83588-CFC-0524</t>
  </si>
  <si>
    <t>9641-C-83588-CFC-0529</t>
  </si>
  <si>
    <t>9641-C-83588-CFC-0525</t>
  </si>
  <si>
    <t>9641-C-83588-CFC-0528</t>
  </si>
  <si>
    <t>9641-C-83588-CFC-0391
9641-C-83588-CFC-0449</t>
  </si>
  <si>
    <t>HCV-154a</t>
  </si>
  <si>
    <t>9641-C-83588-CTC-0612</t>
  </si>
  <si>
    <t>De-scope Turkeys Nest Substation</t>
  </si>
  <si>
    <t>Company has removed the Turkey's Nest Substation from Contractor's scope</t>
  </si>
  <si>
    <t>Original Target Value</t>
  </si>
  <si>
    <t>Change</t>
  </si>
  <si>
    <t>Liquid Waste Disposal - 6 month look ahead Updated TO 22/12/19</t>
  </si>
  <si>
    <t>9641-C-83588-CFC-0459</t>
  </si>
  <si>
    <t>HCV-168</t>
  </si>
  <si>
    <t>Secondary Crusher Roof Rebar Clash</t>
  </si>
  <si>
    <t>Design clash in the Secondary Crusher Building BG450. The design on drawing 863-C-00081 does not allow for the PVC pipes. The pipe cast-in clashes with the bottom and top mat in the reinforcement beam.</t>
  </si>
  <si>
    <t>The scope for underboring has increased from Contract Award.</t>
  </si>
  <si>
    <t>9641-C-83588-CFC-0571</t>
  </si>
  <si>
    <t>Company has amended Contractors Scope of Works to the Central Pilbara Terminal. Cost of load and haul stockpile materials</t>
  </si>
  <si>
    <t>Contractor has revised the cut and fill earthworks MTO based on the latest mass haul. Includes pavements and cement stabilised fill</t>
  </si>
  <si>
    <t>9641-C-83588-CFC-0545</t>
  </si>
  <si>
    <t>HCV-108.1</t>
  </si>
  <si>
    <t>Design clash between the N36 capping bars and VSL ducting in the P11 and P11A pedestals.</t>
  </si>
  <si>
    <t>Contractor is required to survey the Product Screening Building Pad, the Scalping Screening Pad, the Secondary Crusher Building Pad and the Train Load Out Facility with Multi-Channel Analysis of Surface Wave (MASW)</t>
  </si>
  <si>
    <t>9641-C-83588-CFC-0570</t>
  </si>
  <si>
    <t>9641-C-83588-CFC-0574</t>
  </si>
  <si>
    <t>HCV-169</t>
  </si>
  <si>
    <t>9641-C-83588-CFC-0577</t>
  </si>
  <si>
    <t>CV484 Drive Station Kerb Design Change Reworks</t>
  </si>
  <si>
    <t>The earthworks finished levels around the siltation pit area of CV484 drive station are higher than the concrete finished levels. At the highest point the finished ground level is approximately 150mm higher than the raft foundation.</t>
  </si>
  <si>
    <t>HCV-067a</t>
  </si>
  <si>
    <t>TS472 Batter Construction</t>
  </si>
  <si>
    <t>HCV-103b</t>
  </si>
  <si>
    <t>Updated Qty</t>
  </si>
  <si>
    <t>Milestone 13</t>
  </si>
  <si>
    <t>9641-C-83588-CFC-0595</t>
  </si>
  <si>
    <t>SI071</t>
  </si>
  <si>
    <t>HCV-170</t>
  </si>
  <si>
    <t>9641-C-83588-CFC-0573</t>
  </si>
  <si>
    <t>HCV-171</t>
  </si>
  <si>
    <t>HCV-172</t>
  </si>
  <si>
    <t>9641-C-83588-CFC-0593</t>
  </si>
  <si>
    <t>Switchyard Crane Pad</t>
  </si>
  <si>
    <t xml:space="preserve">Contractor has been directed by Company to construct a crane pad at MAC132/33kV Switchyard to be used by Company’s other contractor. </t>
  </si>
  <si>
    <t xml:space="preserve">Contractor has been directed by Company to remove materials such as contaminated ballast, ballast stockpile and sleepers. </t>
  </si>
  <si>
    <t>HCV-173</t>
  </si>
  <si>
    <t>HCV-174</t>
  </si>
  <si>
    <t>9641-C-83588-CFC-0594</t>
  </si>
  <si>
    <t>TK Laydown Access Track</t>
  </si>
  <si>
    <t xml:space="preserve">Contractor has been verbally directed by Company to construct an access track to the TK laydown yard. </t>
  </si>
  <si>
    <t>Rail Tunnel Demolition - Additional Haulage</t>
  </si>
  <si>
    <t>Requirement to remove the materials generated from the overpass to the packsaddle dump, which is greater than 3km from the Works.</t>
  </si>
  <si>
    <t>VD-08 &amp; VD-011</t>
  </si>
  <si>
    <t>VD-11</t>
  </si>
  <si>
    <t>VD-09 &amp; VD-11</t>
  </si>
  <si>
    <t>9641-C-83588-CTC-0742</t>
  </si>
  <si>
    <t>9641-C-83588-CTC-0735</t>
  </si>
  <si>
    <t>9641-C-83588-CTC-0736</t>
  </si>
  <si>
    <t>9641-C-83588-CTC-0739</t>
  </si>
  <si>
    <t>9641-C-83588-CFC-0567</t>
  </si>
  <si>
    <t>9641-C-83588-CTC-0738</t>
  </si>
  <si>
    <t>9641-C-83588-CTC-0737</t>
  </si>
  <si>
    <t>9641-C-83588-CFC-0399</t>
  </si>
  <si>
    <t>Company issued RVP-015 for the construction of a temporary ramp at reclaimer RC02.</t>
  </si>
  <si>
    <t>RC02 Temporary Ramp Construction</t>
  </si>
  <si>
    <t>9641-C-83588-CFC-0600</t>
  </si>
  <si>
    <t>HCV-175</t>
  </si>
  <si>
    <t>CV439 Pedestal Modification Works</t>
  </si>
  <si>
    <t>SY2 Berm Select-98pct MMDD</t>
  </si>
  <si>
    <t>HCV-176</t>
  </si>
  <si>
    <t>HCV-177</t>
  </si>
  <si>
    <t>HCV-178</t>
  </si>
  <si>
    <t>ST03 Temporary Storm Cradle Pad (SI087)</t>
  </si>
  <si>
    <t>Construction of the stacker ST03 temporary storm cradle pad.</t>
  </si>
  <si>
    <t>MS6 Descope - Earthing &amp; Rebar Materials</t>
  </si>
  <si>
    <t>HCV-179</t>
  </si>
  <si>
    <t>HCV-180</t>
  </si>
  <si>
    <t>HCV-181</t>
  </si>
  <si>
    <t>Lube Room Drainage Pit</t>
  </si>
  <si>
    <t>Contractor has been directed to supply and install the DN150 STD WT PIPE as shown in section 2 of drawing 863-C-00076/0.</t>
  </si>
  <si>
    <r>
      <t xml:space="preserve">Contractor has revised the cut and fill earthworks MTO based on the latest mass haul. Includes pavements and cement stabilised fill </t>
    </r>
    <r>
      <rPr>
        <sz val="11"/>
        <color rgb="FFFF0000"/>
        <rFont val="Calibri"/>
        <family val="2"/>
        <scheme val="minor"/>
      </rPr>
      <t>(RISK on Transition layer and material source)</t>
    </r>
  </si>
  <si>
    <t>De-scope - Machines Contractor Laydown</t>
  </si>
  <si>
    <t>HCV-160.1</t>
  </si>
  <si>
    <t>Design Changes to Substations</t>
  </si>
  <si>
    <t>HCV-184</t>
  </si>
  <si>
    <t xml:space="preserve">IFC drawings (upon review by Contractor) indicate changes to Work relating to embedment and reinforcement. </t>
  </si>
  <si>
    <t xml:space="preserve">Design Changes - Overland Conveyor CV413 </t>
  </si>
  <si>
    <t>HCV-182</t>
  </si>
  <si>
    <t>Design Changes - COS Ventilation Room</t>
  </si>
  <si>
    <t>IFC drawings (upon review by Contractor) indicate changes to Work relating to the COS walls and suspended slab</t>
  </si>
  <si>
    <t>HCV-183</t>
  </si>
  <si>
    <t>TK Laydown Yard Acceleration</t>
  </si>
  <si>
    <t>SI065</t>
  </si>
  <si>
    <t>SI087</t>
  </si>
  <si>
    <t>9641-C-83588-CTC-0748</t>
  </si>
  <si>
    <t>9641-C-83588-CTC-0747</t>
  </si>
  <si>
    <t>9641-C-83588-CFC-0565</t>
  </si>
  <si>
    <t>9641-C-83588-CFC-0606</t>
  </si>
  <si>
    <t>HCV-185</t>
  </si>
  <si>
    <t>RC02 West End EWK's SOW Reduction</t>
  </si>
  <si>
    <t>HCV-186</t>
  </si>
  <si>
    <t>HCV-187</t>
  </si>
  <si>
    <t>9641-C-83588-CFC-0617</t>
  </si>
  <si>
    <t>9641-C-83588-CFC-0616</t>
  </si>
  <si>
    <t>9641-C-83588-CFC-0612</t>
  </si>
  <si>
    <t>9641-C-83588-CFC-0607</t>
  </si>
  <si>
    <t>MS9D Additional Works</t>
  </si>
  <si>
    <t>9641-C-83588-CTC-0670</t>
  </si>
  <si>
    <t>9641-C-83588-CFC-0623</t>
  </si>
  <si>
    <t>HCV-177a</t>
  </si>
  <si>
    <t>MS6 Descope Works</t>
  </si>
  <si>
    <t>9641-C-83588-CFC-0611</t>
  </si>
  <si>
    <t>9641-C-83588-CFC-0610</t>
  </si>
  <si>
    <t>HCV-188</t>
  </si>
  <si>
    <t>CV411 &amp; CV413 Design Changes</t>
  </si>
  <si>
    <t>Contractor has been directed to supply 3m3 of structural cement stabilised sand to Company’s Separate Contractor on 21 September 2019.</t>
  </si>
  <si>
    <t xml:space="preserve">IFC drawings (upon review by Contractor) indicate changes to Work. </t>
  </si>
  <si>
    <t>Contractor has been directed to procure, but not install materials to the MAC 132/33kV Substation.</t>
  </si>
  <si>
    <t>9641-C-83588-CFC-0613</t>
  </si>
  <si>
    <t>SI085</t>
  </si>
  <si>
    <t>9641-C-83588-CFC-0560</t>
  </si>
  <si>
    <t>HCV-164.1</t>
  </si>
  <si>
    <t>HCV-066.1</t>
  </si>
  <si>
    <t>HCV-018.1</t>
  </si>
  <si>
    <t>Western SY2 EWK SOW Reduction (SI086)</t>
  </si>
  <si>
    <t>Scope Increase - Rock Excavation</t>
  </si>
  <si>
    <t>SI-088</t>
  </si>
  <si>
    <t>HCV-127.1</t>
  </si>
  <si>
    <t>Contractor has been instructed to complete its Scope of Works to the laydown areas to the East of ST04 and RC02.</t>
  </si>
  <si>
    <t>HCV-108.4</t>
  </si>
  <si>
    <t>HCV-189</t>
  </si>
  <si>
    <t>Concrete Reductions related to Transformer Compound Risk</t>
  </si>
  <si>
    <t>Milestone 14</t>
  </si>
  <si>
    <t>HCV-190</t>
  </si>
  <si>
    <t>Concrete Scope - VarWBS (Exc COS &amp; Switchyd)</t>
  </si>
  <si>
    <t>HCV-191</t>
  </si>
  <si>
    <t>Descope - Level X-ing Ramps</t>
  </si>
  <si>
    <t>HCV-144c</t>
  </si>
  <si>
    <t>RVP-012 Module Access Roads - Additional Works</t>
  </si>
  <si>
    <t>Contractor has been instructed to undertake additional works to SI079/RVP012.</t>
  </si>
  <si>
    <t>9641-C-83588-CFC-0636</t>
  </si>
  <si>
    <t>9641-C-83588-CTC-0782</t>
  </si>
  <si>
    <t>HCV-192</t>
  </si>
  <si>
    <t>HCV-193</t>
  </si>
  <si>
    <t>HCV-194</t>
  </si>
  <si>
    <t>HCV-195</t>
  </si>
  <si>
    <t>Service Pit Modification</t>
  </si>
  <si>
    <t>SI090 TK31 Temporary Piping</t>
  </si>
  <si>
    <t>SI091 ST03 Earthing (West End)</t>
  </si>
  <si>
    <t>SI092 Valve Labels &amp; Company Supplied</t>
  </si>
  <si>
    <t>SI090</t>
  </si>
  <si>
    <t>SI091</t>
  </si>
  <si>
    <t>SI092</t>
  </si>
  <si>
    <t>Contractor has been instructed to construct temporary piping to tie-in to TK301</t>
  </si>
  <si>
    <t>Contractor has been directed to supply and install valve tags for Company supplied items.</t>
  </si>
  <si>
    <t>9641-C-83588-CFC-0644</t>
  </si>
  <si>
    <t>Contractor was verbally directed by Company to install 150mm diameter bell mouths to service pits MAC-UP-0011, MAC-UP-0012, MAC-UP-0013 and MAC-UP-0035, as detailed in marked up drawing 867-E-13036.</t>
  </si>
  <si>
    <t>HCV-133a</t>
  </si>
  <si>
    <t>RC02 Temporary Buffer End Stops - SI083</t>
  </si>
  <si>
    <t>Company has issued SI083 directing the Contractor to supply fixings and adhesives.</t>
  </si>
  <si>
    <t>SI083</t>
  </si>
  <si>
    <t>9641-C-83588-CFC-0646</t>
  </si>
  <si>
    <t>9641-C-83588-CFC-0648</t>
  </si>
  <si>
    <t>SI017</t>
  </si>
  <si>
    <t>SI015</t>
  </si>
  <si>
    <t>SI019</t>
  </si>
  <si>
    <t>SI021</t>
  </si>
  <si>
    <t>SI022</t>
  </si>
  <si>
    <t>SI023</t>
  </si>
  <si>
    <t>SI026</t>
  </si>
  <si>
    <t>SI025</t>
  </si>
  <si>
    <t>SI031</t>
  </si>
  <si>
    <t>SI044</t>
  </si>
  <si>
    <t>SI059</t>
  </si>
  <si>
    <t>SI058</t>
  </si>
  <si>
    <t>HCV-196</t>
  </si>
  <si>
    <t>Contractor has been directed to construct a temporary ramp to SUB710</t>
  </si>
  <si>
    <t>Additional fill quantities - MS4 (Acceleration costs)</t>
  </si>
  <si>
    <t>Piping MTO - additional fittings</t>
  </si>
  <si>
    <t xml:space="preserve">TS472 Design Changes </t>
  </si>
  <si>
    <t xml:space="preserve">Transmitted drawings for Transfer Station TS472 indicated changes including the installation of a stabilized block. </t>
  </si>
  <si>
    <t>Contractor has to undertake rectification works due to design changes in drawing 865-C-12127/1 and clashes between the steel ducts and reinforcement identified in TQ CPB Con-TECHQ-000402.</t>
  </si>
  <si>
    <t>Change in Design - Dry Compressive Strength Testing</t>
  </si>
  <si>
    <t>Clear and grub and stockpile material approx. area 10,668m2</t>
  </si>
  <si>
    <t>Material from Stockpiles 1 &amp; 2 has been exhausted. Contractor has to now use material from borrow for the construction of embankments in MS21B.</t>
  </si>
  <si>
    <t>Company response o TQ-000394 removed 14 Type 3 bollards from Contractors scope and replaced them with Type 1.</t>
  </si>
  <si>
    <t>Design clashes between the reinforcing steel and the VSL ducts in the TS472 P22 pedestal. Rectification works:
• Trim the hooks; and
• Grind cut the affected capping bars at the bottom and relocate these bars to avoid the clashes.</t>
  </si>
  <si>
    <t>The Company's revised design (Underground Services model Rev5) indicates new stainless steel pipe associated with substations</t>
  </si>
  <si>
    <t>Removal of Track Renewals Material</t>
  </si>
  <si>
    <t xml:space="preserve">Rectification works to a pedestal due to a height discrepancy between the pedestal TOC RL specified on AFC drawing 860-C-12673/1 and the Navisworks model. </t>
  </si>
  <si>
    <t>Reduction in scope for the install of materials to the MAC 132/33kV Substation</t>
  </si>
  <si>
    <t>SI086 directs the Contractor to not undertake the Works as per the following: 
•The de-scoped activities are limited to Works within the Milestone 8, 11 and 14 areas. Any earthworks required to
complete the Milestone 22 Works remains within Contractor's Scope of Work.</t>
  </si>
  <si>
    <t>Contractor has been directed to accelerate its Scope of Works in the TK Laydown Areas to expedite handover of the laydown.</t>
  </si>
  <si>
    <t>Stab Sand Supply - Track Renewals</t>
  </si>
  <si>
    <t>Design changes to Conveyors CV413 &amp; CV411. These include, but not limited to, placement temperature of concrete and insulation of concrete slab and walls with 18mm plywood formwork.</t>
  </si>
  <si>
    <t>Contractor has been directed to install lightning protection at stacker ST03.</t>
  </si>
  <si>
    <t>SI094</t>
  </si>
  <si>
    <t>HCV-197</t>
  </si>
  <si>
    <t>Earthworks and drainage Works to construct the rail maintenance pad and extend existing culvert MAC-C81 in
accordance with the enclosed sketches.</t>
  </si>
  <si>
    <t>Can be agreed on site</t>
  </si>
  <si>
    <t>MAC-C81 Extension &amp; Pad (SI082)</t>
  </si>
  <si>
    <t>SI082</t>
  </si>
  <si>
    <t xml:space="preserve">Earthworks and drainage Works to construct the rail maintenance pad and extend existing culvert MAC-C81. </t>
  </si>
  <si>
    <t>9641-C-83588-CFC-0649</t>
  </si>
  <si>
    <t>9641-C-83588-CFC-0650</t>
  </si>
  <si>
    <t>HCV-198</t>
  </si>
  <si>
    <t>20 October 2019 Additional Travel Time / Lost RDO</t>
  </si>
  <si>
    <t>HCV-199</t>
  </si>
  <si>
    <t>HCV-200</t>
  </si>
  <si>
    <t>HCV-201</t>
  </si>
  <si>
    <t>ST03 Temp Buffer Stop EWK Pads (SI095)</t>
  </si>
  <si>
    <t>TS314 Crane Pad &amp; Module Route (SI096)</t>
  </si>
  <si>
    <t>Additional Conduits TLO2 (SI098)</t>
  </si>
  <si>
    <t>SI095</t>
  </si>
  <si>
    <t>SI096</t>
  </si>
  <si>
    <t>SI098</t>
  </si>
  <si>
    <t>9641-C-83588-CTC-0796</t>
  </si>
  <si>
    <t>Construction of stacker ST03 temporary buffer stop earthwork pads</t>
  </si>
  <si>
    <t>Construction of the TS314 crane pad and module route</t>
  </si>
  <si>
    <t>Installation of additional 2No. 63mm CONDUIT PVC H.D. (ORANGE)</t>
  </si>
  <si>
    <t>Closure of the access road, extending Contractor’s Sunday shift to between 10.5 – 11.5 hours (based on alternate access between 5-6pm) by preventing Contractor’s personnel retuning to Mulla Mulla Village at the end of its scheduled shift.</t>
  </si>
  <si>
    <t>HCV-202</t>
  </si>
  <si>
    <t>SI093</t>
  </si>
  <si>
    <t>Removal of Existing Ballast</t>
  </si>
  <si>
    <t>Removal of existing ballast from the rail alignment and place it in the nominated stockpile areas as indicated on
the attached sketches.</t>
  </si>
  <si>
    <t>HCV-203</t>
  </si>
  <si>
    <t>ConstructIon of ramps to SUB310, SUB450 &amp; SUB520</t>
  </si>
  <si>
    <t>Contractor has been directed to construct ramps to substations SUB310, SUB450 and SUB520</t>
  </si>
  <si>
    <t>HCV-204</t>
  </si>
  <si>
    <t xml:space="preserve">Due to Company direction to install puraceptor piping to the substations (excl 710), Contractor had to undertake re-works to the earthing cables that were installed prior to receiving Company Direction. </t>
  </si>
  <si>
    <t xml:space="preserve">Reworks to SUB310 Earthing </t>
  </si>
  <si>
    <t>9641-C-83588-CTC-0711</t>
  </si>
  <si>
    <t>9641-C-83588-CFC-0658</t>
  </si>
  <si>
    <t>9641-C-83588-CFC-0661</t>
  </si>
  <si>
    <t>VD-12</t>
  </si>
  <si>
    <t>9641-C-83588-CTC-0660</t>
  </si>
  <si>
    <t>SUB207 - TK301 Additional DN150 Conduit</t>
  </si>
  <si>
    <t>HCV-192.1</t>
  </si>
  <si>
    <t>SI094 SUB710 Temp Ramp (SI094)</t>
  </si>
  <si>
    <t>HCV-205</t>
  </si>
  <si>
    <t>HCV-206</t>
  </si>
  <si>
    <t>COS Embedments</t>
  </si>
  <si>
    <t>Signage Scope Reduction</t>
  </si>
  <si>
    <t>VD-13</t>
  </si>
  <si>
    <t>VD-12 &amp; VD-13</t>
  </si>
  <si>
    <t>HCV-207</t>
  </si>
  <si>
    <t>HCV-208</t>
  </si>
  <si>
    <t>Flame Traps</t>
  </si>
  <si>
    <t>RC02 &amp; ST03 Services SOW Interface Delineation</t>
  </si>
  <si>
    <t>HCV-209</t>
  </si>
  <si>
    <t>HCV-210</t>
  </si>
  <si>
    <t>Outflow Crane Pads - TS314, TS472, TS476, TS477 &amp; TS513 (SI101)</t>
  </si>
  <si>
    <t>ST05 Ramp Widening (SI100)</t>
  </si>
  <si>
    <t>LC-005</t>
  </si>
  <si>
    <t>9641-C-83588-CFC-0671</t>
  </si>
  <si>
    <t>9641-C-83588-CTC-0847</t>
  </si>
  <si>
    <t>9641-C-83588-CFC-0674</t>
  </si>
  <si>
    <t>HCV-156a</t>
  </si>
  <si>
    <t>HCV-211</t>
  </si>
  <si>
    <t>HCV-212</t>
  </si>
  <si>
    <t>HCV-213</t>
  </si>
  <si>
    <t>SUB440 Footing and Firewall</t>
  </si>
  <si>
    <t>RVP-016 CV413 F4 Footing Permeation Grouting</t>
  </si>
  <si>
    <t>CV473, CV476, CV513 and CV521 Scope Reduction</t>
  </si>
  <si>
    <t>HCV-084a</t>
  </si>
  <si>
    <t>Bollard SOW Change - Windrows</t>
  </si>
  <si>
    <t>9641-C-83588-CTC-0816</t>
  </si>
  <si>
    <t>Construction of the TS314, TS472, TS476, TS477 &amp; TS513  crane pads</t>
  </si>
  <si>
    <t>HCV-214</t>
  </si>
  <si>
    <t>CV485 and CV513 Concrete Foundations</t>
  </si>
  <si>
    <t>9641-C-83588-CFC-0681</t>
  </si>
  <si>
    <t>Contractor has been instructed to widen ST05. Contractor notes ST05 was constructed to design prior to receivng direction. Works recorded on dayworks.</t>
  </si>
  <si>
    <t>Reduction in scope for the signage install</t>
  </si>
  <si>
    <t>9641-C-83588-CFC-0682</t>
  </si>
  <si>
    <t>HCV-215</t>
  </si>
  <si>
    <t>HCV-103c</t>
  </si>
  <si>
    <t>Increase in Earthing Cable Qty</t>
  </si>
  <si>
    <t>Resale of Formwork and Falsework to RVS @ 50% Recovery</t>
  </si>
  <si>
    <t>VD-11 &amp; VD14</t>
  </si>
  <si>
    <t>9641-C-83588-CTC-0856</t>
  </si>
  <si>
    <t>VD-14</t>
  </si>
  <si>
    <t>9641-C-83588-CTC-0858</t>
  </si>
  <si>
    <t>9641-C-83588-CTC-0859</t>
  </si>
  <si>
    <t>9641-C-83588-CTC-0860</t>
  </si>
  <si>
    <t>9641-C-83588-CFC-0683</t>
  </si>
  <si>
    <t>9641-C-83588-CTC-0866</t>
  </si>
  <si>
    <t>9641-C-83588-CTC-0862</t>
  </si>
  <si>
    <t>HCV-216</t>
  </si>
  <si>
    <t>HCV-217</t>
  </si>
  <si>
    <t>HCV-218</t>
  </si>
  <si>
    <t>9641-C-83588-CFC-0694</t>
  </si>
  <si>
    <t xml:space="preserve">Contractor has received new drawings which have added SS Pipe Flame Traps to Contractors SOW. </t>
  </si>
  <si>
    <t>Pit and Earth Electrodes</t>
  </si>
  <si>
    <t>Stacker ST03 - Demolition Works</t>
  </si>
  <si>
    <t xml:space="preserve">Contractor has been advised that the discharge point at Mulla Mulla Village shall no longer be available for use by Contractor, and that Contractor shall make alternative arrangements at an off-Site Treatment Facility for all future requirements. </t>
  </si>
  <si>
    <t>9641-C-83588-CFC-0691</t>
  </si>
  <si>
    <t>BG450 P16 Reo &amp; VSL Duct Clash</t>
  </si>
  <si>
    <t>9641-C-83588-CTC-0838</t>
  </si>
  <si>
    <t>Contractor shall not undertake select concrete footing and guardrail Works as per the enclosed marked up Drawings (CTC-0838).</t>
  </si>
  <si>
    <t>Contractor shall not undertake select concrete pad and pedestal works as per the enclosed marked up Drawing 866-C-12851/0.</t>
  </si>
  <si>
    <t>Contractor is requested to provide Company with a Variation
Proposal for Works pertaining to permeation grouting of the F4 footing at CV413.</t>
  </si>
  <si>
    <t>Company has made the following changes:
• 1 number F1 footing has been changed to an F1A footing. The reinforcement for the F1 footing had been delivered to site and prefabbed prior to receiving the revised drawings.
• 2 number precast firewall panels have been changed. The 2 precast panels had been manufactured and delivered to site prior to receiving the revised drawings.</t>
  </si>
  <si>
    <t>Transmitted drawings for the COS indicates changes to steel embedment's.</t>
  </si>
  <si>
    <t>The scope and quantity of the electrodes to be installed was chagned. Previosly, all electrodes were to be 8m in length, This has now been revised to 8m, 10m, 15m and 24m lengths</t>
  </si>
  <si>
    <t>Contractor has been instructed to demolish and remove existing infrastructre in Stacker ST03.</t>
  </si>
  <si>
    <t>HCV-219</t>
  </si>
  <si>
    <t>Earthing to Substations</t>
  </si>
  <si>
    <t>HCV-220</t>
  </si>
  <si>
    <t>HCV-221</t>
  </si>
  <si>
    <t>The earthing design to the substations has changed from Contract Date Design, with the earthing to be installed having increased in both quantity and complexity.</t>
  </si>
  <si>
    <t>The P16 pedestals have had additional reinforcement and VSL ducts added from the tender drawings.  The VSL ducts are also larger.</t>
  </si>
  <si>
    <t>1. Installation of additional 2x DN355 flanges as per mark ups in yellow on enclosed STK03 model extract;
2. Underboring beneath existing infrastructure as per mark ups in orange on enclosed RC02 model extract;
3. Procurement of HDPE piping materials as per mark ups in magenta on enclosed RC02 and STK03 model extracts.
Contractor shall make the materials available to Company for collection at Contractor’s Laydown Area.</t>
  </si>
  <si>
    <t>9641-C-83588-CFC-0673</t>
  </si>
  <si>
    <t>9641-C-83588-CTC-0701</t>
  </si>
  <si>
    <t>HCV-222</t>
  </si>
  <si>
    <t>9641-C-83588-CFC-0699</t>
  </si>
  <si>
    <t>9641-C-83588-CFC-0698</t>
  </si>
  <si>
    <t>9641-C-83588-CFC-0697</t>
  </si>
  <si>
    <t>SI100</t>
  </si>
  <si>
    <t>SI101</t>
  </si>
  <si>
    <t>SI103</t>
  </si>
  <si>
    <t>Change in Conduit install due to Service Pit Design Change</t>
  </si>
  <si>
    <t xml:space="preserve">Contractor has been instructed to undertake additional works to MS9 </t>
  </si>
  <si>
    <t>Milestone 18</t>
  </si>
  <si>
    <t>9641-C-83588-CTC-0873</t>
  </si>
  <si>
    <t>HCV-223</t>
  </si>
  <si>
    <t>Rail Monitoring</t>
  </si>
  <si>
    <t>Installation of an additional 1No. DN150 CONDUIT PVC H.D. (ORANGE) in accordance with marked up Drawing 867-E-
13036/0.</t>
  </si>
  <si>
    <t>HCV-165a</t>
  </si>
  <si>
    <t>9641-C-83588-CFC-0709</t>
  </si>
  <si>
    <t>Puraceptor Piping - SUB485</t>
  </si>
  <si>
    <t>Puraceptor Pipework to SUB485</t>
  </si>
  <si>
    <t>9641-C-83588-CFC-0708</t>
  </si>
  <si>
    <t>Design Changes in TLO2</t>
  </si>
  <si>
    <r>
      <t xml:space="preserve">UNAPPROVED REVENUE Required for Work Done (@ </t>
    </r>
    <r>
      <rPr>
        <sz val="12"/>
        <rFont val="Arial"/>
        <family val="2"/>
      </rPr>
      <t>10/</t>
    </r>
    <r>
      <rPr>
        <b/>
        <sz val="12"/>
        <rFont val="Arial"/>
        <family val="2"/>
      </rPr>
      <t>01/20)</t>
    </r>
  </si>
  <si>
    <t>Paid on Account to Date 
(Jan-20)</t>
  </si>
  <si>
    <t>Construction of the eastern TS472 crane pad as defined in attached sketch SFP-C-1351/A and enclosed design models.</t>
  </si>
  <si>
    <t xml:space="preserve"> TS472 East Crane Pad</t>
  </si>
  <si>
    <t>HCV-224</t>
  </si>
  <si>
    <t>SUB450 Firewall Penetrations</t>
  </si>
  <si>
    <t>SI105</t>
  </si>
  <si>
    <t>1. Remediation of the substation SUB450 precast firewall panels to conform with Drawing 864-C-0083/2 including:
· Installation of new penetrations (2 No.);
· Grout fill of existing penetrations (2No.)</t>
  </si>
  <si>
    <t>HCV-225</t>
  </si>
  <si>
    <t>Void Filling</t>
  </si>
  <si>
    <t>SI106</t>
  </si>
  <si>
    <t>Filling of the hole in the vicinity of Culvert C95 as detailed in Attachment 1 under Company supervision. Contractor shall fill the hole with larger granular material and then cap with Cement Stabilised Fill.</t>
  </si>
  <si>
    <t>VD-15</t>
  </si>
  <si>
    <t>9641-C-83588-CFC-0718</t>
  </si>
  <si>
    <t>9641-C-83588-CFC-0719</t>
  </si>
  <si>
    <t>HCV-226</t>
  </si>
  <si>
    <t>HCV-227</t>
  </si>
  <si>
    <t>HCV-228</t>
  </si>
  <si>
    <t>HCV-229</t>
  </si>
  <si>
    <t>HCV-230</t>
  </si>
  <si>
    <t>HCV-231</t>
  </si>
  <si>
    <t>9641-C-83588-CFC-0715</t>
  </si>
  <si>
    <t>Contractor has been directed to monitor the rail formation for cracking at MS4</t>
  </si>
  <si>
    <t>SUB480 Ramp</t>
  </si>
  <si>
    <t>Contractor has been verbally instructed to install a ramp to suBStation SUB480</t>
  </si>
  <si>
    <t>F4 Footing Additional Testing</t>
  </si>
  <si>
    <t>Hauling Material on RMT - BHP Direction</t>
  </si>
  <si>
    <t>9641-C-83588-CFC-0716</t>
  </si>
  <si>
    <t>9641-C-83588-CFC-0714</t>
  </si>
  <si>
    <t>9641-C-83588-CFC-0712</t>
  </si>
  <si>
    <t>HCV-012b</t>
  </si>
  <si>
    <t>9641-C-83588-CTC-0049</t>
  </si>
  <si>
    <t>9641-C-83588-CFC-0335</t>
  </si>
  <si>
    <t>9641-C-83588-CFC-0720</t>
  </si>
  <si>
    <t>Windrows around valves</t>
  </si>
  <si>
    <t>Contractor has been instructed to install windrows in liey of bollards ariound valves.</t>
  </si>
  <si>
    <t>9641-C-83588-CFC-0544</t>
  </si>
  <si>
    <t>9641-C-83588-CFC-0629</t>
  </si>
  <si>
    <t>The requirement for the select fill to be 98% compaction within the top 1m was first added to revision 0 of Drawing 860-C-12602, which was issued post Contract Award. Revision B of Drawing 860-C-12602 required the compaction to select fill to be 95%.</t>
  </si>
  <si>
    <t>SI099</t>
  </si>
  <si>
    <t>Company has directed Contractor that vehicles exceeding 10 tonnes are not to run within the vicinity of the cracked rail formation. As a result, the Contractor has had divert its heavy vehicles onto the RMT.</t>
  </si>
  <si>
    <t>9641-C-83588-CFC-0724</t>
  </si>
  <si>
    <t>HCV-122c</t>
  </si>
  <si>
    <t>9641-C-83588-CFC-0725</t>
  </si>
  <si>
    <t>Puraceptor Manhole Cover Surround</t>
  </si>
  <si>
    <t>Conpany has issued revised drawings for the puracptor manhole covers which provides details of the cover surround which was not provided with RVP-005</t>
  </si>
  <si>
    <t>HCV-232</t>
  </si>
  <si>
    <t>HCV-233</t>
  </si>
  <si>
    <t>Rain Event 2020.01.15</t>
  </si>
  <si>
    <t xml:space="preserve">Underground Services Model Revisions - Additional Drawing </t>
  </si>
  <si>
    <t>Due to the ogoing changes to the Underground Services Model, Contractor has had to produce additional 2D drawings.</t>
  </si>
  <si>
    <t>Rail Anchor Steel Plates</t>
  </si>
  <si>
    <t>HCV-234</t>
  </si>
  <si>
    <t>9641-C-83588-CFC-0726</t>
  </si>
  <si>
    <t>9641-C-83588-CFC-0743</t>
  </si>
  <si>
    <t>RVP-017</t>
  </si>
  <si>
    <t>Concrete Cut-Off Wall</t>
  </si>
  <si>
    <t>HCV-235</t>
  </si>
  <si>
    <t>HCV-236</t>
  </si>
  <si>
    <t>HCV-237</t>
  </si>
  <si>
    <t>Steel VSL Post Tensioning Ducts</t>
  </si>
  <si>
    <t>9641-C-83588-CFC-0745</t>
  </si>
  <si>
    <t>HCV-238</t>
  </si>
  <si>
    <t>RVP-017 Overhead Powerline Corridor Rehab</t>
  </si>
  <si>
    <t>Company has requested Contractor provide Company with Variation Proposal for Works pertaining to rehabilitation Works with the vicinity of the overhead powerline corridor.</t>
  </si>
  <si>
    <t>HCV-103a</t>
  </si>
  <si>
    <t>Conduit E/O to Rev7 Model BOQ</t>
  </si>
  <si>
    <t>Additional 4km of conduit to be installed not identified on model</t>
  </si>
  <si>
    <t>HCV-138a</t>
  </si>
  <si>
    <t>HCV-160a</t>
  </si>
  <si>
    <t>TK Laydown Area - Dayworls</t>
  </si>
  <si>
    <t>TC Damien - Force Majeure + Unsafe Conditions</t>
  </si>
  <si>
    <t>New drawings issued post contract award have identified concrete cut off walls are to be installed in MS24 floodway</t>
  </si>
  <si>
    <t>Contractor has been directed to undertake additional testing to determine the suitablilty of the cement slurry material for the F4 footing</t>
  </si>
  <si>
    <t>Rain Event 2020.01.08</t>
  </si>
  <si>
    <t>HCV-239</t>
  </si>
  <si>
    <t>HCV-240</t>
  </si>
  <si>
    <t>HCV-241</t>
  </si>
  <si>
    <t>HCV-242</t>
  </si>
  <si>
    <t>HCV-243</t>
  </si>
  <si>
    <t>SUB440 Ramp</t>
  </si>
  <si>
    <t>Contractor has been directed (SI-0111) to install a ramp at substation SUB440.</t>
  </si>
  <si>
    <t>Conduit Complexity - Add Bedding Sand</t>
  </si>
  <si>
    <t>Earthing Complexity</t>
  </si>
  <si>
    <t>Conduit-Service Pit Complexity</t>
  </si>
  <si>
    <t>Cable-Tail End Handling</t>
  </si>
  <si>
    <t>HCV-244</t>
  </si>
  <si>
    <t>HCV-245</t>
  </si>
  <si>
    <t>Additional Hydro Tests</t>
  </si>
  <si>
    <t>Preliminaries - Adjustment Mechanism</t>
  </si>
  <si>
    <t>HCV-246</t>
  </si>
  <si>
    <t>Profit on Submitted not Approved VO</t>
  </si>
  <si>
    <t>NOD-057</t>
  </si>
  <si>
    <t>W01022-CPB-NOD-0057</t>
  </si>
  <si>
    <t>Tropical Cyclone Damian</t>
  </si>
  <si>
    <t>9641-C-83588-CFC-0736</t>
  </si>
  <si>
    <t>The Force Majeure Event relates to Tropical Cyclone Damian which has impacted Contractor’s Works under Contract. While on Blue Alert Status, Contractor had to suspend part of its works activities on Saturday 8 February 2020, and all its work activities on Sunday 9 February 2020 as a result of the inclement weather brought on by Tropical Cyclone Damian.</t>
  </si>
  <si>
    <t>Substation SUB440</t>
  </si>
  <si>
    <t>W01022-CPB-NOD-0058</t>
  </si>
  <si>
    <t>NOD-058</t>
  </si>
  <si>
    <t>9641-C-83588-CFC-0759</t>
  </si>
  <si>
    <t>19, 21</t>
  </si>
  <si>
    <t>Company issued Aconex correspondence BHPSFP-MEMO-054294 directing Contractor to undertake the construction of the crane pads and access ramps as detailed in the accompanying model extract “SUB440 Crane Pad”, and that the works need to be completed by 26 February 2020.</t>
  </si>
  <si>
    <t>Contractor undertook additional works both preemptive actions and reactive actions to modify its activities as a result of weather conditions (Unsafe condition) and the Company’s Directions.</t>
  </si>
  <si>
    <t>The weather conditions that occurred prevented Contractor from undertaking its Scope of Works under Contract. Furthermore, the weather conditions resulted in Unsafe conditions to the Site for which Contractor had to undertake additional work as a result of complying with its obligations under clause 5.3(c).</t>
  </si>
  <si>
    <t>9641-C-83588-CTC-0944</t>
  </si>
  <si>
    <t>9641-C-83588-CTC-0945</t>
  </si>
  <si>
    <t>9641-C-83588-CTC-0946</t>
  </si>
  <si>
    <t>9641-C-83588-CFC-0773</t>
  </si>
  <si>
    <t>9641-C-83588-CFC-0774</t>
  </si>
  <si>
    <t>9641-C-83588-CFC-0775</t>
  </si>
  <si>
    <t>BG450 Modificaitons</t>
  </si>
  <si>
    <t>Company issued revised drawings for crane pad BG450. The drawings were issued after Contractor had completed the Works to the origianl design.</t>
  </si>
  <si>
    <t>9641-C-83588-CFC-0778</t>
  </si>
  <si>
    <t>HCV-247</t>
  </si>
  <si>
    <t>HCV-248</t>
  </si>
  <si>
    <t>HCV-249</t>
  </si>
  <si>
    <t>HCV-250</t>
  </si>
  <si>
    <t>HCV-251</t>
  </si>
  <si>
    <t>HCV-252</t>
  </si>
  <si>
    <t>HCV-253</t>
  </si>
  <si>
    <t>HCV-254</t>
  </si>
  <si>
    <t>HCV-255</t>
  </si>
  <si>
    <t>HCV-256</t>
  </si>
  <si>
    <t>HCV-257</t>
  </si>
  <si>
    <t>HCV-258</t>
  </si>
  <si>
    <t>COS Earthworks Modification</t>
  </si>
  <si>
    <t>Widening of Module Access Road 3</t>
  </si>
  <si>
    <t>Contractor has been verbally directed by Company to widen module access road 3 beyond the design boundary included in SI079.</t>
  </si>
  <si>
    <t>RVP-019 AB9 Duct Removal and Remedial Works</t>
  </si>
  <si>
    <t>CV521 F9 Footing Clash (TQ640)</t>
  </si>
  <si>
    <t>Company has directed Contractor to undertake the following additional works to ensure the existing toilet block is maintained:
1. Remove the toilet awning and 5 number columns,
2. Demolish and dispose of the concrete footpath,
3. Complete F9 footing construction,
4. Reinstate the concrete footpath to its original state, including joint, and
5. Re-install the toilet awning and columns to its original state.</t>
  </si>
  <si>
    <t>TS314 Services SOW Adjustment</t>
  </si>
  <si>
    <t>Pre-Works - In-situ Permeability Testing</t>
  </si>
  <si>
    <t>TLO2 Crane Pad</t>
  </si>
  <si>
    <t>9641-C-83588-CFC-0784</t>
  </si>
  <si>
    <t>RVP-018 CV413 Temporary Crane Pad &amp; Module Access</t>
  </si>
  <si>
    <t>Direction received from Company to leave tail lengths greater than 3 metres at termination points for the follow on works to be undertaken by a separate contractor.</t>
  </si>
  <si>
    <t>Localised levelling of the indicative area detailed in marked up Drawing 860-C-12565/2 as directed by Company's Site
representative so as to support module deliveries via SPMTs.</t>
  </si>
  <si>
    <t>Completion of preparation works for in-situ permeability testing between CH1475 and CH1975 in the Southern Diversion Drain as per the scope of work detailed in Aconex memorandum BHPSFP-MEMO-055022.</t>
  </si>
  <si>
    <t>Construction of the temporary TLO2 crane pad</t>
  </si>
  <si>
    <t>Swale Drain - TS314 Module Route (SI-0110)</t>
  </si>
  <si>
    <t>Stream training of the swale drain beneath the TS314 module route to the extent detailed within attached drawing "SFPC-
1341_C marked up" to improve drainage through culvert MAC-C20.
Contractor shall ensure edge protection is installed where required.
Contractor shall reinstate the TS314 module route at a later date as agreed with Company's Site representative and
coordinated with Separate Contractor's module deliveries.</t>
  </si>
  <si>
    <t>Outgo Rail Embankment Crack Grouting</t>
  </si>
  <si>
    <t>Grouting of cracks within the vicinity of the Outgo Rail embankment</t>
  </si>
  <si>
    <t>AB9 Test Ducts – Remove and Remediate</t>
  </si>
  <si>
    <t>SI111</t>
  </si>
  <si>
    <t>SI104</t>
  </si>
  <si>
    <t>SI114</t>
  </si>
  <si>
    <t>SI115</t>
  </si>
  <si>
    <t>SI117</t>
  </si>
  <si>
    <t>9641-C-83588-CFC-0790</t>
  </si>
  <si>
    <t>SI110</t>
  </si>
  <si>
    <t>SI109</t>
  </si>
  <si>
    <t>HCV-2xx</t>
  </si>
  <si>
    <t>Stacker ST04, Stacker ST05, Reclaimer RC02 and Reclaimer RC03 - Reinforcement</t>
  </si>
  <si>
    <t>Advance issue IFC drawings (upon review by Contractor) indicate changes to reinforcement quantities</t>
  </si>
  <si>
    <t>HSE Management COVID-19</t>
  </si>
  <si>
    <t>HCV-259</t>
  </si>
  <si>
    <t>Unsuitable Material - HV Cable RMU450 to RMU411</t>
  </si>
  <si>
    <t>HCV-260</t>
  </si>
  <si>
    <t>9641-C-83588-CFC-0800</t>
  </si>
  <si>
    <t>Contractor considers that Company correspondence reference 9641-C-83588-CTC-0951 dated 12 March 2020 constitutes a Direction giving rise to a Variation.</t>
  </si>
  <si>
    <t>Unsuitable material encountered while excavating HV Cable RMU450 to RMU411</t>
  </si>
  <si>
    <t>W01022-CPB-NOD-0061</t>
  </si>
  <si>
    <t>W01022-CPB-NOD-0063</t>
  </si>
  <si>
    <t>NOD-061</t>
  </si>
  <si>
    <t>NOD-063</t>
  </si>
  <si>
    <t>Milestone 21 – Overland Conveyor CV413 Earthworks and Concrete</t>
  </si>
  <si>
    <t>The substantial increase in the quantum of the concrete works to be undertaken, specifically the concrete walls; and
Company’s failure to provide Contractor with the control network for the CV413 works area for the works undertaken by Company’s other contractor NRW.</t>
  </si>
  <si>
    <t>9641-C-83588-CFC-0799</t>
  </si>
  <si>
    <t>Contractor considers that Company correspondence reference 9641-C-83588-CTC-0951 dated 13 March 2020 constitutes a Direction giving rise to a Variation (as noted in Contractor’s Notice of Variation issued on 19 March 2020, Contractor correspondence reference 9641-C-83588-CFC-0798).</t>
  </si>
  <si>
    <t>UNAPPROVED REVENUE Required for Work Done (@ 15/03/20)</t>
  </si>
  <si>
    <t>BU STRETCH UNNAPPROVED REVENUE (@15/03/20)</t>
  </si>
  <si>
    <t>Rebar Density TLO</t>
  </si>
  <si>
    <t>Contractor received updated Drawings for the TL02 concrete Works and identified changes to rebar density</t>
  </si>
  <si>
    <t>HCV-261</t>
  </si>
  <si>
    <t>9641-C-83588-CFC-0814</t>
  </si>
  <si>
    <t>Accommodation for Interstate FIFO Workers</t>
  </si>
  <si>
    <t>Due to the closure of the Western Australian Borders, the Contractor is required to provide alternative accommodation for its personnel during their R&amp;R period in Perth. The alternative accommodation to be provided is an addition to the accommodation provided for in Schedule 6.6, Table 6.6.1.</t>
  </si>
  <si>
    <t>HCV-262</t>
  </si>
  <si>
    <t>9641-C-83588-CFC-0812</t>
  </si>
  <si>
    <t>TS513 Mechanical Excavation - Concrete Footings</t>
  </si>
  <si>
    <t>Contractor is required to undertake detailed excavation for concrete works in rock, and not compacted fill or common material as defined in Item 3.3.1.1(a).</t>
  </si>
  <si>
    <t>HCV-263</t>
  </si>
  <si>
    <t>9641-C-83588-CFC-0817</t>
  </si>
  <si>
    <t>Flumes in lieu of guardrail (TQ675)</t>
  </si>
  <si>
    <t>Company has advised Contractor that the guardrail is no longer required at that location described in TQ675, and Contractor has been instead directed to install flumes and construct windrows in lieu of the guardrail. Contractor has also been directed to reinstate the washed away batter.
In addition, Contractor has been directed to install three additional flumes on the OHP3 pad southern batter, as identified in marked up drawing 842-C-12058/1.</t>
  </si>
  <si>
    <t>Additional In-situ Permeability Testing at SDD</t>
  </si>
  <si>
    <t>HCV-264</t>
  </si>
  <si>
    <t>9641-C-83588-CFC-0819</t>
  </si>
  <si>
    <t>Further to Site Instruction SI-0114, has directed Contractor to undertake additional permeability testing to the Southern Diversion Drain.</t>
  </si>
  <si>
    <t>HCV-265</t>
  </si>
  <si>
    <t>9641-C-83588-CFC-0818</t>
  </si>
  <si>
    <t>MAC-C95 Pooling of Water</t>
  </si>
  <si>
    <t>Contractor has received verbal direction from Company to install drainage culvert near MAC-C95 to prevent the pooling of water from occurring.</t>
  </si>
  <si>
    <t>Revised Schedule 6.3 Concrete Works</t>
  </si>
  <si>
    <t>9641-C-83588-CFC-0805</t>
  </si>
  <si>
    <t>The Variation relates to the increase in the concrete works quantities from Contract Award.</t>
  </si>
  <si>
    <t>9641-C-83588-CFC-0804</t>
  </si>
  <si>
    <t>NOD-064</t>
  </si>
  <si>
    <t>9641-C-83588-CFC-0813</t>
  </si>
  <si>
    <t>W01022-CPB-NOD-0064</t>
  </si>
  <si>
    <t>Concrete Works – Increased Quantities</t>
  </si>
  <si>
    <t>9641-C-83588-CTC-1002</t>
  </si>
  <si>
    <t>Aged Variations (Major Claims)</t>
  </si>
  <si>
    <t>EIS A14 Target</t>
  </si>
  <si>
    <t>Rock Removal with Rockbreaker</t>
  </si>
  <si>
    <t>Unsafe Conditions (Result of Weather Events)</t>
  </si>
  <si>
    <t>On Account Amounts to Facilitate Payments</t>
  </si>
  <si>
    <t>Riser &amp; Steel Spool - Scope Change</t>
  </si>
  <si>
    <t>Raw Water &amp; Potable Water Fittings</t>
  </si>
  <si>
    <t>Electrical Cables - Termination (Tail End) Qty Increased lengths and handling</t>
  </si>
  <si>
    <t>TOTALS</t>
  </si>
  <si>
    <t>Liquid Waste Disposal to Karratha (Ongoing so amount will increase)</t>
  </si>
  <si>
    <t>Other - Delay &amp; Disruption Claim (submitted 15/04/20)</t>
  </si>
  <si>
    <t>Original Submission Dates</t>
  </si>
  <si>
    <t>9641-C-83588-CTC-0996</t>
  </si>
  <si>
    <t>VD-17</t>
  </si>
  <si>
    <t>VD-16</t>
  </si>
  <si>
    <t>VD-12
VD-16</t>
  </si>
  <si>
    <t>HCV-266</t>
  </si>
  <si>
    <t>HCV-267</t>
  </si>
  <si>
    <t>HCV-268</t>
  </si>
  <si>
    <t>HCV-269</t>
  </si>
  <si>
    <t>HCV-270</t>
  </si>
  <si>
    <t>MS18B Void Investigation (TQ711)</t>
  </si>
  <si>
    <t>CV521 Drive Station</t>
  </si>
  <si>
    <t>Extended Period Concrete Batch Plant</t>
  </si>
  <si>
    <t>Monos Labour (IPT Credit)</t>
  </si>
  <si>
    <t>Earth Cable Install at RC02 (SI-107)</t>
  </si>
  <si>
    <t>Company directed Contractor to undertake further investigation works to the void using a rock breaker attached to an excavator.</t>
  </si>
  <si>
    <t xml:space="preserve">Geotextile - SF Link Access Road </t>
  </si>
  <si>
    <t>Installation of geotextile membrane {bidim) within the MAC610/RMU411 Rand RMU411 R/RMU450S services trenches on the SF Link LV Access Road in accordance with enclosed marked up Drawings 2345-E-00125_2 and 2345-E-00081_ 1</t>
  </si>
  <si>
    <t>Company has requested Contractor provide Company with Variation Proposal for Works pertaining to the construction of a temporary crane pad and module access to CV413.</t>
  </si>
  <si>
    <t>9641-C-83588-CFC-0794</t>
  </si>
  <si>
    <t>HCV-216a</t>
  </si>
  <si>
    <t>Liquid Waste Disposal - Unapproved</t>
  </si>
  <si>
    <t>SI-005 Fabricate RCB Culvert Moulds</t>
  </si>
  <si>
    <t>HCV-008a</t>
  </si>
  <si>
    <t>9641-C-83588-CFC-0823</t>
  </si>
  <si>
    <t>SI108</t>
  </si>
  <si>
    <t>9641-C-83588-CFC-0845</t>
  </si>
  <si>
    <t>9641-C-83588-CFC-0767</t>
  </si>
  <si>
    <t>9641-C-83588-CFC-0802</t>
  </si>
  <si>
    <t>9641-C-83588-CFC-0815</t>
  </si>
  <si>
    <t>Schedule Analysis Part 2 - EOT/Disruption (Company Directions &amp; Scope Change)</t>
  </si>
  <si>
    <t>Aged/ New</t>
  </si>
  <si>
    <t>Aged</t>
  </si>
  <si>
    <t>Sch 6.3 - Aged</t>
  </si>
  <si>
    <t>Sch 6.3 - New</t>
  </si>
  <si>
    <t>New</t>
  </si>
  <si>
    <t>aged</t>
  </si>
  <si>
    <t>Unsafe Cond</t>
  </si>
  <si>
    <t>Covid-19</t>
  </si>
  <si>
    <t>9641-C-83588-CFC-0793</t>
  </si>
  <si>
    <t>VD-17
VD-18</t>
  </si>
  <si>
    <t>VD-18</t>
  </si>
  <si>
    <t>NOV-017</t>
  </si>
  <si>
    <t>9641-C-83588-CFC-0853</t>
  </si>
  <si>
    <t>9641-C-83588-CFC-0858</t>
  </si>
  <si>
    <t>9641-C-83588-CTC-1029</t>
  </si>
  <si>
    <t>9641-C-83588-CTC-1017</t>
  </si>
  <si>
    <t>9641-C-83588-CTC-1018</t>
  </si>
  <si>
    <t>9641-C-83588-CTC-1022</t>
  </si>
  <si>
    <t>9641-C-83588-CTC-1027</t>
  </si>
  <si>
    <t>HCV-271</t>
  </si>
  <si>
    <t>HCV-272</t>
  </si>
  <si>
    <t>HCV-273</t>
  </si>
  <si>
    <t>HCV-274</t>
  </si>
  <si>
    <t>9641-C-83588-CFC-0872</t>
  </si>
  <si>
    <t>Covering Cracks at Outgo Rail Formation</t>
  </si>
  <si>
    <t>Contractor was verbally instructed to install plastic sheeting over cracks on the rail embankment</t>
  </si>
  <si>
    <t>Scalping Screening Building BG440 – Pedestal P19 Modification Works</t>
  </si>
  <si>
    <t>Modification works to the P19 pedestal embedment.</t>
  </si>
  <si>
    <t>Rock Excavation to TS513 and SUB310</t>
  </si>
  <si>
    <t>Contractor has encountered rock during drain excavation activities in MS11</t>
  </si>
  <si>
    <t>New Potable Water Line</t>
  </si>
  <si>
    <t>IFC drawings transmitted. Drawing detail indicates changes to OHP water line</t>
  </si>
  <si>
    <t>Contractor is hereby directed to undertake the following on a daywork basis:
• Exothermic welding of free issued earth cable (termination to rail) at the 8 locations detailed within marked up Drawing
S0FL-15-DW-101/1;</t>
  </si>
  <si>
    <t>9641-C-83588-CTC-1012</t>
  </si>
  <si>
    <t>9641-C-83588-CTC-1013</t>
  </si>
  <si>
    <t>9641-C-83588-CTC-1014</t>
  </si>
  <si>
    <t>9641-C-83588-CFC-1023</t>
  </si>
  <si>
    <t>9641-C-83588-CFC-0710</t>
  </si>
  <si>
    <t>11, 14, 20, 22, 24, 25</t>
  </si>
  <si>
    <t>9641-C-83588-CTC-1028</t>
  </si>
  <si>
    <t>9641-C-83588-CTC-1030</t>
  </si>
  <si>
    <t>9641-C-83588-CTC-1062</t>
  </si>
  <si>
    <t>HCV-165b</t>
  </si>
  <si>
    <t>9641-C-83588-CFC-0885</t>
  </si>
  <si>
    <t>Puraceptor Piping - COS &amp; TLO MCC</t>
  </si>
  <si>
    <t>Puraceptor Pipework to TLO &amp; COS MCC</t>
  </si>
  <si>
    <t xml:space="preserve">Variation to the Contract and not defects. Contractor does not
agree that the installed VSL Post Tensioning Ducts are non-conforming for the following reasons, in consideration of Drawing 000-C-12084_0:
a. Steel VSL ducts have been used;
b. Steel VSL ducts are in accordance with Table 3 at the required 127mm diameter
and duct ID = 127mm and duct OD = 133mm at the duct ribs are correct
c. There is no mention of corrugation or ribbed profile frequency. In lieu of a
mentioned profile frequency, Contractor confirms it has installed VSL ducts with a
ribbed profile within 1mm of the Table 3 dimensions. </t>
  </si>
  <si>
    <t>W01022-CPB-NOD-0071</t>
  </si>
  <si>
    <t>NOD-071</t>
  </si>
  <si>
    <t>9641-C-83588-CFC-0883</t>
  </si>
  <si>
    <t>The Variation relates to the ongoing revisions to the underground services model, and Company’s direction to utilise the most recent model included in CTC-1044.</t>
  </si>
  <si>
    <t>Module Access Route Modifications (SI125)</t>
  </si>
  <si>
    <t>W01022-CPB-NOD-0072</t>
  </si>
  <si>
    <t>NOD-072</t>
  </si>
  <si>
    <t>9641-C-83588-CFC-0889</t>
  </si>
  <si>
    <t>The variation relates to the Works directed in SI-125 and the required completion date of 20 May 2020.</t>
  </si>
  <si>
    <t>9641-C-83588-CFC-0859</t>
  </si>
  <si>
    <t>9641-C-83588-CTC-1032</t>
  </si>
  <si>
    <t>9641-C-83588-CTC-1059</t>
  </si>
  <si>
    <t>9641-C-83588-CTC-1060</t>
  </si>
  <si>
    <t>9641-C-83588-CTC-1058</t>
  </si>
  <si>
    <t>9641-C-83588-CTC-1025</t>
  </si>
  <si>
    <t>9641-C-83588-CFC-0893</t>
  </si>
  <si>
    <t>Sch 6.3 quantity changes are being paid account</t>
  </si>
  <si>
    <t>Submitted Claims</t>
  </si>
  <si>
    <t xml:space="preserve">Schedule 6.3 Quantity Variance </t>
  </si>
  <si>
    <t>Total Submitted</t>
  </si>
  <si>
    <t>Paid on Account excluding Sch 6.3</t>
  </si>
  <si>
    <t>Approved Variations</t>
  </si>
  <si>
    <t>Delta discussions in progress, (VO directions received for partially approved).</t>
  </si>
  <si>
    <t>Unapproved</t>
  </si>
  <si>
    <t>On Acc - Fittings, rebar, electrode, liquid waste, travel time, steel spools</t>
  </si>
  <si>
    <t>Unapproved EOT</t>
  </si>
  <si>
    <t>Schedule Impact Multiple Milestones Aug 2019</t>
  </si>
  <si>
    <t>Total (Submitted)</t>
  </si>
  <si>
    <t>With BHP</t>
  </si>
  <si>
    <t>Submitted Schedule 6.3 Quantity Variance (With BHP)</t>
  </si>
  <si>
    <t>Paid on Account</t>
  </si>
  <si>
    <t>Unapproved Variations - Aged 
(incl disagreed method of assessment items)</t>
  </si>
  <si>
    <t>Unapproved Variations - New</t>
  </si>
  <si>
    <t xml:space="preserve">Earthworks excluded from the amounts.
BHP have raised queries in relation to earthworks Material Movement. CPB have claimed based on how the works were actually performed.
CPB currently compiling final quantities and justification of works performed. </t>
  </si>
  <si>
    <t>Unapproved EOT - Aged</t>
  </si>
  <si>
    <t>EOT days</t>
  </si>
  <si>
    <t>None</t>
  </si>
  <si>
    <t>Multiple Milestones, submitted August 2019 to Nov 19, No BHP assessment  to date</t>
  </si>
  <si>
    <t>Unapproved EOT Costs - New</t>
  </si>
  <si>
    <t>Submitted April 2020 for EOT submitted Aug 2019</t>
  </si>
  <si>
    <t>COVID-19</t>
  </si>
  <si>
    <t>Unapproved - COVID-19</t>
  </si>
  <si>
    <t>Covid-19 Impact March 2020</t>
  </si>
  <si>
    <t>Unsafe Conditions</t>
  </si>
  <si>
    <t>Unapproved - Unsafe Conditions</t>
  </si>
  <si>
    <t>Subtotal (A)</t>
  </si>
  <si>
    <t>With CPB</t>
  </si>
  <si>
    <t>Submitted Schedule 6.3 Quantity Variance (With CPB)</t>
  </si>
  <si>
    <t>Unapproved Variations - Aged</t>
  </si>
  <si>
    <t>Rejected by BHP - Response with CPB. Claim based on access, additional works and disruption due to Unsafe conditions</t>
  </si>
  <si>
    <t>Subtotal (B)</t>
  </si>
  <si>
    <t>Total Unapproved (A + B)</t>
  </si>
  <si>
    <t xml:space="preserve">Milestone </t>
  </si>
  <si>
    <t>Milestone Delayed</t>
  </si>
  <si>
    <t>EOT Submitted</t>
  </si>
  <si>
    <t>Milestone EOT Days Submitted</t>
  </si>
  <si>
    <t>EOT
Current Action</t>
  </si>
  <si>
    <t>Submitted EOT Variation Value</t>
  </si>
  <si>
    <t>Value Approved</t>
  </si>
  <si>
    <t>EOT Variation Value 
Aged/ New</t>
  </si>
  <si>
    <t>EOT Cost 
Action With</t>
  </si>
  <si>
    <t>Impacted COVID</t>
  </si>
  <si>
    <t>Milestone 01</t>
  </si>
  <si>
    <t>Handed Over - 08 Nov 18</t>
  </si>
  <si>
    <t>Milestone 02</t>
  </si>
  <si>
    <t>Handed Over - 28 Feb 19</t>
  </si>
  <si>
    <t>Milestone 03</t>
  </si>
  <si>
    <t>Handed Over - 11 Apr 19</t>
  </si>
  <si>
    <t>Milestone 04</t>
  </si>
  <si>
    <t>Milestone 06</t>
  </si>
  <si>
    <t>Handed Over - 11 Oct 19</t>
  </si>
  <si>
    <t>Milestone 07</t>
  </si>
  <si>
    <t>Handed Over - 07 Jun 19</t>
  </si>
  <si>
    <t>Milestone 08</t>
  </si>
  <si>
    <t>Milestone 09</t>
  </si>
  <si>
    <t>Handed Over - 15 Dec 19</t>
  </si>
  <si>
    <t>Milestone 10</t>
  </si>
  <si>
    <t>Handed Over - 25 Apr 19</t>
  </si>
  <si>
    <t>Milestone 15</t>
  </si>
  <si>
    <t>Milestone 16</t>
  </si>
  <si>
    <t>Milestone 17</t>
  </si>
  <si>
    <t>Handed Over - 24 Mar 20</t>
  </si>
  <si>
    <t>Milestone 18a</t>
  </si>
  <si>
    <t>Handed Over - 15 Aug 19</t>
  </si>
  <si>
    <t>Milestone 19</t>
  </si>
  <si>
    <t>Handed Over - 12 Mar 20</t>
  </si>
  <si>
    <t>Milestone 20</t>
  </si>
  <si>
    <t>Milestone 21</t>
  </si>
  <si>
    <t>Milestone 22</t>
  </si>
  <si>
    <t>Milestone 23</t>
  </si>
  <si>
    <t>Milestone 24</t>
  </si>
  <si>
    <t>Milestone 25</t>
  </si>
  <si>
    <t>Requirement to install rail anchors to the Stacker ST04, Stacker ST05, Reclaimer RC02 and Reclaimer RC03 as detailed on the drawings</t>
  </si>
  <si>
    <t>9641-C-83588-CFC-0884</t>
  </si>
  <si>
    <t>9641-C-83588-CFC-0854</t>
  </si>
  <si>
    <t>SI003</t>
  </si>
  <si>
    <t>SI002</t>
  </si>
  <si>
    <t>SI001</t>
  </si>
  <si>
    <t>SI004</t>
  </si>
  <si>
    <t>SI010</t>
  </si>
  <si>
    <t>Included in NOV-253 - Concrete Remeasure</t>
  </si>
  <si>
    <t>SI107</t>
  </si>
  <si>
    <t>Internal</t>
  </si>
  <si>
    <t>Scope given back to Contractor</t>
  </si>
  <si>
    <t>Previous Values</t>
  </si>
  <si>
    <r>
      <t>16.3(d) Schedule + Attend Meeting with Company</t>
    </r>
    <r>
      <rPr>
        <sz val="11"/>
        <color theme="1"/>
        <rFont val="Calibri"/>
        <family val="2"/>
        <scheme val="minor"/>
      </rPr>
      <t xml:space="preserve"> (within 3 BD of delay notice)</t>
    </r>
  </si>
  <si>
    <t>Date of first becoming aware of Variation direction</t>
  </si>
  <si>
    <t>16.4(a)(vi) Actual Date of EOT Submission</t>
  </si>
  <si>
    <t>21.3(a) Date of Request for Variation Proposal</t>
  </si>
  <si>
    <t>**Not later than 10 BD after first becoming aware of the Variation</t>
  </si>
  <si>
    <t>*Not later than 5 BD after the Variation Proposal Request</t>
  </si>
  <si>
    <t>Status (Agreement Reached with Client) (Notice Received)</t>
  </si>
  <si>
    <r>
      <t xml:space="preserve">16.4(a)(vi) EOT Submission Due Date </t>
    </r>
    <r>
      <rPr>
        <sz val="10"/>
        <rFont val="Arial"/>
        <family val="2"/>
      </rPr>
      <t>(within 10 Business Days after commencement of Excusable Delay)</t>
    </r>
    <r>
      <rPr>
        <b/>
        <sz val="10"/>
        <rFont val="Arial"/>
        <family val="2"/>
      </rPr>
      <t xml:space="preserve"> (Column Q)</t>
    </r>
  </si>
  <si>
    <r>
      <t xml:space="preserve">Actual Commencement Date of Excusable Delay </t>
    </r>
    <r>
      <rPr>
        <sz val="10"/>
        <rFont val="Arial"/>
        <family val="2"/>
      </rPr>
      <t xml:space="preserve">(maybe same Date as </t>
    </r>
    <r>
      <rPr>
        <b/>
        <sz val="10"/>
        <rFont val="Arial"/>
        <family val="2"/>
      </rPr>
      <t>Column J</t>
    </r>
    <r>
      <rPr>
        <sz val="10"/>
        <rFont val="Arial"/>
        <family val="2"/>
      </rPr>
      <t xml:space="preserve"> or different Date e.g. Breach)</t>
    </r>
  </si>
  <si>
    <t>COMPANY COMMUNICATION REF/ DETERMINATION CLAUSE 16.5(a)</t>
  </si>
  <si>
    <t>Date of Determination</t>
  </si>
  <si>
    <t>16.7 - Claim for Delay Costs - 5 BD from Company Determination under 16.5(a)</t>
  </si>
  <si>
    <t>Milestones/ Separable Portions Affected</t>
  </si>
  <si>
    <r>
      <t xml:space="preserve">Expected Delay Duration to Practical Completion </t>
    </r>
    <r>
      <rPr>
        <sz val="11"/>
        <color theme="1"/>
        <rFont val="Calibri"/>
        <family val="2"/>
        <scheme val="minor"/>
      </rPr>
      <t>(Calendar Days)</t>
    </r>
  </si>
  <si>
    <t>Actual Delay Notice Submission Date</t>
  </si>
  <si>
    <t>CONTINUING EVENT</t>
  </si>
  <si>
    <t>Actual Date of Delay Notice Submission (Ongoing Excusable Delay)</t>
  </si>
  <si>
    <r>
      <t xml:space="preserve">16.4(b) EOT On Going Excusable Delay Due Date 
</t>
    </r>
    <r>
      <rPr>
        <sz val="10"/>
        <rFont val="Arial"/>
        <family val="2"/>
      </rPr>
      <t>(within 10BD of Last Ongoing submission)</t>
    </r>
    <r>
      <rPr>
        <b/>
        <sz val="10"/>
        <rFont val="Arial"/>
        <family val="2"/>
      </rPr>
      <t xml:space="preserve"> ONGOING SUBMISSION</t>
    </r>
  </si>
  <si>
    <r>
      <t xml:space="preserve">Site Instruction Ref. No </t>
    </r>
    <r>
      <rPr>
        <sz val="10"/>
        <rFont val="Arial"/>
        <family val="2"/>
      </rPr>
      <t>(If applicable)</t>
    </r>
    <r>
      <rPr>
        <b/>
        <sz val="10"/>
        <rFont val="Arial"/>
        <family val="2"/>
      </rPr>
      <t xml:space="preserve">
</t>
    </r>
  </si>
  <si>
    <r>
      <t>EOT Type (</t>
    </r>
    <r>
      <rPr>
        <b/>
        <sz val="10"/>
        <color rgb="FFFF0000"/>
        <rFont val="Arial"/>
        <family val="2"/>
      </rPr>
      <t>Align Drop Down List with Excusable Delays</t>
    </r>
    <r>
      <rPr>
        <b/>
        <sz val="10"/>
        <rFont val="Arial"/>
        <family val="2"/>
      </rPr>
      <t>)</t>
    </r>
  </si>
  <si>
    <t>Company Comm Date Received</t>
  </si>
  <si>
    <t>21.3(a) Submission Due Date (If stipulated by Company enter that Date* Otherwise 5BD from Company Request date)</t>
  </si>
  <si>
    <t>16.3(a) Delay Notice Submission Due Date **</t>
  </si>
  <si>
    <t>Date Identified Potential or Actual Delay</t>
  </si>
  <si>
    <r>
      <t xml:space="preserve">16.4(b) EOT On Going Submission Due Date   </t>
    </r>
    <r>
      <rPr>
        <sz val="11"/>
        <color theme="1"/>
        <rFont val="Calibri"/>
        <family val="2"/>
        <scheme val="minor"/>
      </rPr>
      <t>(within 10BD of Delay Notice)  INITIAL SUBMISSION</t>
    </r>
  </si>
  <si>
    <t>21.2(d) Variation Notice Submission Due Date **</t>
  </si>
  <si>
    <t>Actual Date of Variation notice Submission</t>
  </si>
  <si>
    <t>Actual Date of Variation  proposal submission</t>
  </si>
  <si>
    <t>Email</t>
  </si>
  <si>
    <t>First Data Row</t>
  </si>
  <si>
    <t>Sheet Name</t>
  </si>
  <si>
    <t>Due Date Title</t>
  </si>
  <si>
    <t>Sub Date Title</t>
  </si>
  <si>
    <t>Email Subject</t>
  </si>
  <si>
    <t>Title Data Row</t>
  </si>
  <si>
    <t>Alert Period</t>
  </si>
  <si>
    <t>Delay</t>
  </si>
  <si>
    <t>EOT</t>
  </si>
  <si>
    <t>16.4(a)(vi) EOT Submission Due Date (within 10 Business Days after commencement of Excusable Delay) (Column Q)</t>
  </si>
  <si>
    <t>16.4(b) EOT On Going Submission Due Date   (within 10BD of Delay Notice)  INITIAL SUBMISSION</t>
  </si>
  <si>
    <t>Button Name</t>
  </si>
  <si>
    <t>Delay Notice</t>
  </si>
  <si>
    <t>EOT On Going</t>
  </si>
  <si>
    <t>Variation Notice</t>
  </si>
  <si>
    <t>Variation Register</t>
  </si>
  <si>
    <t>Variation Proposal</t>
  </si>
  <si>
    <t>Test 7</t>
  </si>
  <si>
    <t>nick.noonan@cpbcon.com.au;warped.demon.prince@hotmail.com</t>
  </si>
  <si>
    <t>nick.noonan@cpbcon.com.au;nelgara@outlook.com;warped.demon.prince@hotmail.com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</si>
</sst>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6" formatCode="&quot;$&quot;#,##0;[Red]\-&quot;$&quot;#,##0"/>
    <numFmt numFmtId="8" formatCode="&quot;$&quot;#,##0.00;[Red]\-&quot;$&quot;#,##0.00"/>
    <numFmt numFmtId="44" formatCode="_-&quot;$&quot;* #,##0.00_-;\-&quot;$&quot;* #,##0.00_-;_-&quot;$&quot;* &quot;-&quot;??_-;_-@_-"/>
    <numFmt numFmtId="43" formatCode="_-* #,##0.00_-;\-* #,##0.00_-;_-* &quot;-&quot;??_-;_-@_-"/>
    <numFmt numFmtId="164" formatCode="_(&quot;$&quot;* #,##0.00_);_(&quot;$&quot;* \(#,##0.00\);_(&quot;$&quot;* &quot;-&quot;??_);_(@_)"/>
    <numFmt numFmtId="165" formatCode="_(* #,##0.00_);_(* \(#,##0.00\);_(* &quot;-&quot;??_);_(@_)"/>
    <numFmt numFmtId="166" formatCode="&quot;$&quot;#,##0"/>
    <numFmt numFmtId="167" formatCode="[$-C09]dd\-mmmm\-yyyy;@"/>
    <numFmt numFmtId="168" formatCode="[$-C09]dd\-mmm\-yy;@"/>
    <numFmt numFmtId="169" formatCode="_-&quot;$&quot;* #,##0_-;\-&quot;$&quot;* #,##0_-;_-&quot;$&quot;* &quot;-&quot;??_-;_-@_-"/>
    <numFmt numFmtId="170" formatCode="#,##0.0_);\(#,##0.0\)"/>
    <numFmt numFmtId="171" formatCode="#,##0.000_);\(#,##0.000\)"/>
    <numFmt numFmtId="172" formatCode="#,##0.0000_);\(#,##0.0000\)"/>
    <numFmt numFmtId="173" formatCode="&quot;$&quot;* #,##0_);&quot;$&quot;* \(#,##0\)"/>
    <numFmt numFmtId="174" formatCode="&quot;$&quot;* #,##0.0_);&quot;$&quot;* \(#,##0.0\)"/>
    <numFmt numFmtId="175" formatCode="&quot;$&quot;* #,##0.00_);&quot;$&quot;* \(#,##0.00\)"/>
    <numFmt numFmtId="176" formatCode="&quot;$&quot;* #,##0.000_);&quot;$&quot;* \(#,##0.000\)"/>
    <numFmt numFmtId="177" formatCode="&quot;$&quot;* #,##0.0000_);&quot;$&quot;* \(#,##0.0000\)"/>
    <numFmt numFmtId="178" formatCode="0.0%"/>
    <numFmt numFmtId="179" formatCode="\ @"/>
    <numFmt numFmtId="180" formatCode="\ \ @"/>
    <numFmt numFmtId="181" formatCode="\ \ \ @"/>
    <numFmt numFmtId="182" formatCode="#,##0;[Red]\(#,##0\)"/>
    <numFmt numFmtId="183" formatCode="0&quot; Days&quot;"/>
    <numFmt numFmtId="184" formatCode="_-* #,##0_-;\-* #,##0_-;_-* &quot;-&quot;??_-;_-@_-"/>
    <numFmt numFmtId="185" formatCode="000"/>
    <numFmt numFmtId="186" formatCode="#,##0.00;[Red]\(#,##0.00\)"/>
  </numFmts>
  <fonts count="101" x14ac:knownFonts="1">
    <font>
      <sz val="11"/>
      <color theme="1"/>
      <name val="Calibri"/>
      <family val="2"/>
      <scheme val="minor"/>
    </font>
    <font>
      <sz val="11"/>
      <name val="Calibri"/>
      <family val="2"/>
      <scheme val="minor"/>
    </font>
    <font>
      <b/>
      <sz val="11"/>
      <name val="Calibri"/>
      <family val="2"/>
      <scheme val="minor"/>
    </font>
    <font>
      <sz val="11"/>
      <color theme="1"/>
      <name val="Calibri"/>
      <family val="2"/>
      <scheme val="minor"/>
    </font>
    <font>
      <b/>
      <sz val="11"/>
      <color theme="1"/>
      <name val="Calibri"/>
      <family val="2"/>
      <scheme val="minor"/>
    </font>
    <font>
      <b/>
      <sz val="20"/>
      <name val="Arial"/>
      <family val="2"/>
    </font>
    <font>
      <sz val="10"/>
      <name val="Arial"/>
      <family val="2"/>
    </font>
    <font>
      <b/>
      <sz val="10"/>
      <name val="Arial"/>
      <family val="2"/>
    </font>
    <font>
      <b/>
      <sz val="12"/>
      <name val="Arial"/>
      <family val="2"/>
    </font>
    <font>
      <b/>
      <sz val="11"/>
      <color theme="0"/>
      <name val="Arial"/>
      <family val="2"/>
    </font>
    <font>
      <b/>
      <sz val="10"/>
      <color theme="0"/>
      <name val="Arial"/>
      <family val="2"/>
    </font>
    <font>
      <b/>
      <sz val="14"/>
      <name val="Arial"/>
      <family val="2"/>
    </font>
    <font>
      <sz val="14"/>
      <name val="Arial"/>
      <family val="2"/>
    </font>
    <font>
      <sz val="11"/>
      <color theme="1"/>
      <name val="Arial"/>
      <family val="2"/>
    </font>
    <font>
      <sz val="10"/>
      <color indexed="8"/>
      <name val="Arial"/>
      <family val="2"/>
    </font>
    <font>
      <sz val="10"/>
      <color indexed="12"/>
      <name val="Arial"/>
      <family val="2"/>
    </font>
    <font>
      <b/>
      <sz val="11"/>
      <name val="Times New Roman"/>
      <family val="1"/>
    </font>
    <font>
      <i/>
      <sz val="11"/>
      <name val="Times New Roman"/>
      <family val="1"/>
    </font>
    <font>
      <sz val="11"/>
      <color rgb="FFFF0000"/>
      <name val="Calibri"/>
      <family val="2"/>
      <scheme val="minor"/>
    </font>
    <font>
      <b/>
      <sz val="11"/>
      <color theme="0"/>
      <name val="Calibri"/>
      <family val="2"/>
      <scheme val="minor"/>
    </font>
    <font>
      <b/>
      <sz val="14"/>
      <color theme="1"/>
      <name val="Calibri"/>
      <family val="2"/>
      <scheme val="minor"/>
    </font>
    <font>
      <sz val="9"/>
      <color indexed="81"/>
      <name val="Tahoma"/>
      <family val="2"/>
    </font>
    <font>
      <b/>
      <sz val="9"/>
      <color indexed="81"/>
      <name val="Tahoma"/>
      <family val="2"/>
    </font>
    <font>
      <b/>
      <sz val="14"/>
      <name val="Arial"/>
      <family val="2"/>
    </font>
    <font>
      <b/>
      <sz val="8"/>
      <name val="Arial"/>
      <family val="2"/>
    </font>
    <font>
      <sz val="8"/>
      <color theme="1"/>
      <name val="Calibri"/>
      <family val="2"/>
      <scheme val="minor"/>
    </font>
    <font>
      <sz val="12"/>
      <color theme="1"/>
      <name val="Calibri"/>
      <family val="2"/>
      <scheme val="minor"/>
    </font>
    <font>
      <sz val="8"/>
      <color theme="1"/>
      <name val="Arial"/>
      <family val="2"/>
    </font>
    <font>
      <sz val="11"/>
      <color theme="1"/>
      <name val="Calibri"/>
      <family val="2"/>
      <scheme val="minor"/>
    </font>
    <font>
      <b/>
      <sz val="11"/>
      <color theme="0"/>
      <name val="Arial"/>
      <family val="2"/>
    </font>
    <font>
      <b/>
      <sz val="8"/>
      <color theme="0"/>
      <name val="Arial"/>
      <family val="2"/>
    </font>
    <font>
      <sz val="12"/>
      <color theme="0"/>
      <name val="Calibri"/>
      <family val="2"/>
      <scheme val="minor"/>
    </font>
    <font>
      <b/>
      <sz val="8"/>
      <color theme="1"/>
      <name val="Arial"/>
      <family val="2"/>
    </font>
    <font>
      <b/>
      <sz val="14"/>
      <color theme="1"/>
      <name val="Arial"/>
      <family val="2"/>
    </font>
    <font>
      <sz val="10"/>
      <name val="Arial"/>
      <family val="2"/>
    </font>
    <font>
      <b/>
      <sz val="20"/>
      <name val="Arial"/>
      <family val="2"/>
    </font>
    <font>
      <b/>
      <sz val="10"/>
      <name val="Arial"/>
      <family val="2"/>
    </font>
    <font>
      <b/>
      <sz val="12"/>
      <name val="Arial"/>
      <family val="2"/>
    </font>
    <font>
      <b/>
      <sz val="14"/>
      <name val="Arial"/>
      <family val="2"/>
    </font>
    <font>
      <sz val="14"/>
      <name val="Arial"/>
      <family val="2"/>
    </font>
    <font>
      <b/>
      <sz val="10"/>
      <color rgb="FFFF0000"/>
      <name val="Arial"/>
      <family val="2"/>
    </font>
    <font>
      <b/>
      <sz val="11"/>
      <color theme="0"/>
      <name val="Arial"/>
      <family val="2"/>
    </font>
    <font>
      <sz val="8"/>
      <name val="Arial"/>
      <family val="2"/>
    </font>
    <font>
      <sz val="10"/>
      <color theme="1"/>
      <name val="Arial"/>
      <family val="2"/>
    </font>
    <font>
      <b/>
      <sz val="10"/>
      <color theme="0"/>
      <name val="Arial"/>
      <family val="2"/>
    </font>
    <font>
      <sz val="11"/>
      <name val="Arial"/>
      <family val="2"/>
    </font>
    <font>
      <b/>
      <sz val="12"/>
      <name val="Arial"/>
      <family val="2"/>
    </font>
    <font>
      <b/>
      <sz val="11"/>
      <color theme="0"/>
      <name val="Arial"/>
      <family val="2"/>
    </font>
    <font>
      <b/>
      <sz val="11"/>
      <color rgb="FFFF0000"/>
      <name val="Calibri"/>
      <family val="2"/>
      <scheme val="minor"/>
    </font>
    <font>
      <i/>
      <sz val="10"/>
      <name val="Arial"/>
      <family val="2"/>
    </font>
    <font>
      <b/>
      <sz val="20"/>
      <name val="Arial"/>
      <family val="2"/>
    </font>
    <font>
      <sz val="11"/>
      <color theme="1"/>
      <name val="Arial"/>
      <family val="2"/>
    </font>
    <font>
      <b/>
      <sz val="12"/>
      <name val="Arial"/>
      <family val="2"/>
    </font>
    <font>
      <b/>
      <sz val="14"/>
      <name val="Calibri"/>
      <family val="2"/>
      <scheme val="minor"/>
    </font>
    <font>
      <b/>
      <sz val="18"/>
      <name val="Calibri"/>
      <family val="2"/>
      <scheme val="minor"/>
    </font>
    <font>
      <b/>
      <sz val="10"/>
      <name val="Calibri"/>
      <family val="2"/>
      <scheme val="minor"/>
    </font>
    <font>
      <b/>
      <sz val="11"/>
      <color theme="1"/>
      <name val="Calibri"/>
      <family val="2"/>
      <scheme val="minor"/>
    </font>
    <font>
      <b/>
      <sz val="11"/>
      <color theme="0" tint="-0.499984740745262"/>
      <name val="Calibri"/>
      <family val="2"/>
      <scheme val="minor"/>
    </font>
    <font>
      <sz val="11"/>
      <color theme="1"/>
      <name val="Calibri"/>
      <family val="2"/>
      <scheme val="minor"/>
    </font>
    <font>
      <b/>
      <sz val="8"/>
      <color theme="1"/>
      <name val="Calibri"/>
      <family val="2"/>
      <scheme val="minor"/>
    </font>
    <font>
      <b/>
      <sz val="8"/>
      <color theme="0" tint="-0.499984740745262"/>
      <name val="Calibri"/>
      <family val="2"/>
      <scheme val="minor"/>
    </font>
    <font>
      <b/>
      <sz val="10"/>
      <color theme="1"/>
      <name val="Calibri"/>
      <family val="2"/>
      <scheme val="minor"/>
    </font>
    <font>
      <b/>
      <u/>
      <sz val="11"/>
      <color theme="1"/>
      <name val="Calibri"/>
      <family val="2"/>
      <scheme val="minor"/>
    </font>
    <font>
      <sz val="11"/>
      <color theme="0" tint="-0.499984740745262"/>
      <name val="Calibri"/>
      <family val="2"/>
      <scheme val="minor"/>
    </font>
    <font>
      <b/>
      <sz val="16"/>
      <color rgb="FF002B5C"/>
      <name val="Calibri"/>
      <family val="2"/>
      <scheme val="minor"/>
    </font>
    <font>
      <b/>
      <sz val="11"/>
      <color theme="1"/>
      <name val="Arial"/>
      <family val="2"/>
    </font>
    <font>
      <sz val="9"/>
      <color theme="1"/>
      <name val="Arial"/>
      <family val="2"/>
    </font>
    <font>
      <b/>
      <sz val="9"/>
      <color theme="1"/>
      <name val="Arial"/>
      <family val="2"/>
    </font>
    <font>
      <sz val="12"/>
      <color theme="1"/>
      <name val="Calibri"/>
      <family val="2"/>
      <scheme val="minor"/>
    </font>
    <font>
      <b/>
      <sz val="14"/>
      <name val="Arial"/>
      <family val="2"/>
    </font>
    <font>
      <b/>
      <sz val="8"/>
      <name val="Arial"/>
      <family val="2"/>
    </font>
    <font>
      <sz val="8"/>
      <color theme="1"/>
      <name val="Calibri"/>
      <family val="2"/>
      <scheme val="minor"/>
    </font>
    <font>
      <sz val="11"/>
      <color theme="1"/>
      <name val="Calibri"/>
      <family val="2"/>
      <scheme val="minor"/>
    </font>
    <font>
      <sz val="8"/>
      <color theme="1"/>
      <name val="Arial"/>
      <family val="2"/>
    </font>
    <font>
      <b/>
      <sz val="8"/>
      <color theme="0"/>
      <name val="Arial"/>
      <family val="2"/>
    </font>
    <font>
      <sz val="12"/>
      <color theme="0"/>
      <name val="Calibri"/>
      <family val="2"/>
      <scheme val="minor"/>
    </font>
    <font>
      <sz val="10"/>
      <name val="Arial"/>
      <family val="2"/>
    </font>
    <font>
      <b/>
      <sz val="10"/>
      <name val="Arial"/>
      <family val="2"/>
    </font>
    <font>
      <b/>
      <sz val="12"/>
      <name val="Arial"/>
      <family val="2"/>
    </font>
    <font>
      <sz val="14"/>
      <name val="Arial"/>
      <family val="2"/>
    </font>
    <font>
      <b/>
      <sz val="14"/>
      <name val="Arial"/>
      <family val="2"/>
    </font>
    <font>
      <sz val="10"/>
      <color rgb="FFFF0000"/>
      <name val="Arial"/>
      <family val="2"/>
    </font>
    <font>
      <b/>
      <sz val="20"/>
      <name val="Arial"/>
      <family val="2"/>
    </font>
    <font>
      <sz val="9"/>
      <name val="Arial"/>
      <family val="2"/>
    </font>
    <font>
      <sz val="12"/>
      <name val="Arial"/>
      <family val="2"/>
    </font>
    <font>
      <i/>
      <sz val="12"/>
      <name val="Arial"/>
      <family val="2"/>
    </font>
    <font>
      <sz val="11"/>
      <name val="Arial"/>
      <family val="2"/>
    </font>
    <font>
      <sz val="9"/>
      <color theme="0"/>
      <name val="Arial"/>
      <family val="2"/>
    </font>
    <font>
      <b/>
      <sz val="14"/>
      <color theme="0"/>
      <name val="Arial"/>
      <family val="2"/>
    </font>
    <font>
      <sz val="14"/>
      <color theme="0"/>
      <name val="Arial"/>
      <family val="2"/>
    </font>
    <font>
      <b/>
      <sz val="11"/>
      <name val="Arial"/>
      <family val="2"/>
    </font>
    <font>
      <b/>
      <sz val="11"/>
      <color theme="0"/>
      <name val="Arial"/>
      <family val="2"/>
    </font>
    <font>
      <sz val="12"/>
      <color theme="1"/>
      <name val="Arial"/>
      <family val="2"/>
    </font>
    <font>
      <i/>
      <sz val="12"/>
      <color rgb="FFFF0000"/>
      <name val="Arial"/>
      <family val="2"/>
    </font>
    <font>
      <b/>
      <sz val="10"/>
      <color theme="0"/>
      <name val="Arial"/>
      <family val="2"/>
    </font>
    <font>
      <sz val="10"/>
      <color theme="1"/>
      <name val="Arial"/>
      <family val="2"/>
    </font>
    <font>
      <sz val="11"/>
      <color theme="0"/>
      <name val="Calibri"/>
      <family val="2"/>
      <scheme val="minor"/>
    </font>
    <font>
      <sz val="11"/>
      <color theme="0" tint="-4.9989318521683403E-2"/>
      <name val="Calibri"/>
      <family val="2"/>
      <scheme val="minor"/>
    </font>
    <font>
      <b/>
      <sz val="11"/>
      <color theme="1" tint="0.499984740745262"/>
      <name val="Calibri"/>
      <family val="2"/>
      <scheme val="minor"/>
    </font>
    <font>
      <sz val="11"/>
      <color theme="1" tint="0.499984740745262"/>
      <name val="Calibri"/>
      <family val="2"/>
      <scheme val="minor"/>
    </font>
    <font>
      <u/>
      <sz val="11"/>
      <color theme="10"/>
      <name val="Calibri"/>
      <family val="2"/>
      <scheme val="minor"/>
    </font>
  </fonts>
  <fills count="37">
    <fill>
      <patternFill patternType="none"/>
    </fill>
    <fill>
      <patternFill patternType="gray125"/>
    </fill>
    <fill>
      <patternFill patternType="solid">
        <fgColor theme="0" tint="-0.14999847407452621"/>
        <bgColor indexed="64"/>
      </patternFill>
    </fill>
    <fill>
      <patternFill patternType="solid">
        <fgColor rgb="FF00B050"/>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3"/>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3" tint="0.39997558519241921"/>
        <bgColor indexed="64"/>
      </patternFill>
    </fill>
    <fill>
      <patternFill patternType="solid">
        <fgColor indexed="4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rgb="FFFFC000"/>
        <bgColor indexed="64"/>
      </patternFill>
    </fill>
    <fill>
      <patternFill patternType="solid">
        <fgColor rgb="FF0F243E"/>
        <bgColor indexed="64"/>
      </patternFill>
    </fill>
    <fill>
      <patternFill patternType="solid">
        <fgColor rgb="FF00FF00"/>
        <bgColor indexed="64"/>
      </patternFill>
    </fill>
    <fill>
      <patternFill patternType="solid">
        <fgColor theme="6" tint="0.39997558519241921"/>
        <bgColor indexed="64"/>
      </patternFill>
    </fill>
    <fill>
      <patternFill patternType="solid">
        <fgColor theme="3" tint="-0.499984740745262"/>
        <bgColor indexed="64"/>
      </patternFill>
    </fill>
    <fill>
      <patternFill patternType="solid">
        <fgColor rgb="FFF75309"/>
        <bgColor indexed="64"/>
      </patternFill>
    </fill>
    <fill>
      <patternFill patternType="solid">
        <fgColor theme="9" tint="-0.499984740745262"/>
        <bgColor indexed="64"/>
      </patternFill>
    </fill>
    <fill>
      <patternFill patternType="solid">
        <fgColor theme="0"/>
        <bgColor indexed="64"/>
      </patternFill>
    </fill>
    <fill>
      <patternFill patternType="solid">
        <fgColor rgb="FFF7FE9C"/>
        <bgColor indexed="64"/>
      </patternFill>
    </fill>
    <fill>
      <patternFill patternType="solid">
        <fgColor theme="7" tint="0.39997558519241921"/>
        <bgColor indexed="64"/>
      </patternFill>
    </fill>
    <fill>
      <patternFill patternType="solid">
        <fgColor theme="6"/>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tint="-0.14996795556505021"/>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diagonal/>
    </border>
    <border>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top style="thin">
        <color indexed="64"/>
      </top>
      <bottom style="double">
        <color indexed="64"/>
      </bottom>
      <diagonal/>
    </border>
    <border>
      <left style="medium">
        <color indexed="64"/>
      </left>
      <right/>
      <top/>
      <bottom style="thin">
        <color indexed="64"/>
      </bottom>
      <diagonal/>
    </border>
    <border>
      <left/>
      <right style="medium">
        <color indexed="64"/>
      </right>
      <top style="thin">
        <color indexed="64"/>
      </top>
      <bottom/>
      <diagonal/>
    </border>
    <border>
      <left/>
      <right style="medium">
        <color indexed="64"/>
      </right>
      <top style="thin">
        <color indexed="64"/>
      </top>
      <bottom style="double">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thin">
        <color indexed="64"/>
      </left>
      <right style="medium">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double">
        <color indexed="64"/>
      </top>
      <bottom style="double">
        <color indexed="64"/>
      </bottom>
      <diagonal/>
    </border>
    <border>
      <left/>
      <right style="medium">
        <color indexed="64"/>
      </right>
      <top/>
      <bottom style="medium">
        <color indexed="64"/>
      </bottom>
      <diagonal/>
    </border>
    <border>
      <left style="medium">
        <color indexed="64"/>
      </left>
      <right style="medium">
        <color indexed="64"/>
      </right>
      <top style="double">
        <color indexed="64"/>
      </top>
      <bottom style="double">
        <color indexed="64"/>
      </bottom>
      <diagonal/>
    </border>
    <border>
      <left style="thin">
        <color indexed="64"/>
      </left>
      <right/>
      <top style="medium">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top style="thin">
        <color indexed="64"/>
      </top>
      <bottom style="thin">
        <color indexed="64"/>
      </bottom>
      <diagonal/>
    </border>
    <border>
      <left style="thin">
        <color indexed="64"/>
      </left>
      <right style="thin">
        <color indexed="64"/>
      </right>
      <top/>
      <bottom style="medium">
        <color indexed="64"/>
      </bottom>
      <diagonal/>
    </border>
  </borders>
  <cellStyleXfs count="132">
    <xf numFmtId="0" fontId="0" fillId="0" borderId="0"/>
    <xf numFmtId="43" fontId="3" fillId="0" borderId="0" applyFont="0" applyFill="0" applyBorder="0" applyAlignment="0" applyProtection="0"/>
    <xf numFmtId="44" fontId="3" fillId="0" borderId="0" applyFont="0" applyFill="0" applyBorder="0" applyAlignment="0" applyProtection="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9" fontId="6" fillId="0" borderId="0" applyFont="0" applyFill="0" applyBorder="0" applyAlignment="0" applyProtection="0"/>
    <xf numFmtId="37" fontId="6" fillId="17" borderId="1" applyFill="0" applyBorder="0"/>
    <xf numFmtId="37" fontId="6" fillId="17" borderId="1" applyFill="0" applyBorder="0"/>
    <xf numFmtId="37" fontId="6" fillId="17" borderId="1" applyFill="0" applyBorder="0"/>
    <xf numFmtId="170" fontId="6" fillId="0" borderId="0" applyFill="0" applyBorder="0"/>
    <xf numFmtId="170" fontId="6" fillId="0" borderId="0" applyFill="0" applyBorder="0"/>
    <xf numFmtId="170" fontId="6" fillId="0" borderId="0" applyFill="0" applyBorder="0"/>
    <xf numFmtId="39" fontId="6" fillId="0" borderId="0" applyFill="0" applyBorder="0"/>
    <xf numFmtId="39" fontId="6" fillId="0" borderId="0" applyFill="0" applyBorder="0"/>
    <xf numFmtId="39" fontId="6" fillId="0" borderId="0" applyFill="0" applyBorder="0"/>
    <xf numFmtId="171" fontId="6" fillId="0" borderId="0" applyFill="0" applyBorder="0"/>
    <xf numFmtId="171" fontId="6" fillId="0" borderId="0" applyFill="0" applyBorder="0"/>
    <xf numFmtId="171" fontId="6" fillId="0" borderId="0" applyFill="0" applyBorder="0"/>
    <xf numFmtId="172" fontId="6" fillId="0" borderId="0" applyFill="0" applyBorder="0"/>
    <xf numFmtId="173" fontId="6" fillId="0" borderId="0" applyFill="0" applyBorder="0"/>
    <xf numFmtId="173" fontId="6" fillId="0" borderId="0" applyFill="0" applyBorder="0"/>
    <xf numFmtId="173" fontId="6" fillId="0" borderId="0" applyFill="0" applyBorder="0"/>
    <xf numFmtId="174" fontId="6" fillId="0" borderId="0" applyFill="0" applyBorder="0"/>
    <xf numFmtId="175" fontId="6" fillId="0" borderId="0" applyFill="0" applyBorder="0"/>
    <xf numFmtId="176" fontId="6" fillId="0" borderId="0" applyFill="0" applyBorder="0"/>
    <xf numFmtId="177" fontId="6" fillId="0" borderId="8" applyFill="0" applyBorder="0"/>
    <xf numFmtId="177" fontId="6" fillId="0" borderId="8" applyFill="0" applyBorder="0"/>
    <xf numFmtId="177" fontId="6" fillId="0" borderId="8" applyFill="0" applyBorder="0"/>
    <xf numFmtId="9" fontId="6" fillId="0" borderId="0" applyFill="0" applyBorder="0"/>
    <xf numFmtId="9" fontId="6" fillId="0" borderId="0" applyFill="0" applyBorder="0"/>
    <xf numFmtId="9" fontId="6" fillId="0" borderId="0" applyFill="0" applyBorder="0"/>
    <xf numFmtId="178" fontId="14" fillId="0" borderId="0" applyFill="0" applyBorder="0"/>
    <xf numFmtId="178" fontId="14" fillId="0" borderId="0" applyFill="0" applyBorder="0"/>
    <xf numFmtId="178" fontId="14" fillId="0" borderId="0" applyFill="0" applyBorder="0"/>
    <xf numFmtId="10" fontId="6" fillId="0" borderId="0" applyFill="0" applyBorder="0"/>
    <xf numFmtId="10" fontId="6" fillId="0" borderId="0" applyFill="0" applyBorder="0"/>
    <xf numFmtId="10" fontId="6" fillId="0" borderId="0" applyFill="0" applyBorder="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0" fontId="11" fillId="0" borderId="0" applyFill="0" applyBorder="0"/>
    <xf numFmtId="0" fontId="8" fillId="0" borderId="0" applyFill="0" applyBorder="0"/>
    <xf numFmtId="0" fontId="8" fillId="0" borderId="0" applyFill="0" applyBorder="0"/>
    <xf numFmtId="0" fontId="8" fillId="0" borderId="0" applyFill="0" applyBorder="0"/>
    <xf numFmtId="179" fontId="7" fillId="0" borderId="0" applyFill="0" applyBorder="0"/>
    <xf numFmtId="180" fontId="7" fillId="0" borderId="9" applyFill="0" applyBorder="0"/>
    <xf numFmtId="17" fontId="6" fillId="0" borderId="0" applyFill="0" applyBorder="0">
      <alignment horizontal="center"/>
    </xf>
    <xf numFmtId="37" fontId="15" fillId="0" borderId="0" applyFill="0" applyBorder="0">
      <protection locked="0"/>
    </xf>
    <xf numFmtId="37" fontId="15" fillId="0" borderId="0" applyFill="0" applyBorder="0">
      <protection locked="0"/>
    </xf>
    <xf numFmtId="37" fontId="15" fillId="0" borderId="0" applyFill="0" applyBorder="0">
      <protection locked="0"/>
    </xf>
    <xf numFmtId="170" fontId="15" fillId="0" borderId="0" applyFill="0" applyBorder="0">
      <protection locked="0"/>
    </xf>
    <xf numFmtId="170" fontId="15" fillId="0" borderId="0" applyFill="0" applyBorder="0">
      <protection locked="0"/>
    </xf>
    <xf numFmtId="170" fontId="15" fillId="0" borderId="0" applyFill="0" applyBorder="0">
      <protection locked="0"/>
    </xf>
    <xf numFmtId="39" fontId="15" fillId="0" borderId="0" applyFill="0" applyBorder="0">
      <protection locked="0"/>
    </xf>
    <xf numFmtId="39" fontId="15" fillId="0" borderId="0" applyFill="0" applyBorder="0">
      <protection locked="0"/>
    </xf>
    <xf numFmtId="39" fontId="15" fillId="0" borderId="0" applyFill="0" applyBorder="0">
      <protection locked="0"/>
    </xf>
    <xf numFmtId="171" fontId="15" fillId="0" borderId="0" applyFill="0" applyBorder="0">
      <protection locked="0"/>
    </xf>
    <xf numFmtId="171" fontId="15" fillId="0" borderId="0" applyFill="0" applyBorder="0">
      <protection locked="0"/>
    </xf>
    <xf numFmtId="171" fontId="15" fillId="0" borderId="0" applyFill="0" applyBorder="0">
      <protection locked="0"/>
    </xf>
    <xf numFmtId="172" fontId="6" fillId="0" borderId="0" applyFill="0" applyBorder="0">
      <protection locked="0"/>
    </xf>
    <xf numFmtId="173" fontId="15" fillId="0" borderId="0" applyFill="0" applyBorder="0">
      <protection locked="0"/>
    </xf>
    <xf numFmtId="173" fontId="15" fillId="0" borderId="0" applyFill="0" applyBorder="0">
      <protection locked="0"/>
    </xf>
    <xf numFmtId="173" fontId="15" fillId="0" borderId="0" applyFill="0" applyBorder="0">
      <protection locked="0"/>
    </xf>
    <xf numFmtId="174" fontId="15" fillId="0" borderId="0" applyFill="0" applyBorder="0">
      <protection locked="0"/>
    </xf>
    <xf numFmtId="174" fontId="15" fillId="0" borderId="0" applyFill="0" applyBorder="0">
      <protection locked="0"/>
    </xf>
    <xf numFmtId="174" fontId="15" fillId="0" borderId="0" applyFill="0" applyBorder="0">
      <protection locked="0"/>
    </xf>
    <xf numFmtId="175" fontId="15" fillId="0" borderId="0" applyFill="0" applyBorder="0">
      <protection locked="0"/>
    </xf>
    <xf numFmtId="175" fontId="15" fillId="0" borderId="0" applyFill="0" applyBorder="0">
      <protection locked="0"/>
    </xf>
    <xf numFmtId="175" fontId="15" fillId="0" borderId="0" applyFill="0" applyBorder="0">
      <protection locked="0"/>
    </xf>
    <xf numFmtId="176" fontId="6" fillId="0" borderId="0" applyFill="0" applyBorder="0">
      <protection locked="0"/>
    </xf>
    <xf numFmtId="177" fontId="6" fillId="0" borderId="0" applyFill="0" applyBorder="0">
      <protection locked="0"/>
    </xf>
    <xf numFmtId="9" fontId="15" fillId="0" borderId="0" applyFill="0" applyBorder="0">
      <protection locked="0"/>
    </xf>
    <xf numFmtId="9" fontId="15" fillId="0" borderId="0" applyFill="0" applyBorder="0">
      <protection locked="0"/>
    </xf>
    <xf numFmtId="9" fontId="15" fillId="0" borderId="0" applyFill="0" applyBorder="0">
      <protection locked="0"/>
    </xf>
    <xf numFmtId="178" fontId="15" fillId="0" borderId="0" applyFill="0" applyBorder="0">
      <protection locked="0"/>
    </xf>
    <xf numFmtId="178" fontId="15" fillId="0" borderId="0" applyFill="0" applyBorder="0">
      <protection locked="0"/>
    </xf>
    <xf numFmtId="178" fontId="15" fillId="0" borderId="0" applyFill="0" applyBorder="0">
      <protection locked="0"/>
    </xf>
    <xf numFmtId="10" fontId="15" fillId="0" borderId="0" applyFill="0" applyBorder="0">
      <protection locked="0"/>
    </xf>
    <xf numFmtId="10" fontId="15" fillId="0" borderId="0" applyFill="0" applyBorder="0">
      <protection locked="0"/>
    </xf>
    <xf numFmtId="10" fontId="15" fillId="0" borderId="0" applyFill="0" applyBorder="0">
      <protection locked="0"/>
    </xf>
    <xf numFmtId="49" fontId="15" fillId="0" borderId="10" applyFill="0" applyBorder="0">
      <protection locked="0"/>
    </xf>
    <xf numFmtId="49" fontId="15" fillId="0" borderId="10" applyFill="0" applyBorder="0">
      <protection locked="0"/>
    </xf>
    <xf numFmtId="49" fontId="15" fillId="0" borderId="10" applyFill="0" applyBorder="0">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alignment horizontal="left"/>
    </xf>
    <xf numFmtId="49" fontId="6" fillId="0" borderId="9" applyFill="0" applyBorder="0"/>
    <xf numFmtId="179" fontId="6" fillId="0" borderId="0" applyFill="0" applyBorder="0"/>
    <xf numFmtId="180" fontId="6" fillId="0" borderId="0" applyFill="0" applyBorder="0"/>
    <xf numFmtId="181" fontId="6" fillId="0" borderId="9" applyFill="0" applyBorder="0"/>
    <xf numFmtId="0" fontId="17" fillId="0" borderId="0"/>
    <xf numFmtId="164" fontId="6" fillId="0" borderId="0" applyFont="0" applyFill="0" applyBorder="0" applyAlignment="0" applyProtection="0"/>
    <xf numFmtId="0" fontId="3" fillId="0" borderId="0"/>
    <xf numFmtId="0" fontId="3"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0" fontId="100" fillId="0" borderId="0" applyNumberFormat="0" applyFill="0" applyBorder="0" applyAlignment="0" applyProtection="0"/>
  </cellStyleXfs>
  <cellXfs count="725">
    <xf numFmtId="0" fontId="0" fillId="0" borderId="0" xfId="0"/>
    <xf numFmtId="0" fontId="1" fillId="0" borderId="0" xfId="0" applyFont="1" applyAlignment="1">
      <alignment vertical="center"/>
    </xf>
    <xf numFmtId="0" fontId="2" fillId="0" borderId="0" xfId="0" applyFont="1" applyAlignment="1">
      <alignment vertical="center"/>
    </xf>
    <xf numFmtId="0" fontId="5" fillId="0" borderId="0" xfId="0" applyFont="1"/>
    <xf numFmtId="0" fontId="6" fillId="0" borderId="0" xfId="0" applyFont="1"/>
    <xf numFmtId="0" fontId="6" fillId="0" borderId="0" xfId="0" applyFont="1" applyAlignment="1">
      <alignment vertical="center"/>
    </xf>
    <xf numFmtId="0" fontId="8" fillId="0" borderId="0" xfId="0" applyFont="1"/>
    <xf numFmtId="167" fontId="8" fillId="0" borderId="0" xfId="0" applyNumberFormat="1" applyFont="1" applyAlignment="1">
      <alignment horizontal="left"/>
    </xf>
    <xf numFmtId="0" fontId="6" fillId="0" borderId="1" xfId="0" applyFont="1" applyBorder="1" applyAlignment="1">
      <alignment horizontal="center" vertical="center" wrapText="1"/>
    </xf>
    <xf numFmtId="0" fontId="6" fillId="0" borderId="1" xfId="0" applyFont="1" applyBorder="1" applyAlignment="1">
      <alignment vertical="center" wrapText="1"/>
    </xf>
    <xf numFmtId="168" fontId="6" fillId="0" borderId="1" xfId="0" applyNumberFormat="1" applyFont="1" applyBorder="1" applyAlignment="1">
      <alignment horizontal="center" vertical="center" wrapText="1"/>
    </xf>
    <xf numFmtId="0" fontId="12" fillId="0" borderId="0" xfId="0" applyFont="1"/>
    <xf numFmtId="0" fontId="7" fillId="2" borderId="1" xfId="0" applyFont="1" applyFill="1" applyBorder="1" applyAlignment="1">
      <alignment horizontal="center" vertical="center" wrapText="1"/>
    </xf>
    <xf numFmtId="0" fontId="7" fillId="9"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0" fontId="6" fillId="0" borderId="1" xfId="1" applyNumberFormat="1" applyFont="1" applyFill="1" applyBorder="1" applyAlignment="1">
      <alignment horizontal="center" vertical="center" wrapText="1"/>
    </xf>
    <xf numFmtId="43" fontId="6" fillId="0" borderId="1" xfId="1" applyFont="1" applyFill="1" applyBorder="1" applyAlignment="1">
      <alignment horizontal="left" vertical="center" wrapText="1"/>
    </xf>
    <xf numFmtId="0" fontId="13" fillId="0" borderId="0" xfId="0" applyFont="1"/>
    <xf numFmtId="0" fontId="7" fillId="12" borderId="1" xfId="0" applyFont="1" applyFill="1" applyBorder="1" applyAlignment="1">
      <alignment horizontal="center" vertical="center" wrapText="1"/>
    </xf>
    <xf numFmtId="44" fontId="6" fillId="0" borderId="1" xfId="2" applyFont="1" applyFill="1" applyBorder="1" applyAlignment="1">
      <alignment horizontal="center" vertical="center" wrapText="1"/>
    </xf>
    <xf numFmtId="0" fontId="10" fillId="0" borderId="1" xfId="0" applyFont="1" applyBorder="1" applyAlignment="1">
      <alignment vertical="center" wrapText="1"/>
    </xf>
    <xf numFmtId="0" fontId="10" fillId="0" borderId="1" xfId="0" applyFont="1" applyBorder="1" applyAlignment="1">
      <alignment horizontal="center" vertical="center" wrapText="1"/>
    </xf>
    <xf numFmtId="167" fontId="8" fillId="0" borderId="0" xfId="0" applyNumberFormat="1" applyFont="1"/>
    <xf numFmtId="168" fontId="10" fillId="0" borderId="1" xfId="0" applyNumberFormat="1" applyFont="1" applyBorder="1" applyAlignment="1">
      <alignment horizontal="center" vertical="center" wrapText="1"/>
    </xf>
    <xf numFmtId="43" fontId="7" fillId="0" borderId="1" xfId="1" applyFont="1" applyFill="1" applyBorder="1" applyAlignment="1">
      <alignment horizontal="left" vertical="center" wrapText="1"/>
    </xf>
    <xf numFmtId="0" fontId="0" fillId="0" borderId="0" xfId="0" applyAlignment="1">
      <alignment wrapText="1"/>
    </xf>
    <xf numFmtId="0" fontId="4" fillId="0" borderId="0" xfId="0" applyFont="1" applyAlignment="1">
      <alignment wrapText="1"/>
    </xf>
    <xf numFmtId="0" fontId="1" fillId="0" borderId="0" xfId="0" applyFont="1" applyAlignment="1">
      <alignment vertical="center" wrapText="1"/>
    </xf>
    <xf numFmtId="44" fontId="0" fillId="0" borderId="0" xfId="2" applyFont="1" applyAlignment="1">
      <alignment wrapText="1"/>
    </xf>
    <xf numFmtId="0" fontId="19" fillId="13" borderId="1" xfId="0" applyFont="1" applyFill="1" applyBorder="1" applyAlignment="1">
      <alignment wrapText="1"/>
    </xf>
    <xf numFmtId="44" fontId="19" fillId="13" borderId="1" xfId="2" applyFont="1" applyFill="1" applyBorder="1" applyAlignment="1">
      <alignment wrapText="1"/>
    </xf>
    <xf numFmtId="0" fontId="0" fillId="0" borderId="1" xfId="0" applyBorder="1" applyAlignment="1">
      <alignment wrapText="1"/>
    </xf>
    <xf numFmtId="44" fontId="0" fillId="0" borderId="1" xfId="2" applyFont="1" applyBorder="1" applyAlignment="1">
      <alignment wrapText="1"/>
    </xf>
    <xf numFmtId="44" fontId="0" fillId="0" borderId="0" xfId="2" applyFont="1" applyBorder="1" applyAlignment="1">
      <alignment wrapText="1"/>
    </xf>
    <xf numFmtId="0" fontId="4" fillId="9" borderId="0" xfId="0" applyFont="1" applyFill="1" applyAlignment="1">
      <alignment wrapText="1"/>
    </xf>
    <xf numFmtId="44" fontId="4" fillId="0" borderId="0" xfId="2" applyFont="1" applyAlignment="1">
      <alignment wrapText="1"/>
    </xf>
    <xf numFmtId="44" fontId="4" fillId="0" borderId="0" xfId="0" applyNumberFormat="1" applyFont="1" applyAlignment="1">
      <alignment wrapText="1"/>
    </xf>
    <xf numFmtId="14" fontId="0" fillId="0" borderId="1" xfId="0" applyNumberFormat="1" applyBorder="1" applyAlignment="1">
      <alignment wrapText="1"/>
    </xf>
    <xf numFmtId="14" fontId="0" fillId="0" borderId="1" xfId="2" applyNumberFormat="1" applyFont="1" applyBorder="1" applyAlignment="1">
      <alignment wrapText="1"/>
    </xf>
    <xf numFmtId="14" fontId="0" fillId="0" borderId="1" xfId="2" applyNumberFormat="1" applyFont="1" applyBorder="1" applyAlignment="1">
      <alignment horizontal="left" wrapText="1"/>
    </xf>
    <xf numFmtId="0" fontId="4" fillId="0" borderId="1" xfId="0" applyFont="1" applyBorder="1" applyAlignment="1">
      <alignment wrapText="1"/>
    </xf>
    <xf numFmtId="0" fontId="0" fillId="0" borderId="0" xfId="0" applyAlignment="1">
      <alignment horizontal="center" wrapText="1"/>
    </xf>
    <xf numFmtId="0" fontId="0" fillId="0" borderId="1" xfId="0" applyBorder="1" applyAlignment="1">
      <alignment horizontal="center" wrapText="1"/>
    </xf>
    <xf numFmtId="0" fontId="4" fillId="0" borderId="1" xfId="0" applyFont="1" applyBorder="1" applyAlignment="1">
      <alignment horizontal="center" wrapText="1"/>
    </xf>
    <xf numFmtId="0" fontId="4" fillId="9" borderId="1" xfId="0" applyFont="1" applyFill="1" applyBorder="1" applyAlignment="1">
      <alignment wrapText="1"/>
    </xf>
    <xf numFmtId="44" fontId="3" fillId="0" borderId="0" xfId="2" applyFont="1"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Alignment="1">
      <alignment vertical="center" wrapText="1"/>
    </xf>
    <xf numFmtId="169" fontId="0" fillId="0" borderId="0" xfId="0" applyNumberFormat="1" applyAlignment="1">
      <alignment vertical="center"/>
    </xf>
    <xf numFmtId="169" fontId="0" fillId="0" borderId="0" xfId="0" applyNumberFormat="1" applyAlignment="1">
      <alignment vertical="center" wrapText="1"/>
    </xf>
    <xf numFmtId="0" fontId="4" fillId="0" borderId="1" xfId="0" applyFont="1" applyBorder="1" applyAlignment="1">
      <alignment vertical="center" wrapText="1"/>
    </xf>
    <xf numFmtId="0" fontId="0" fillId="0" borderId="1" xfId="0" applyBorder="1" applyAlignment="1">
      <alignment vertical="center" wrapText="1"/>
    </xf>
    <xf numFmtId="14" fontId="0" fillId="0" borderId="1" xfId="0" applyNumberFormat="1" applyBorder="1" applyAlignment="1">
      <alignment vertical="center" wrapText="1"/>
    </xf>
    <xf numFmtId="169" fontId="0" fillId="0" borderId="1" xfId="2" applyNumberFormat="1" applyFont="1" applyBorder="1" applyAlignment="1">
      <alignment vertical="center" wrapText="1"/>
    </xf>
    <xf numFmtId="169" fontId="0" fillId="0" borderId="1" xfId="0" applyNumberFormat="1" applyBorder="1" applyAlignment="1">
      <alignment vertical="center" wrapText="1"/>
    </xf>
    <xf numFmtId="14" fontId="0" fillId="0" borderId="1" xfId="0" applyNumberFormat="1" applyBorder="1" applyAlignment="1">
      <alignment horizontal="center" vertical="center" wrapText="1"/>
    </xf>
    <xf numFmtId="0" fontId="0" fillId="0" borderId="1" xfId="0" applyBorder="1" applyAlignment="1">
      <alignment horizontal="center" vertical="center" wrapText="1"/>
    </xf>
    <xf numFmtId="169" fontId="4" fillId="0" borderId="1" xfId="0" applyNumberFormat="1" applyFont="1" applyBorder="1" applyAlignment="1">
      <alignment vertical="center"/>
    </xf>
    <xf numFmtId="0" fontId="23" fillId="0" borderId="0" xfId="0" applyFont="1" applyAlignment="1">
      <alignment horizontal="left"/>
    </xf>
    <xf numFmtId="0" fontId="24" fillId="0" borderId="0" xfId="0" applyFont="1" applyAlignment="1">
      <alignment horizontal="center"/>
    </xf>
    <xf numFmtId="0" fontId="24" fillId="0" borderId="0" xfId="0" applyFont="1" applyAlignment="1">
      <alignment horizontal="left"/>
    </xf>
    <xf numFmtId="0" fontId="25" fillId="0" borderId="0" xfId="0" applyFont="1"/>
    <xf numFmtId="0" fontId="25" fillId="0" borderId="0" xfId="0" applyFont="1" applyAlignment="1">
      <alignment horizontal="left"/>
    </xf>
    <xf numFmtId="0" fontId="26" fillId="0" borderId="0" xfId="0" applyFont="1"/>
    <xf numFmtId="0" fontId="27" fillId="0" borderId="0" xfId="0" applyFont="1" applyAlignment="1">
      <alignment vertical="center"/>
    </xf>
    <xf numFmtId="167" fontId="24" fillId="0" borderId="0" xfId="0" applyNumberFormat="1" applyFont="1"/>
    <xf numFmtId="0" fontId="27" fillId="0" borderId="0" xfId="0" applyFont="1" applyAlignment="1">
      <alignment horizontal="center" vertical="center"/>
    </xf>
    <xf numFmtId="0" fontId="28" fillId="0" borderId="0" xfId="0" applyFont="1"/>
    <xf numFmtId="0" fontId="29" fillId="22" borderId="1" xfId="0" applyFont="1" applyFill="1" applyBorder="1" applyAlignment="1">
      <alignment vertical="center" wrapText="1"/>
    </xf>
    <xf numFmtId="0" fontId="30" fillId="22" borderId="0" xfId="0" applyFont="1" applyFill="1" applyAlignment="1">
      <alignment horizontal="left" vertical="center" wrapText="1"/>
    </xf>
    <xf numFmtId="0" fontId="31" fillId="0" borderId="0" xfId="0" applyFont="1"/>
    <xf numFmtId="0" fontId="27" fillId="0" borderId="1" xfId="0" applyFont="1" applyBorder="1" applyAlignment="1">
      <alignment vertical="center" wrapText="1"/>
    </xf>
    <xf numFmtId="0" fontId="27" fillId="0" borderId="1" xfId="0" applyFont="1" applyBorder="1" applyAlignment="1">
      <alignment horizontal="center" vertical="center" wrapText="1"/>
    </xf>
    <xf numFmtId="2" fontId="27" fillId="0" borderId="1" xfId="0" applyNumberFormat="1" applyFont="1" applyBorder="1" applyAlignment="1">
      <alignment horizontal="center" vertical="center" wrapText="1"/>
    </xf>
    <xf numFmtId="1" fontId="27" fillId="0" borderId="1" xfId="0" applyNumberFormat="1" applyFont="1" applyBorder="1" applyAlignment="1">
      <alignment horizontal="center" vertical="center" wrapText="1"/>
    </xf>
    <xf numFmtId="8" fontId="27" fillId="0" borderId="1" xfId="0" applyNumberFormat="1" applyFont="1" applyBorder="1" applyAlignment="1">
      <alignment horizontal="center" vertical="center" wrapText="1"/>
    </xf>
    <xf numFmtId="0" fontId="27" fillId="23" borderId="24" xfId="0" applyFont="1" applyFill="1" applyBorder="1" applyAlignment="1">
      <alignment horizontal="left" vertical="center" wrapText="1"/>
    </xf>
    <xf numFmtId="0" fontId="27" fillId="0" borderId="1" xfId="0" applyFont="1" applyBorder="1" applyAlignment="1">
      <alignment horizontal="left" vertical="center" wrapText="1"/>
    </xf>
    <xf numFmtId="14" fontId="32" fillId="0" borderId="1" xfId="0" applyNumberFormat="1" applyFont="1" applyBorder="1" applyAlignment="1">
      <alignment horizontal="left" vertical="center" wrapText="1"/>
    </xf>
    <xf numFmtId="14" fontId="33" fillId="0" borderId="1" xfId="0" applyNumberFormat="1" applyFont="1" applyBorder="1" applyAlignment="1">
      <alignment horizontal="left" vertical="center" wrapText="1"/>
    </xf>
    <xf numFmtId="0" fontId="27" fillId="20" borderId="24" xfId="0" applyFont="1" applyFill="1" applyBorder="1" applyAlignment="1">
      <alignment horizontal="left" vertical="center" wrapText="1"/>
    </xf>
    <xf numFmtId="0" fontId="27" fillId="0" borderId="2" xfId="0" applyFont="1" applyBorder="1" applyAlignment="1">
      <alignment horizontal="left" vertical="center" wrapText="1"/>
    </xf>
    <xf numFmtId="0" fontId="27" fillId="0" borderId="3" xfId="0" applyFont="1" applyBorder="1" applyAlignment="1">
      <alignment horizontal="left" vertical="center" wrapText="1"/>
    </xf>
    <xf numFmtId="0" fontId="28" fillId="0" borderId="0" xfId="0" applyFont="1" applyAlignment="1">
      <alignment horizontal="center"/>
    </xf>
    <xf numFmtId="0" fontId="28" fillId="0" borderId="0" xfId="0" applyFont="1" applyAlignment="1">
      <alignment horizontal="left"/>
    </xf>
    <xf numFmtId="0" fontId="34" fillId="0" borderId="0" xfId="0" applyFont="1" applyAlignment="1">
      <alignment vertical="center"/>
    </xf>
    <xf numFmtId="0" fontId="35" fillId="0" borderId="0" xfId="0" applyFont="1"/>
    <xf numFmtId="0" fontId="36" fillId="0" borderId="0" xfId="0" applyFont="1"/>
    <xf numFmtId="0" fontId="34" fillId="0" borderId="0" xfId="0" applyFont="1"/>
    <xf numFmtId="0" fontId="34" fillId="9" borderId="0" xfId="0" applyFont="1" applyFill="1" applyAlignment="1">
      <alignment horizontal="left" vertical="center"/>
    </xf>
    <xf numFmtId="0" fontId="34" fillId="9" borderId="0" xfId="0" applyFont="1" applyFill="1" applyAlignment="1">
      <alignment horizontal="left" vertical="center" wrapText="1"/>
    </xf>
    <xf numFmtId="0" fontId="34" fillId="9" borderId="0" xfId="0" applyFont="1" applyFill="1" applyAlignment="1">
      <alignment horizontal="center" vertical="center"/>
    </xf>
    <xf numFmtId="0" fontId="34" fillId="9" borderId="0" xfId="0" applyFont="1" applyFill="1" applyAlignment="1">
      <alignment vertical="center"/>
    </xf>
    <xf numFmtId="0" fontId="34" fillId="0" borderId="0" xfId="0" applyFont="1" applyAlignment="1">
      <alignment horizontal="center" vertical="center"/>
    </xf>
    <xf numFmtId="166" fontId="34" fillId="0" borderId="0" xfId="0" applyNumberFormat="1" applyFont="1" applyAlignment="1">
      <alignment vertical="center"/>
    </xf>
    <xf numFmtId="166" fontId="34" fillId="0" borderId="0" xfId="0" applyNumberFormat="1" applyFont="1" applyAlignment="1">
      <alignment horizontal="center" vertical="center"/>
    </xf>
    <xf numFmtId="0" fontId="37" fillId="0" borderId="0" xfId="0" applyFont="1"/>
    <xf numFmtId="0" fontId="38" fillId="0" borderId="0" xfId="0" applyFont="1"/>
    <xf numFmtId="0" fontId="39" fillId="0" borderId="0" xfId="0" applyFont="1"/>
    <xf numFmtId="0" fontId="34" fillId="0" borderId="0" xfId="0" applyFont="1" applyAlignment="1">
      <alignment horizontal="left" vertical="center" wrapText="1"/>
    </xf>
    <xf numFmtId="14" fontId="34" fillId="0" borderId="0" xfId="0" applyNumberFormat="1" applyFont="1" applyAlignment="1">
      <alignment vertical="center"/>
    </xf>
    <xf numFmtId="0" fontId="40" fillId="0" borderId="0" xfId="0" applyFont="1" applyAlignment="1">
      <alignment vertical="center"/>
    </xf>
    <xf numFmtId="0" fontId="36" fillId="0" borderId="0" xfId="0" applyFont="1" applyAlignment="1">
      <alignment vertical="center"/>
    </xf>
    <xf numFmtId="167" fontId="37" fillId="0" borderId="0" xfId="0" applyNumberFormat="1" applyFont="1" applyAlignment="1">
      <alignment horizontal="left"/>
    </xf>
    <xf numFmtId="167" fontId="37" fillId="0" borderId="0" xfId="0" applyNumberFormat="1" applyFont="1"/>
    <xf numFmtId="167" fontId="36" fillId="0" borderId="0" xfId="0" applyNumberFormat="1" applyFont="1" applyAlignment="1">
      <alignment horizontal="center" vertical="center"/>
    </xf>
    <xf numFmtId="167" fontId="36" fillId="0" borderId="0" xfId="0" applyNumberFormat="1" applyFont="1" applyAlignment="1">
      <alignment horizontal="right" vertical="center"/>
    </xf>
    <xf numFmtId="166" fontId="36" fillId="0" borderId="0" xfId="0" applyNumberFormat="1" applyFont="1" applyAlignment="1">
      <alignment vertical="center"/>
    </xf>
    <xf numFmtId="167" fontId="36" fillId="0" borderId="0" xfId="0" applyNumberFormat="1" applyFont="1" applyAlignment="1">
      <alignment horizontal="left" vertical="center"/>
    </xf>
    <xf numFmtId="0" fontId="34" fillId="0" borderId="0" xfId="0" applyFont="1" applyAlignment="1">
      <alignment horizontal="center" vertical="center" wrapText="1"/>
    </xf>
    <xf numFmtId="0" fontId="36" fillId="6" borderId="2" xfId="0" applyFont="1" applyFill="1" applyBorder="1" applyAlignment="1">
      <alignment vertical="center"/>
    </xf>
    <xf numFmtId="0" fontId="36" fillId="6" borderId="4" xfId="0" applyFont="1" applyFill="1" applyBorder="1" applyAlignment="1">
      <alignment vertical="center"/>
    </xf>
    <xf numFmtId="0" fontId="36" fillId="15" borderId="1" xfId="0" applyFont="1" applyFill="1" applyBorder="1" applyAlignment="1">
      <alignment horizontal="center" vertical="center" wrapText="1"/>
    </xf>
    <xf numFmtId="0" fontId="36" fillId="15" borderId="5" xfId="0" applyFont="1" applyFill="1" applyBorder="1" applyAlignment="1">
      <alignment horizontal="center" vertical="center" wrapText="1"/>
    </xf>
    <xf numFmtId="0" fontId="36" fillId="7" borderId="1" xfId="0" applyFont="1" applyFill="1" applyBorder="1" applyAlignment="1">
      <alignment horizontal="center" vertical="center" wrapText="1"/>
    </xf>
    <xf numFmtId="0" fontId="36" fillId="10" borderId="1" xfId="0" applyFont="1" applyFill="1" applyBorder="1" applyAlignment="1">
      <alignment horizontal="center" vertical="center" wrapText="1"/>
    </xf>
    <xf numFmtId="0" fontId="36" fillId="11" borderId="1" xfId="0" applyFont="1" applyFill="1" applyBorder="1" applyAlignment="1">
      <alignment horizontal="center" vertical="center" wrapText="1"/>
    </xf>
    <xf numFmtId="0" fontId="36" fillId="8" borderId="1" xfId="0" applyFont="1" applyFill="1" applyBorder="1" applyAlignment="1">
      <alignment horizontal="center" vertical="center" wrapText="1"/>
    </xf>
    <xf numFmtId="0" fontId="34" fillId="0" borderId="1" xfId="0" applyFont="1" applyBorder="1" applyAlignment="1">
      <alignment horizontal="center" vertical="center" wrapText="1"/>
    </xf>
    <xf numFmtId="0" fontId="34" fillId="0" borderId="1" xfId="0" applyFont="1" applyBorder="1" applyAlignment="1">
      <alignment vertical="center" wrapText="1"/>
    </xf>
    <xf numFmtId="168" fontId="34" fillId="0" borderId="1" xfId="0" applyNumberFormat="1" applyFont="1" applyBorder="1" applyAlignment="1">
      <alignment horizontal="center" vertical="center" wrapText="1"/>
    </xf>
    <xf numFmtId="1" fontId="34" fillId="0" borderId="1" xfId="0" applyNumberFormat="1" applyFont="1" applyBorder="1" applyAlignment="1">
      <alignment horizontal="center" vertical="center" wrapText="1"/>
    </xf>
    <xf numFmtId="0" fontId="34" fillId="0" borderId="1" xfId="1" applyNumberFormat="1" applyFont="1" applyFill="1" applyBorder="1" applyAlignment="1">
      <alignment horizontal="center" vertical="center" wrapText="1"/>
    </xf>
    <xf numFmtId="0" fontId="34" fillId="0" borderId="1" xfId="0" applyFont="1" applyBorder="1" applyAlignment="1">
      <alignment horizontal="left" vertical="center" wrapText="1"/>
    </xf>
    <xf numFmtId="43" fontId="34" fillId="0" borderId="1" xfId="1" applyFont="1" applyFill="1" applyBorder="1" applyAlignment="1">
      <alignment horizontal="left" vertical="center" wrapText="1"/>
    </xf>
    <xf numFmtId="44" fontId="34" fillId="0" borderId="1" xfId="2" applyFont="1" applyFill="1" applyBorder="1" applyAlignment="1">
      <alignment horizontal="center" vertical="center" wrapText="1"/>
    </xf>
    <xf numFmtId="0" fontId="34" fillId="0" borderId="1" xfId="0" applyFont="1" applyBorder="1" applyAlignment="1">
      <alignment vertical="center"/>
    </xf>
    <xf numFmtId="2" fontId="34" fillId="0" borderId="1" xfId="0" applyNumberFormat="1" applyFont="1" applyBorder="1" applyAlignment="1">
      <alignment horizontal="center" vertical="center" wrapText="1"/>
    </xf>
    <xf numFmtId="0" fontId="42" fillId="0" borderId="1" xfId="2" applyNumberFormat="1" applyFont="1" applyFill="1" applyBorder="1" applyAlignment="1">
      <alignment horizontal="left" vertical="center" wrapText="1"/>
    </xf>
    <xf numFmtId="6" fontId="34" fillId="0" borderId="1" xfId="0" applyNumberFormat="1" applyFont="1" applyBorder="1" applyAlignment="1">
      <alignment horizontal="left" vertical="center" wrapText="1"/>
    </xf>
    <xf numFmtId="6" fontId="34" fillId="0" borderId="1" xfId="0" applyNumberFormat="1" applyFont="1" applyBorder="1" applyAlignment="1">
      <alignment horizontal="center" vertical="center" wrapText="1"/>
    </xf>
    <xf numFmtId="0" fontId="34" fillId="0" borderId="9" xfId="0" applyFont="1" applyBorder="1" applyAlignment="1">
      <alignment horizontal="center" vertical="center" wrapText="1"/>
    </xf>
    <xf numFmtId="0" fontId="34" fillId="0" borderId="0" xfId="0" applyFont="1" applyAlignment="1">
      <alignment vertical="center" wrapText="1"/>
    </xf>
    <xf numFmtId="168" fontId="34" fillId="0" borderId="0" xfId="0" applyNumberFormat="1" applyFont="1" applyAlignment="1">
      <alignment horizontal="center" vertical="center" wrapText="1"/>
    </xf>
    <xf numFmtId="0" fontId="34" fillId="0" borderId="0" xfId="1" applyNumberFormat="1" applyFont="1" applyFill="1" applyBorder="1" applyAlignment="1">
      <alignment horizontal="center" vertical="center" wrapText="1"/>
    </xf>
    <xf numFmtId="44" fontId="34" fillId="0" borderId="0" xfId="2" applyFont="1" applyFill="1" applyBorder="1" applyAlignment="1">
      <alignment horizontal="center" vertical="center" wrapText="1"/>
    </xf>
    <xf numFmtId="0" fontId="42" fillId="0" borderId="0" xfId="2" applyNumberFormat="1" applyFont="1" applyFill="1" applyBorder="1" applyAlignment="1">
      <alignment horizontal="left" vertical="center" wrapText="1"/>
    </xf>
    <xf numFmtId="6" fontId="34" fillId="0" borderId="0" xfId="0" applyNumberFormat="1" applyFont="1" applyAlignment="1">
      <alignment horizontal="left" vertical="center" wrapText="1"/>
    </xf>
    <xf numFmtId="43" fontId="34" fillId="0" borderId="0" xfId="1" applyFont="1" applyFill="1" applyBorder="1" applyAlignment="1">
      <alignment horizontal="left" vertical="center" wrapText="1"/>
    </xf>
    <xf numFmtId="6" fontId="34" fillId="0" borderId="0" xfId="0" applyNumberFormat="1" applyFont="1" applyAlignment="1">
      <alignment horizontal="center" vertical="center" wrapText="1"/>
    </xf>
    <xf numFmtId="168" fontId="34" fillId="0" borderId="8" xfId="0" applyNumberFormat="1" applyFont="1" applyBorder="1" applyAlignment="1">
      <alignment horizontal="center" vertical="center" wrapText="1"/>
    </xf>
    <xf numFmtId="0" fontId="44" fillId="16" borderId="26" xfId="0" applyFont="1" applyFill="1" applyBorder="1" applyAlignment="1">
      <alignment horizontal="left" vertical="center"/>
    </xf>
    <xf numFmtId="0" fontId="44" fillId="16" borderId="27" xfId="0" applyFont="1" applyFill="1" applyBorder="1" applyAlignment="1">
      <alignment horizontal="left" vertical="center"/>
    </xf>
    <xf numFmtId="0" fontId="44" fillId="16" borderId="27" xfId="0" applyFont="1" applyFill="1" applyBorder="1" applyAlignment="1">
      <alignment vertical="center" wrapText="1"/>
    </xf>
    <xf numFmtId="0" fontId="44" fillId="16" borderId="28" xfId="0" applyFont="1" applyFill="1" applyBorder="1" applyAlignment="1">
      <alignment vertical="center" wrapText="1"/>
    </xf>
    <xf numFmtId="6" fontId="36" fillId="0" borderId="0" xfId="0" applyNumberFormat="1" applyFont="1" applyAlignment="1">
      <alignment horizontal="center" vertical="center"/>
    </xf>
    <xf numFmtId="6" fontId="36" fillId="0" borderId="0" xfId="0" applyNumberFormat="1" applyFont="1" applyAlignment="1">
      <alignment horizontal="right" vertical="center"/>
    </xf>
    <xf numFmtId="0" fontId="45" fillId="0" borderId="0" xfId="0" applyFont="1" applyAlignment="1">
      <alignment vertical="center"/>
    </xf>
    <xf numFmtId="0" fontId="43" fillId="0" borderId="0" xfId="0" applyFont="1"/>
    <xf numFmtId="0" fontId="6" fillId="0" borderId="1" xfId="0" applyFont="1" applyBorder="1" applyAlignment="1">
      <alignment horizontal="left" vertical="center" wrapText="1"/>
    </xf>
    <xf numFmtId="2" fontId="6" fillId="0" borderId="1" xfId="0" applyNumberFormat="1" applyFont="1" applyBorder="1" applyAlignment="1">
      <alignment horizontal="center" vertical="center" wrapText="1"/>
    </xf>
    <xf numFmtId="1" fontId="6" fillId="0" borderId="1" xfId="0" applyNumberFormat="1" applyFont="1" applyBorder="1" applyAlignment="1">
      <alignment horizontal="center" vertical="center" wrapText="1"/>
    </xf>
    <xf numFmtId="44" fontId="34" fillId="0" borderId="3" xfId="2" applyFont="1" applyFill="1" applyBorder="1" applyAlignment="1">
      <alignment horizontal="center" vertical="center" wrapText="1"/>
    </xf>
    <xf numFmtId="44" fontId="34" fillId="0" borderId="49" xfId="2" applyFont="1" applyFill="1" applyBorder="1" applyAlignment="1">
      <alignment horizontal="center" vertical="center" wrapText="1"/>
    </xf>
    <xf numFmtId="44" fontId="34" fillId="0" borderId="56" xfId="2" applyFont="1" applyFill="1" applyBorder="1" applyAlignment="1">
      <alignment horizontal="center" vertical="center" wrapText="1"/>
    </xf>
    <xf numFmtId="0" fontId="34" fillId="0" borderId="3" xfId="0" applyFont="1" applyBorder="1" applyAlignment="1">
      <alignment horizontal="left" vertical="center" wrapText="1"/>
    </xf>
    <xf numFmtId="6" fontId="34" fillId="0" borderId="3" xfId="0" applyNumberFormat="1" applyFont="1" applyBorder="1" applyAlignment="1">
      <alignment horizontal="left" vertical="center" wrapText="1"/>
    </xf>
    <xf numFmtId="44" fontId="34" fillId="0" borderId="50" xfId="2" applyFont="1" applyFill="1" applyBorder="1" applyAlignment="1">
      <alignment horizontal="center" vertical="center" wrapText="1"/>
    </xf>
    <xf numFmtId="0" fontId="36" fillId="11" borderId="2" xfId="0" applyFont="1" applyFill="1" applyBorder="1" applyAlignment="1">
      <alignment horizontal="center" vertical="center" wrapText="1"/>
    </xf>
    <xf numFmtId="0" fontId="36" fillId="8" borderId="3" xfId="0" applyFont="1" applyFill="1" applyBorder="1" applyAlignment="1">
      <alignment horizontal="center" vertical="center" wrapText="1"/>
    </xf>
    <xf numFmtId="44" fontId="34" fillId="0" borderId="37" xfId="2" applyFont="1" applyFill="1" applyBorder="1" applyAlignment="1">
      <alignment horizontal="center" vertical="center" wrapText="1"/>
    </xf>
    <xf numFmtId="44" fontId="34" fillId="0" borderId="48" xfId="2" applyFont="1" applyFill="1" applyBorder="1" applyAlignment="1">
      <alignment horizontal="center" vertical="center" wrapText="1"/>
    </xf>
    <xf numFmtId="44" fontId="34" fillId="0" borderId="24" xfId="2" applyFont="1" applyFill="1" applyBorder="1" applyAlignment="1">
      <alignment horizontal="center" vertical="center" wrapText="1"/>
    </xf>
    <xf numFmtId="44" fontId="34" fillId="0" borderId="25" xfId="2" applyFont="1" applyFill="1" applyBorder="1" applyAlignment="1">
      <alignment horizontal="center" vertical="center" wrapText="1"/>
    </xf>
    <xf numFmtId="44" fontId="34" fillId="0" borderId="23" xfId="2" applyFont="1" applyFill="1" applyBorder="1" applyAlignment="1">
      <alignment horizontal="center" vertical="center" wrapText="1"/>
    </xf>
    <xf numFmtId="0" fontId="46" fillId="7" borderId="44" xfId="0" applyFont="1" applyFill="1" applyBorder="1" applyAlignment="1">
      <alignment horizontal="center" vertical="center" wrapText="1"/>
    </xf>
    <xf numFmtId="0" fontId="46" fillId="7" borderId="45" xfId="0" applyFont="1" applyFill="1" applyBorder="1" applyAlignment="1">
      <alignment horizontal="center" vertical="center" wrapText="1"/>
    </xf>
    <xf numFmtId="0" fontId="46" fillId="7" borderId="46" xfId="0" applyFont="1" applyFill="1" applyBorder="1" applyAlignment="1">
      <alignment horizontal="center" vertical="center" wrapText="1"/>
    </xf>
    <xf numFmtId="0" fontId="8" fillId="7" borderId="54" xfId="0" applyFont="1" applyFill="1" applyBorder="1" applyAlignment="1">
      <alignment horizontal="center" vertical="center" wrapText="1"/>
    </xf>
    <xf numFmtId="0" fontId="41" fillId="25" borderId="1" xfId="0" applyFont="1" applyFill="1" applyBorder="1" applyAlignment="1">
      <alignment vertical="center"/>
    </xf>
    <xf numFmtId="44" fontId="41" fillId="25" borderId="2" xfId="0" applyNumberFormat="1" applyFont="1" applyFill="1" applyBorder="1" applyAlignment="1">
      <alignment horizontal="center" vertical="center"/>
    </xf>
    <xf numFmtId="44" fontId="41" fillId="25" borderId="57" xfId="0" applyNumberFormat="1" applyFont="1" applyFill="1" applyBorder="1" applyAlignment="1">
      <alignment horizontal="center" vertical="center"/>
    </xf>
    <xf numFmtId="167" fontId="47" fillId="25" borderId="24" xfId="0" applyNumberFormat="1" applyFont="1" applyFill="1" applyBorder="1" applyAlignment="1">
      <alignment horizontal="left" vertical="center"/>
    </xf>
    <xf numFmtId="167" fontId="36" fillId="25" borderId="0" xfId="0" applyNumberFormat="1" applyFont="1" applyFill="1" applyAlignment="1">
      <alignment horizontal="left" vertical="center"/>
    </xf>
    <xf numFmtId="167" fontId="9" fillId="27" borderId="0" xfId="0" applyNumberFormat="1" applyFont="1" applyFill="1" applyAlignment="1">
      <alignment horizontal="right" vertical="center"/>
    </xf>
    <xf numFmtId="167" fontId="9" fillId="27" borderId="0" xfId="0" applyNumberFormat="1" applyFont="1" applyFill="1" applyAlignment="1">
      <alignment horizontal="left" vertical="center"/>
    </xf>
    <xf numFmtId="0" fontId="9" fillId="25" borderId="1" xfId="0" applyFont="1" applyFill="1" applyBorder="1" applyAlignment="1">
      <alignment vertical="center"/>
    </xf>
    <xf numFmtId="44" fontId="41" fillId="27" borderId="57" xfId="0" applyNumberFormat="1" applyFont="1" applyFill="1" applyBorder="1" applyAlignment="1">
      <alignment horizontal="center" vertical="center"/>
    </xf>
    <xf numFmtId="167" fontId="9" fillId="27" borderId="0" xfId="0" applyNumberFormat="1" applyFont="1" applyFill="1" applyAlignment="1">
      <alignment horizontal="center" vertical="center"/>
    </xf>
    <xf numFmtId="0" fontId="4" fillId="0" borderId="0" xfId="0" applyFont="1"/>
    <xf numFmtId="43" fontId="0" fillId="0" borderId="0" xfId="1" applyFont="1"/>
    <xf numFmtId="43" fontId="4" fillId="0" borderId="0" xfId="1" applyFont="1"/>
    <xf numFmtId="43" fontId="4" fillId="0" borderId="0" xfId="1" applyFont="1" applyAlignment="1">
      <alignment wrapText="1"/>
    </xf>
    <xf numFmtId="43" fontId="0" fillId="0" borderId="1" xfId="1" applyFont="1" applyBorder="1"/>
    <xf numFmtId="43" fontId="0" fillId="0" borderId="1" xfId="1" applyFont="1" applyBorder="1" applyAlignment="1">
      <alignment wrapText="1"/>
    </xf>
    <xf numFmtId="17" fontId="0" fillId="0" borderId="1" xfId="1" applyNumberFormat="1" applyFont="1" applyBorder="1"/>
    <xf numFmtId="0" fontId="20" fillId="0" borderId="1" xfId="0" applyFont="1" applyBorder="1" applyAlignment="1">
      <alignment wrapText="1"/>
    </xf>
    <xf numFmtId="0" fontId="20" fillId="0" borderId="1" xfId="0" applyFont="1" applyBorder="1"/>
    <xf numFmtId="43" fontId="20" fillId="0" borderId="1" xfId="1" applyFont="1" applyBorder="1" applyAlignment="1">
      <alignment horizontal="center" wrapText="1"/>
    </xf>
    <xf numFmtId="43" fontId="20" fillId="0" borderId="1" xfId="1" applyFont="1" applyBorder="1"/>
    <xf numFmtId="43" fontId="20" fillId="0" borderId="1" xfId="1" applyFont="1" applyBorder="1" applyAlignment="1">
      <alignment wrapText="1"/>
    </xf>
    <xf numFmtId="43" fontId="20" fillId="0" borderId="0" xfId="1" applyFont="1"/>
    <xf numFmtId="44" fontId="6" fillId="0" borderId="49" xfId="2" applyFont="1" applyFill="1" applyBorder="1" applyAlignment="1">
      <alignment horizontal="center" vertical="center" wrapText="1"/>
    </xf>
    <xf numFmtId="44" fontId="6" fillId="0" borderId="56" xfId="2" applyFont="1" applyFill="1" applyBorder="1" applyAlignment="1">
      <alignment horizontal="center" vertical="center" wrapText="1"/>
    </xf>
    <xf numFmtId="44" fontId="6" fillId="0" borderId="3" xfId="2" applyFont="1" applyFill="1" applyBorder="1" applyAlignment="1">
      <alignment horizontal="center" vertical="center" wrapText="1"/>
    </xf>
    <xf numFmtId="0" fontId="7" fillId="7" borderId="1" xfId="0" applyFont="1" applyFill="1" applyBorder="1" applyAlignment="1">
      <alignment horizontal="center" vertical="center" wrapText="1"/>
    </xf>
    <xf numFmtId="182" fontId="49" fillId="0" borderId="1" xfId="1" applyNumberFormat="1" applyFont="1" applyFill="1" applyBorder="1" applyAlignment="1">
      <alignment horizontal="right" vertical="center" wrapText="1"/>
    </xf>
    <xf numFmtId="168" fontId="6" fillId="0" borderId="0" xfId="0" applyNumberFormat="1" applyFont="1" applyAlignment="1">
      <alignment horizontal="center" vertical="center" wrapText="1"/>
    </xf>
    <xf numFmtId="0" fontId="6" fillId="0" borderId="0" xfId="1" applyNumberFormat="1" applyFont="1" applyFill="1" applyBorder="1" applyAlignment="1">
      <alignment horizontal="center" vertical="center" wrapText="1"/>
    </xf>
    <xf numFmtId="6" fontId="6" fillId="0" borderId="1" xfId="0" applyNumberFormat="1" applyFont="1" applyBorder="1" applyAlignment="1">
      <alignment horizontal="center" vertical="center" wrapText="1"/>
    </xf>
    <xf numFmtId="0" fontId="27" fillId="31" borderId="24" xfId="0" applyFont="1" applyFill="1" applyBorder="1" applyAlignment="1">
      <alignment horizontal="left" vertical="center" wrapText="1"/>
    </xf>
    <xf numFmtId="0" fontId="50" fillId="0" borderId="0" xfId="0" applyFont="1"/>
    <xf numFmtId="0" fontId="51" fillId="0" borderId="0" xfId="0" applyFont="1"/>
    <xf numFmtId="0" fontId="51" fillId="28" borderId="0" xfId="0" applyFont="1" applyFill="1"/>
    <xf numFmtId="0" fontId="51" fillId="0" borderId="0" xfId="0" applyFont="1" applyAlignment="1">
      <alignment horizontal="center"/>
    </xf>
    <xf numFmtId="0" fontId="52" fillId="0" borderId="0" xfId="0" applyFont="1"/>
    <xf numFmtId="49" fontId="53" fillId="0" borderId="0" xfId="3" applyNumberFormat="1" applyFont="1" applyAlignment="1" applyProtection="1">
      <alignment vertical="center"/>
      <protection locked="0"/>
    </xf>
    <xf numFmtId="0" fontId="54"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54" fillId="28" borderId="0" xfId="3" applyFont="1" applyFill="1" applyAlignment="1" applyProtection="1">
      <alignment vertical="center"/>
      <protection locked="0"/>
    </xf>
    <xf numFmtId="184" fontId="56" fillId="0" borderId="70" xfId="1" applyNumberFormat="1" applyFont="1" applyFill="1" applyBorder="1" applyAlignment="1">
      <alignment horizontal="center" vertical="center"/>
    </xf>
    <xf numFmtId="184" fontId="56" fillId="0" borderId="73" xfId="1" applyNumberFormat="1" applyFont="1" applyFill="1" applyBorder="1" applyAlignment="1">
      <alignment horizontal="center" vertical="center"/>
    </xf>
    <xf numFmtId="0" fontId="56" fillId="28" borderId="58" xfId="0" applyFont="1" applyFill="1" applyBorder="1" applyAlignment="1">
      <alignment horizontal="center" vertical="center" wrapText="1"/>
    </xf>
    <xf numFmtId="0" fontId="56" fillId="3" borderId="58" xfId="0" applyFont="1" applyFill="1" applyBorder="1" applyAlignment="1">
      <alignment horizontal="center" vertical="center" wrapText="1"/>
    </xf>
    <xf numFmtId="0" fontId="56" fillId="28" borderId="29" xfId="0" applyFont="1" applyFill="1" applyBorder="1" applyAlignment="1">
      <alignment horizontal="center" vertical="center" wrapText="1"/>
    </xf>
    <xf numFmtId="0" fontId="56" fillId="0" borderId="69" xfId="0" applyFont="1" applyBorder="1" applyAlignment="1">
      <alignment horizontal="center" vertical="center" wrapText="1"/>
    </xf>
    <xf numFmtId="0" fontId="56" fillId="0" borderId="26" xfId="0" applyFont="1" applyBorder="1" applyAlignment="1">
      <alignment horizontal="center" vertical="center" wrapText="1"/>
    </xf>
    <xf numFmtId="0" fontId="56" fillId="28" borderId="72" xfId="0" applyFont="1" applyFill="1" applyBorder="1" applyAlignment="1">
      <alignment horizontal="center" vertical="center" wrapText="1"/>
    </xf>
    <xf numFmtId="0" fontId="56" fillId="3" borderId="72" xfId="0" applyFont="1" applyFill="1" applyBorder="1" applyAlignment="1">
      <alignment horizontal="center" vertical="center" wrapText="1"/>
    </xf>
    <xf numFmtId="0" fontId="58" fillId="0" borderId="0" xfId="0" applyFont="1"/>
    <xf numFmtId="0" fontId="58" fillId="0" borderId="17" xfId="0" applyFont="1" applyBorder="1" applyAlignment="1">
      <alignment vertical="center"/>
    </xf>
    <xf numFmtId="0" fontId="59" fillId="0" borderId="34" xfId="0" applyFont="1" applyBorder="1" applyAlignment="1">
      <alignment horizontal="center" vertical="center"/>
    </xf>
    <xf numFmtId="0" fontId="59" fillId="0" borderId="23" xfId="0" applyFont="1" applyBorder="1" applyAlignment="1">
      <alignment horizontal="center" vertical="center"/>
    </xf>
    <xf numFmtId="0" fontId="59" fillId="0" borderId="24" xfId="0" applyFont="1" applyBorder="1" applyAlignment="1">
      <alignment horizontal="center" vertical="center"/>
    </xf>
    <xf numFmtId="0" fontId="59" fillId="0" borderId="25" xfId="0" applyFont="1" applyBorder="1" applyAlignment="1">
      <alignment horizontal="center" vertical="center"/>
    </xf>
    <xf numFmtId="0" fontId="60" fillId="0" borderId="40" xfId="0" applyFont="1" applyBorder="1" applyAlignment="1">
      <alignment horizontal="center" vertical="center"/>
    </xf>
    <xf numFmtId="0" fontId="59" fillId="0" borderId="40" xfId="0" applyFont="1" applyBorder="1" applyAlignment="1">
      <alignment horizontal="center" vertical="center"/>
    </xf>
    <xf numFmtId="0" fontId="59" fillId="28" borderId="17" xfId="0" applyFont="1" applyFill="1" applyBorder="1" applyAlignment="1">
      <alignment horizontal="center" vertical="center"/>
    </xf>
    <xf numFmtId="0" fontId="59" fillId="28" borderId="29" xfId="0" applyFont="1" applyFill="1" applyBorder="1" applyAlignment="1">
      <alignment horizontal="center" vertical="center"/>
    </xf>
    <xf numFmtId="17" fontId="61" fillId="0" borderId="34" xfId="0" applyNumberFormat="1" applyFont="1" applyBorder="1" applyAlignment="1">
      <alignment horizontal="center" vertical="center"/>
    </xf>
    <xf numFmtId="183" fontId="59" fillId="0" borderId="67" xfId="0" applyNumberFormat="1" applyFont="1" applyBorder="1" applyAlignment="1">
      <alignment horizontal="center" vertical="center"/>
    </xf>
    <xf numFmtId="0" fontId="62" fillId="0" borderId="17" xfId="0" applyFont="1" applyBorder="1" applyAlignment="1">
      <alignment vertical="center"/>
    </xf>
    <xf numFmtId="0" fontId="59" fillId="0" borderId="32" xfId="0" applyFont="1" applyBorder="1" applyAlignment="1">
      <alignment horizontal="center" vertical="center"/>
    </xf>
    <xf numFmtId="0" fontId="59" fillId="0" borderId="14" xfId="0" applyFont="1" applyBorder="1" applyAlignment="1">
      <alignment horizontal="center" vertical="center"/>
    </xf>
    <xf numFmtId="0" fontId="59" fillId="0" borderId="5" xfId="0" applyFont="1" applyBorder="1" applyAlignment="1">
      <alignment horizontal="center" vertical="center"/>
    </xf>
    <xf numFmtId="0" fontId="59" fillId="0" borderId="19" xfId="0" applyFont="1" applyBorder="1" applyAlignment="1">
      <alignment horizontal="center" vertical="center"/>
    </xf>
    <xf numFmtId="0" fontId="60" fillId="0" borderId="39" xfId="0" applyFont="1" applyBorder="1" applyAlignment="1">
      <alignment horizontal="center" vertical="center"/>
    </xf>
    <xf numFmtId="0" fontId="59" fillId="0" borderId="39" xfId="0" applyFont="1" applyBorder="1" applyAlignment="1">
      <alignment horizontal="center" vertical="center"/>
    </xf>
    <xf numFmtId="15" fontId="61" fillId="0" borderId="32" xfId="0" applyNumberFormat="1" applyFont="1" applyBorder="1" applyAlignment="1">
      <alignment horizontal="center" vertical="center"/>
    </xf>
    <xf numFmtId="15" fontId="61" fillId="18" borderId="39" xfId="0" applyNumberFormat="1" applyFont="1" applyFill="1" applyBorder="1" applyAlignment="1">
      <alignment horizontal="center" vertical="center"/>
    </xf>
    <xf numFmtId="183" fontId="59" fillId="0" borderId="35" xfId="0" applyNumberFormat="1" applyFont="1" applyBorder="1" applyAlignment="1">
      <alignment horizontal="center" vertical="center"/>
    </xf>
    <xf numFmtId="182" fontId="58" fillId="0" borderId="29" xfId="0" applyNumberFormat="1" applyFont="1" applyBorder="1" applyAlignment="1">
      <alignment vertical="center"/>
    </xf>
    <xf numFmtId="182" fontId="58" fillId="0" borderId="15" xfId="0" applyNumberFormat="1" applyFont="1" applyBorder="1" applyAlignment="1">
      <alignment vertical="center"/>
    </xf>
    <xf numFmtId="182" fontId="58" fillId="0" borderId="12" xfId="0" applyNumberFormat="1" applyFont="1" applyBorder="1" applyAlignment="1">
      <alignment vertical="center"/>
    </xf>
    <xf numFmtId="182" fontId="58" fillId="0" borderId="21" xfId="0" applyNumberFormat="1" applyFont="1" applyBorder="1" applyAlignment="1">
      <alignment vertical="center"/>
    </xf>
    <xf numFmtId="182" fontId="63" fillId="0" borderId="17" xfId="0" applyNumberFormat="1" applyFont="1" applyBorder="1" applyAlignment="1">
      <alignment vertical="center"/>
    </xf>
    <xf numFmtId="182" fontId="58" fillId="0" borderId="17" xfId="0" applyNumberFormat="1" applyFont="1" applyBorder="1" applyAlignment="1">
      <alignment vertical="center"/>
    </xf>
    <xf numFmtId="182" fontId="58" fillId="28" borderId="29" xfId="0" applyNumberFormat="1" applyFont="1" applyFill="1" applyBorder="1" applyAlignment="1">
      <alignment vertical="center"/>
    </xf>
    <xf numFmtId="182" fontId="58" fillId="18" borderId="17" xfId="0" applyNumberFormat="1" applyFont="1" applyFill="1" applyBorder="1" applyAlignment="1">
      <alignment vertical="center"/>
    </xf>
    <xf numFmtId="182" fontId="58" fillId="0" borderId="30" xfId="0" applyNumberFormat="1" applyFont="1" applyBorder="1" applyAlignment="1">
      <alignment vertical="center"/>
    </xf>
    <xf numFmtId="0" fontId="58" fillId="0" borderId="29" xfId="0" applyFont="1" applyBorder="1"/>
    <xf numFmtId="182" fontId="58" fillId="4" borderId="15" xfId="0" applyNumberFormat="1" applyFont="1" applyFill="1" applyBorder="1" applyAlignment="1">
      <alignment vertical="center"/>
    </xf>
    <xf numFmtId="182" fontId="58" fillId="4" borderId="12" xfId="0" applyNumberFormat="1" applyFont="1" applyFill="1" applyBorder="1" applyAlignment="1">
      <alignment vertical="center"/>
    </xf>
    <xf numFmtId="182" fontId="58" fillId="0" borderId="29" xfId="0" applyNumberFormat="1" applyFont="1" applyBorder="1" applyAlignment="1">
      <alignment horizontal="center" vertical="center"/>
    </xf>
    <xf numFmtId="182" fontId="58" fillId="18" borderId="17" xfId="0" applyNumberFormat="1" applyFont="1" applyFill="1" applyBorder="1" applyAlignment="1">
      <alignment horizontal="center" vertical="center"/>
    </xf>
    <xf numFmtId="182" fontId="58" fillId="0" borderId="30" xfId="2" applyNumberFormat="1" applyFont="1" applyBorder="1" applyAlignment="1">
      <alignment horizontal="center" vertical="center"/>
    </xf>
    <xf numFmtId="44" fontId="51" fillId="0" borderId="0" xfId="2" applyFont="1"/>
    <xf numFmtId="0" fontId="56" fillId="29" borderId="18" xfId="0" applyFont="1" applyFill="1" applyBorder="1" applyAlignment="1">
      <alignment vertical="center"/>
    </xf>
    <xf numFmtId="182" fontId="56" fillId="29" borderId="33" xfId="0" applyNumberFormat="1" applyFont="1" applyFill="1" applyBorder="1" applyAlignment="1">
      <alignment vertical="center"/>
    </xf>
    <xf numFmtId="182" fontId="56" fillId="29" borderId="75" xfId="0" applyNumberFormat="1" applyFont="1" applyFill="1" applyBorder="1" applyAlignment="1">
      <alignment vertical="center"/>
    </xf>
    <xf numFmtId="182" fontId="56" fillId="29" borderId="66" xfId="0" applyNumberFormat="1" applyFont="1" applyFill="1" applyBorder="1" applyAlignment="1">
      <alignment vertical="center"/>
    </xf>
    <xf numFmtId="182" fontId="56" fillId="29" borderId="65" xfId="0" applyNumberFormat="1" applyFont="1" applyFill="1" applyBorder="1" applyAlignment="1">
      <alignment vertical="center"/>
    </xf>
    <xf numFmtId="182" fontId="56" fillId="29" borderId="77" xfId="0" applyNumberFormat="1" applyFont="1" applyFill="1" applyBorder="1" applyAlignment="1">
      <alignment vertical="center"/>
    </xf>
    <xf numFmtId="182" fontId="56" fillId="28" borderId="77" xfId="0" applyNumberFormat="1" applyFont="1" applyFill="1" applyBorder="1" applyAlignment="1">
      <alignment vertical="center"/>
    </xf>
    <xf numFmtId="182" fontId="56" fillId="28" borderId="29" xfId="0" applyNumberFormat="1" applyFont="1" applyFill="1" applyBorder="1" applyAlignment="1">
      <alignment vertical="center"/>
    </xf>
    <xf numFmtId="182" fontId="56" fillId="28" borderId="33" xfId="0" applyNumberFormat="1" applyFont="1" applyFill="1" applyBorder="1" applyAlignment="1">
      <alignment horizontal="center" vertical="center"/>
    </xf>
    <xf numFmtId="182" fontId="56" fillId="28" borderId="18" xfId="0" applyNumberFormat="1" applyFont="1" applyFill="1" applyBorder="1" applyAlignment="1">
      <alignment horizontal="center" vertical="center"/>
    </xf>
    <xf numFmtId="182" fontId="56" fillId="28" borderId="16" xfId="0" applyNumberFormat="1" applyFont="1" applyFill="1" applyBorder="1" applyAlignment="1">
      <alignment horizontal="center" vertical="center"/>
    </xf>
    <xf numFmtId="0" fontId="51" fillId="28" borderId="29" xfId="0" applyFont="1" applyFill="1" applyBorder="1"/>
    <xf numFmtId="0" fontId="51" fillId="28" borderId="0" xfId="0" applyFont="1" applyFill="1" applyAlignment="1">
      <alignment horizontal="center"/>
    </xf>
    <xf numFmtId="182" fontId="58" fillId="0" borderId="30" xfId="0" applyNumberFormat="1" applyFont="1" applyBorder="1" applyAlignment="1">
      <alignment horizontal="center" vertical="center"/>
    </xf>
    <xf numFmtId="182" fontId="56" fillId="29" borderId="13" xfId="0" applyNumberFormat="1" applyFont="1" applyFill="1" applyBorder="1" applyAlignment="1">
      <alignment vertical="center"/>
    </xf>
    <xf numFmtId="182" fontId="56" fillId="29" borderId="11" xfId="0" applyNumberFormat="1" applyFont="1" applyFill="1" applyBorder="1" applyAlignment="1">
      <alignment vertical="center"/>
    </xf>
    <xf numFmtId="182" fontId="56" fillId="29" borderId="20" xfId="0" applyNumberFormat="1" applyFont="1" applyFill="1" applyBorder="1" applyAlignment="1">
      <alignment vertical="center"/>
    </xf>
    <xf numFmtId="182" fontId="56" fillId="29" borderId="18" xfId="0" applyNumberFormat="1" applyFont="1" applyFill="1" applyBorder="1" applyAlignment="1">
      <alignment vertical="center"/>
    </xf>
    <xf numFmtId="182" fontId="56" fillId="28" borderId="18" xfId="0" applyNumberFormat="1" applyFont="1" applyFill="1" applyBorder="1" applyAlignment="1">
      <alignment vertical="center"/>
    </xf>
    <xf numFmtId="0" fontId="58" fillId="28" borderId="17" xfId="0" applyFont="1" applyFill="1" applyBorder="1" applyAlignment="1">
      <alignment vertical="center"/>
    </xf>
    <xf numFmtId="184" fontId="58" fillId="28" borderId="29" xfId="1" applyNumberFormat="1" applyFont="1" applyFill="1" applyBorder="1" applyAlignment="1">
      <alignment vertical="center"/>
    </xf>
    <xf numFmtId="184" fontId="58" fillId="28" borderId="15" xfId="1" applyNumberFormat="1" applyFont="1" applyFill="1" applyBorder="1" applyAlignment="1">
      <alignment vertical="center"/>
    </xf>
    <xf numFmtId="184" fontId="58" fillId="28" borderId="12" xfId="1" applyNumberFormat="1" applyFont="1" applyFill="1" applyBorder="1" applyAlignment="1">
      <alignment vertical="center"/>
    </xf>
    <xf numFmtId="184" fontId="58" fillId="28" borderId="21" xfId="1" applyNumberFormat="1" applyFont="1" applyFill="1" applyBorder="1" applyAlignment="1">
      <alignment vertical="center"/>
    </xf>
    <xf numFmtId="182" fontId="63" fillId="28" borderId="17" xfId="0" applyNumberFormat="1" applyFont="1" applyFill="1" applyBorder="1" applyAlignment="1">
      <alignment vertical="center"/>
    </xf>
    <xf numFmtId="182" fontId="58" fillId="28" borderId="17" xfId="2" applyNumberFormat="1" applyFont="1" applyFill="1" applyBorder="1" applyAlignment="1">
      <alignment vertical="center"/>
    </xf>
    <xf numFmtId="182" fontId="58" fillId="28" borderId="29" xfId="2" applyNumberFormat="1" applyFont="1" applyFill="1" applyBorder="1" applyAlignment="1">
      <alignment vertical="center"/>
    </xf>
    <xf numFmtId="182" fontId="58" fillId="28" borderId="29" xfId="0" applyNumberFormat="1" applyFont="1" applyFill="1" applyBorder="1" applyAlignment="1">
      <alignment horizontal="center" vertical="center"/>
    </xf>
    <xf numFmtId="182" fontId="58" fillId="28" borderId="17" xfId="0" applyNumberFormat="1" applyFont="1" applyFill="1" applyBorder="1" applyAlignment="1">
      <alignment horizontal="center" vertical="center"/>
    </xf>
    <xf numFmtId="182" fontId="58" fillId="28" borderId="30" xfId="0" applyNumberFormat="1" applyFont="1" applyFill="1" applyBorder="1" applyAlignment="1">
      <alignment horizontal="center" vertical="center"/>
    </xf>
    <xf numFmtId="0" fontId="58" fillId="28" borderId="0" xfId="0" applyFont="1" applyFill="1"/>
    <xf numFmtId="182" fontId="56" fillId="21" borderId="18" xfId="0" applyNumberFormat="1" applyFont="1" applyFill="1" applyBorder="1" applyAlignment="1">
      <alignment vertical="center"/>
    </xf>
    <xf numFmtId="182" fontId="56" fillId="28" borderId="17" xfId="0" applyNumberFormat="1" applyFont="1" applyFill="1" applyBorder="1" applyAlignment="1">
      <alignment vertical="center"/>
    </xf>
    <xf numFmtId="182" fontId="56" fillId="28" borderId="36" xfId="0" applyNumberFormat="1" applyFont="1" applyFill="1" applyBorder="1" applyAlignment="1">
      <alignment horizontal="center" vertical="center"/>
    </xf>
    <xf numFmtId="0" fontId="56" fillId="28" borderId="0" xfId="0" applyFont="1" applyFill="1" applyAlignment="1">
      <alignment vertical="center"/>
    </xf>
    <xf numFmtId="182" fontId="56" fillId="28" borderId="0" xfId="0" applyNumberFormat="1" applyFont="1" applyFill="1" applyAlignment="1">
      <alignment vertical="center"/>
    </xf>
    <xf numFmtId="9" fontId="56" fillId="28" borderId="0" xfId="128" applyFont="1" applyFill="1" applyBorder="1" applyAlignment="1">
      <alignment vertical="center"/>
    </xf>
    <xf numFmtId="182" fontId="56" fillId="28" borderId="0" xfId="0" applyNumberFormat="1" applyFont="1" applyFill="1" applyAlignment="1">
      <alignment horizontal="center" vertical="center"/>
    </xf>
    <xf numFmtId="0" fontId="51" fillId="28" borderId="0" xfId="0" applyFont="1" applyFill="1" applyAlignment="1">
      <alignment vertical="center"/>
    </xf>
    <xf numFmtId="0" fontId="51" fillId="28" borderId="0" xfId="0" applyFont="1" applyFill="1" applyAlignment="1">
      <alignment horizontal="center" vertical="center"/>
    </xf>
    <xf numFmtId="0" fontId="64" fillId="28" borderId="69" xfId="0" applyFont="1" applyFill="1" applyBorder="1" applyAlignment="1">
      <alignment vertical="center"/>
    </xf>
    <xf numFmtId="0" fontId="56" fillId="28" borderId="70" xfId="0" applyFont="1" applyFill="1" applyBorder="1" applyAlignment="1">
      <alignment vertical="center"/>
    </xf>
    <xf numFmtId="182" fontId="58" fillId="28" borderId="58" xfId="0" applyNumberFormat="1" applyFont="1" applyFill="1" applyBorder="1" applyAlignment="1">
      <alignment vertical="center"/>
    </xf>
    <xf numFmtId="182" fontId="58" fillId="28" borderId="71" xfId="0" applyNumberFormat="1" applyFont="1" applyFill="1" applyBorder="1" applyAlignment="1">
      <alignment vertical="center"/>
    </xf>
    <xf numFmtId="182" fontId="58" fillId="28" borderId="73" xfId="0" applyNumberFormat="1" applyFont="1" applyFill="1" applyBorder="1" applyAlignment="1">
      <alignment vertical="center"/>
    </xf>
    <xf numFmtId="182" fontId="58" fillId="28" borderId="0" xfId="0" applyNumberFormat="1" applyFont="1" applyFill="1" applyAlignment="1">
      <alignment vertical="center"/>
    </xf>
    <xf numFmtId="182" fontId="58" fillId="28" borderId="0" xfId="0" applyNumberFormat="1" applyFont="1" applyFill="1" applyAlignment="1">
      <alignment horizontal="center" vertical="center"/>
    </xf>
    <xf numFmtId="0" fontId="58" fillId="28" borderId="29" xfId="0" applyFont="1" applyFill="1" applyBorder="1" applyAlignment="1">
      <alignment vertical="center"/>
    </xf>
    <xf numFmtId="182" fontId="58" fillId="28" borderId="9" xfId="0" applyNumberFormat="1" applyFont="1" applyFill="1" applyBorder="1" applyAlignment="1">
      <alignment vertical="center"/>
    </xf>
    <xf numFmtId="182" fontId="58" fillId="28" borderId="17" xfId="0" applyNumberFormat="1" applyFont="1" applyFill="1" applyBorder="1" applyAlignment="1">
      <alignment vertical="center"/>
    </xf>
    <xf numFmtId="182" fontId="65" fillId="29" borderId="18" xfId="0" applyNumberFormat="1" applyFont="1" applyFill="1" applyBorder="1" applyAlignment="1">
      <alignment vertical="center"/>
    </xf>
    <xf numFmtId="182" fontId="65" fillId="29" borderId="16" xfId="0" applyNumberFormat="1" applyFont="1" applyFill="1" applyBorder="1" applyAlignment="1">
      <alignment vertical="center"/>
    </xf>
    <xf numFmtId="182" fontId="65" fillId="29" borderId="79" xfId="0" applyNumberFormat="1" applyFont="1" applyFill="1" applyBorder="1" applyAlignment="1">
      <alignment vertical="center"/>
    </xf>
    <xf numFmtId="0" fontId="58" fillId="28" borderId="0" xfId="0" applyFont="1" applyFill="1" applyAlignment="1">
      <alignment vertical="center"/>
    </xf>
    <xf numFmtId="0" fontId="56" fillId="29" borderId="81" xfId="0" applyFont="1" applyFill="1" applyBorder="1" applyAlignment="1">
      <alignment vertical="center"/>
    </xf>
    <xf numFmtId="184" fontId="56" fillId="29" borderId="80" xfId="1" applyNumberFormat="1" applyFont="1" applyFill="1" applyBorder="1" applyAlignment="1">
      <alignment vertical="center"/>
    </xf>
    <xf numFmtId="184" fontId="56" fillId="29" borderId="82" xfId="1" applyNumberFormat="1" applyFont="1" applyFill="1" applyBorder="1" applyAlignment="1">
      <alignment vertical="center"/>
    </xf>
    <xf numFmtId="184" fontId="56" fillId="29" borderId="78" xfId="1" applyNumberFormat="1" applyFont="1" applyFill="1" applyBorder="1" applyAlignment="1">
      <alignment vertical="center"/>
    </xf>
    <xf numFmtId="184" fontId="56" fillId="29" borderId="84" xfId="1" applyNumberFormat="1" applyFont="1" applyFill="1" applyBorder="1" applyAlignment="1">
      <alignment vertical="center"/>
    </xf>
    <xf numFmtId="184" fontId="56" fillId="21" borderId="83" xfId="1" applyNumberFormat="1" applyFont="1" applyFill="1" applyBorder="1" applyAlignment="1">
      <alignment vertical="center"/>
    </xf>
    <xf numFmtId="182" fontId="58" fillId="28" borderId="0" xfId="2" applyNumberFormat="1" applyFont="1" applyFill="1" applyBorder="1" applyAlignment="1">
      <alignment vertical="center"/>
    </xf>
    <xf numFmtId="182" fontId="58" fillId="0" borderId="0" xfId="0" applyNumberFormat="1" applyFont="1" applyAlignment="1">
      <alignment horizontal="center" vertical="center"/>
    </xf>
    <xf numFmtId="0" fontId="51" fillId="0" borderId="0" xfId="0" applyFont="1" applyAlignment="1">
      <alignment vertical="center"/>
    </xf>
    <xf numFmtId="0" fontId="58" fillId="0" borderId="0" xfId="0" applyFont="1" applyAlignment="1">
      <alignment vertical="center"/>
    </xf>
    <xf numFmtId="9" fontId="65" fillId="28" borderId="0" xfId="128" applyFont="1" applyFill="1" applyBorder="1" applyAlignment="1">
      <alignment vertical="center"/>
    </xf>
    <xf numFmtId="0" fontId="51" fillId="0" borderId="0" xfId="0" applyFont="1" applyAlignment="1">
      <alignment horizontal="center" vertical="center"/>
    </xf>
    <xf numFmtId="184" fontId="66" fillId="0" borderId="0" xfId="1" applyNumberFormat="1" applyFont="1"/>
    <xf numFmtId="43" fontId="51" fillId="0" borderId="0" xfId="1" applyFont="1"/>
    <xf numFmtId="184" fontId="67" fillId="0" borderId="0" xfId="1" applyNumberFormat="1" applyFont="1"/>
    <xf numFmtId="43" fontId="65" fillId="0" borderId="0" xfId="1" applyFont="1"/>
    <xf numFmtId="0" fontId="65" fillId="0" borderId="0" xfId="0" applyFont="1"/>
    <xf numFmtId="184" fontId="66" fillId="0" borderId="0" xfId="0" applyNumberFormat="1" applyFont="1"/>
    <xf numFmtId="0" fontId="68" fillId="0" borderId="0" xfId="0" applyFont="1"/>
    <xf numFmtId="0" fontId="69" fillId="0" borderId="0" xfId="0" applyFont="1" applyAlignment="1">
      <alignment horizontal="left"/>
    </xf>
    <xf numFmtId="0" fontId="70" fillId="0" borderId="0" xfId="0" applyFont="1" applyAlignment="1">
      <alignment horizontal="center"/>
    </xf>
    <xf numFmtId="0" fontId="70" fillId="0" borderId="0" xfId="0" applyFont="1" applyAlignment="1">
      <alignment horizontal="left"/>
    </xf>
    <xf numFmtId="0" fontId="71" fillId="0" borderId="0" xfId="0" applyFont="1" applyAlignment="1">
      <alignment horizontal="center"/>
    </xf>
    <xf numFmtId="0" fontId="71" fillId="0" borderId="0" xfId="0" applyFont="1" applyAlignment="1">
      <alignment horizontal="left"/>
    </xf>
    <xf numFmtId="0" fontId="71" fillId="0" borderId="0" xfId="0" applyFont="1" applyAlignment="1">
      <alignment horizontal="left" wrapText="1"/>
    </xf>
    <xf numFmtId="0" fontId="72" fillId="0" borderId="0" xfId="0" applyFont="1"/>
    <xf numFmtId="0" fontId="73" fillId="0" borderId="0" xfId="0" applyFont="1" applyAlignment="1">
      <alignment vertical="center"/>
    </xf>
    <xf numFmtId="167" fontId="70" fillId="0" borderId="0" xfId="0" applyNumberFormat="1" applyFont="1"/>
    <xf numFmtId="0" fontId="73" fillId="0" borderId="0" xfId="0" applyFont="1" applyAlignment="1">
      <alignment horizontal="center" vertical="center"/>
    </xf>
    <xf numFmtId="0" fontId="71" fillId="0" borderId="0" xfId="0" applyFont="1"/>
    <xf numFmtId="6" fontId="71" fillId="0" borderId="0" xfId="0" applyNumberFormat="1" applyFont="1" applyAlignment="1">
      <alignment horizontal="center"/>
    </xf>
    <xf numFmtId="0" fontId="74" fillId="22" borderId="44" xfId="0" applyFont="1" applyFill="1" applyBorder="1" applyAlignment="1">
      <alignment vertical="center" wrapText="1"/>
    </xf>
    <xf numFmtId="0" fontId="74" fillId="22" borderId="51" xfId="0" applyFont="1" applyFill="1" applyBorder="1" applyAlignment="1">
      <alignment vertical="center" wrapText="1"/>
    </xf>
    <xf numFmtId="6" fontId="74" fillId="22" borderId="44" xfId="0" applyNumberFormat="1" applyFont="1" applyFill="1" applyBorder="1" applyAlignment="1">
      <alignment vertical="center" wrapText="1"/>
    </xf>
    <xf numFmtId="0" fontId="75" fillId="0" borderId="0" xfId="0" applyFont="1"/>
    <xf numFmtId="0" fontId="73" fillId="0" borderId="48" xfId="0" applyFont="1" applyBorder="1" applyAlignment="1">
      <alignment horizontal="center" vertical="center" wrapText="1"/>
    </xf>
    <xf numFmtId="0" fontId="73" fillId="0" borderId="24" xfId="0" applyFont="1" applyBorder="1" applyAlignment="1">
      <alignment horizontal="center" vertical="center" wrapText="1"/>
    </xf>
    <xf numFmtId="14" fontId="73" fillId="0" borderId="24" xfId="0" applyNumberFormat="1" applyFont="1" applyBorder="1" applyAlignment="1">
      <alignment horizontal="center" vertical="center" wrapText="1"/>
    </xf>
    <xf numFmtId="0" fontId="73" fillId="0" borderId="24" xfId="0" applyFont="1" applyBorder="1" applyAlignment="1">
      <alignment vertical="center" wrapText="1"/>
    </xf>
    <xf numFmtId="6" fontId="73" fillId="0" borderId="24" xfId="0" applyNumberFormat="1" applyFont="1" applyBorder="1" applyAlignment="1">
      <alignment horizontal="center" vertical="center" wrapText="1"/>
    </xf>
    <xf numFmtId="0" fontId="73" fillId="23" borderId="24" xfId="0" applyFont="1" applyFill="1" applyBorder="1" applyAlignment="1">
      <alignment horizontal="left" vertical="center" wrapText="1"/>
    </xf>
    <xf numFmtId="14" fontId="73" fillId="0" borderId="49" xfId="0" applyNumberFormat="1" applyFont="1" applyBorder="1" applyAlignment="1">
      <alignment horizontal="left" vertical="center" wrapText="1"/>
    </xf>
    <xf numFmtId="0" fontId="72" fillId="0" borderId="0" xfId="0" applyFont="1" applyAlignment="1">
      <alignment horizontal="center"/>
    </xf>
    <xf numFmtId="0" fontId="72" fillId="0" borderId="0" xfId="0" applyFont="1" applyAlignment="1">
      <alignment horizontal="left"/>
    </xf>
    <xf numFmtId="0" fontId="72" fillId="0" borderId="0" xfId="0" applyFont="1" applyAlignment="1">
      <alignment horizontal="left" wrapText="1"/>
    </xf>
    <xf numFmtId="43" fontId="51" fillId="0" borderId="0" xfId="0" applyNumberFormat="1" applyFont="1"/>
    <xf numFmtId="0" fontId="76" fillId="0" borderId="0" xfId="0" applyFont="1" applyAlignment="1">
      <alignment vertical="center"/>
    </xf>
    <xf numFmtId="0" fontId="78" fillId="9" borderId="0" xfId="0" applyFont="1" applyFill="1" applyAlignment="1">
      <alignment horizontal="center" vertical="center"/>
    </xf>
    <xf numFmtId="0" fontId="76" fillId="9" borderId="0" xfId="0" applyFont="1" applyFill="1" applyAlignment="1">
      <alignment vertical="center" wrapText="1"/>
    </xf>
    <xf numFmtId="0" fontId="76" fillId="0" borderId="0" xfId="0" applyFont="1" applyAlignment="1">
      <alignment vertical="center" wrapText="1"/>
    </xf>
    <xf numFmtId="0" fontId="76" fillId="9" borderId="0" xfId="0" applyFont="1" applyFill="1" applyAlignment="1">
      <alignment vertical="center"/>
    </xf>
    <xf numFmtId="0" fontId="79" fillId="0" borderId="0" xfId="0" applyFont="1" applyAlignment="1">
      <alignment vertical="center"/>
    </xf>
    <xf numFmtId="184" fontId="80" fillId="9" borderId="1" xfId="0" applyNumberFormat="1" applyFont="1" applyFill="1" applyBorder="1" applyAlignment="1">
      <alignment vertical="center"/>
    </xf>
    <xf numFmtId="167" fontId="80" fillId="9" borderId="1" xfId="0" applyNumberFormat="1" applyFont="1" applyFill="1" applyBorder="1" applyAlignment="1">
      <alignment horizontal="left" vertical="center" wrapText="1"/>
    </xf>
    <xf numFmtId="0" fontId="79" fillId="0" borderId="0" xfId="0" applyFont="1" applyAlignment="1">
      <alignment vertical="center" wrapText="1"/>
    </xf>
    <xf numFmtId="0" fontId="79" fillId="9" borderId="0" xfId="0" applyFont="1" applyFill="1" applyAlignment="1">
      <alignment vertical="center"/>
    </xf>
    <xf numFmtId="167" fontId="79" fillId="9" borderId="2" xfId="0" applyNumberFormat="1" applyFont="1" applyFill="1" applyBorder="1" applyAlignment="1">
      <alignment horizontal="left" vertical="center" wrapText="1"/>
    </xf>
    <xf numFmtId="0" fontId="79" fillId="9" borderId="4" xfId="0" applyFont="1" applyFill="1" applyBorder="1" applyAlignment="1">
      <alignment vertical="center"/>
    </xf>
    <xf numFmtId="184" fontId="80" fillId="9" borderId="4" xfId="0" applyNumberFormat="1" applyFont="1" applyFill="1" applyBorder="1" applyAlignment="1">
      <alignment horizontal="center" vertical="center"/>
    </xf>
    <xf numFmtId="0" fontId="81" fillId="9" borderId="4" xfId="0" applyFont="1" applyFill="1" applyBorder="1" applyAlignment="1">
      <alignment vertical="center"/>
    </xf>
    <xf numFmtId="44" fontId="81" fillId="9" borderId="4" xfId="0" applyNumberFormat="1" applyFont="1" applyFill="1" applyBorder="1" applyAlignment="1">
      <alignment horizontal="right" vertical="center"/>
    </xf>
    <xf numFmtId="184" fontId="80" fillId="9" borderId="1" xfId="0" applyNumberFormat="1" applyFont="1" applyFill="1" applyBorder="1" applyAlignment="1">
      <alignment horizontal="center" vertical="center"/>
    </xf>
    <xf numFmtId="184" fontId="80" fillId="9" borderId="0" xfId="0" applyNumberFormat="1" applyFont="1" applyFill="1" applyAlignment="1">
      <alignment horizontal="center" vertical="center"/>
    </xf>
    <xf numFmtId="184" fontId="80" fillId="26" borderId="0" xfId="1" applyNumberFormat="1" applyFont="1" applyFill="1" applyAlignment="1">
      <alignment vertical="center"/>
    </xf>
    <xf numFmtId="0" fontId="80" fillId="0" borderId="0" xfId="0" applyFont="1" applyAlignment="1">
      <alignment vertical="center"/>
    </xf>
    <xf numFmtId="0" fontId="82" fillId="0" borderId="0" xfId="0" applyFont="1"/>
    <xf numFmtId="0" fontId="77" fillId="0" borderId="0" xfId="0" applyFont="1"/>
    <xf numFmtId="0" fontId="76" fillId="0" borderId="0" xfId="0" applyFont="1"/>
    <xf numFmtId="0" fontId="77" fillId="0" borderId="0" xfId="0" applyFont="1" applyAlignment="1">
      <alignment vertical="center" wrapText="1"/>
    </xf>
    <xf numFmtId="0" fontId="77" fillId="0" borderId="0" xfId="0" applyFont="1" applyAlignment="1">
      <alignment vertical="center"/>
    </xf>
    <xf numFmtId="167" fontId="84" fillId="9" borderId="2" xfId="0" applyNumberFormat="1" applyFont="1" applyFill="1" applyBorder="1" applyAlignment="1">
      <alignment horizontal="left" vertical="center" wrapText="1"/>
    </xf>
    <xf numFmtId="167" fontId="84" fillId="9" borderId="4" xfId="0" applyNumberFormat="1" applyFont="1" applyFill="1" applyBorder="1" applyAlignment="1">
      <alignment horizontal="left" vertical="center" wrapText="1"/>
    </xf>
    <xf numFmtId="184" fontId="84" fillId="9" borderId="4" xfId="1" applyNumberFormat="1" applyFont="1" applyFill="1" applyBorder="1" applyAlignment="1">
      <alignment horizontal="center" vertical="center" wrapText="1"/>
    </xf>
    <xf numFmtId="184" fontId="84" fillId="9" borderId="1" xfId="1" applyNumberFormat="1" applyFont="1" applyFill="1" applyBorder="1" applyAlignment="1">
      <alignment horizontal="left" vertical="center" wrapText="1"/>
    </xf>
    <xf numFmtId="184" fontId="84" fillId="9" borderId="4" xfId="1" applyNumberFormat="1" applyFont="1" applyFill="1" applyBorder="1" applyAlignment="1">
      <alignment horizontal="left" vertical="center" wrapText="1"/>
    </xf>
    <xf numFmtId="184" fontId="84" fillId="9" borderId="1" xfId="1" applyNumberFormat="1" applyFont="1" applyFill="1" applyBorder="1" applyAlignment="1">
      <alignment horizontal="center" vertical="center" wrapText="1"/>
    </xf>
    <xf numFmtId="184" fontId="84" fillId="9" borderId="2" xfId="1" applyNumberFormat="1" applyFont="1" applyFill="1" applyBorder="1" applyAlignment="1">
      <alignment horizontal="center" vertical="center" wrapText="1"/>
    </xf>
    <xf numFmtId="184" fontId="84" fillId="9" borderId="0" xfId="1" applyNumberFormat="1" applyFont="1" applyFill="1" applyBorder="1" applyAlignment="1">
      <alignment horizontal="center" vertical="center" wrapText="1"/>
    </xf>
    <xf numFmtId="43" fontId="83" fillId="9" borderId="0" xfId="1" applyFont="1" applyFill="1" applyBorder="1" applyAlignment="1">
      <alignment horizontal="left" vertical="center" wrapText="1"/>
    </xf>
    <xf numFmtId="0" fontId="78" fillId="0" borderId="0" xfId="0" applyFont="1"/>
    <xf numFmtId="0" fontId="84" fillId="0" borderId="0" xfId="0" applyFont="1"/>
    <xf numFmtId="167" fontId="83" fillId="9" borderId="0" xfId="0" applyNumberFormat="1" applyFont="1" applyFill="1" applyAlignment="1">
      <alignment horizontal="left" vertical="center" wrapText="1"/>
    </xf>
    <xf numFmtId="167" fontId="83" fillId="9" borderId="12" xfId="0" applyNumberFormat="1" applyFont="1" applyFill="1" applyBorder="1" applyAlignment="1">
      <alignment horizontal="left" vertical="center" wrapText="1"/>
    </xf>
    <xf numFmtId="43" fontId="83" fillId="9" borderId="12" xfId="1" applyFont="1" applyFill="1" applyBorder="1" applyAlignment="1">
      <alignment horizontal="center" vertical="center" wrapText="1"/>
    </xf>
    <xf numFmtId="43" fontId="83" fillId="9" borderId="9" xfId="1" applyFont="1" applyFill="1" applyBorder="1" applyAlignment="1">
      <alignment horizontal="center" vertical="center" wrapText="1"/>
    </xf>
    <xf numFmtId="43" fontId="83" fillId="9" borderId="0" xfId="1" applyFont="1" applyFill="1" applyBorder="1" applyAlignment="1">
      <alignment horizontal="center" vertical="center" wrapText="1"/>
    </xf>
    <xf numFmtId="167" fontId="78" fillId="0" borderId="0" xfId="0" applyNumberFormat="1" applyFont="1" applyAlignment="1">
      <alignment horizontal="left"/>
    </xf>
    <xf numFmtId="43" fontId="76" fillId="9" borderId="57" xfId="1" applyFont="1" applyFill="1" applyBorder="1" applyAlignment="1">
      <alignment horizontal="left" vertical="center" wrapText="1"/>
    </xf>
    <xf numFmtId="182" fontId="85" fillId="9" borderId="1" xfId="1" applyNumberFormat="1" applyFont="1" applyFill="1" applyBorder="1" applyAlignment="1">
      <alignment horizontal="right" vertical="center" wrapText="1"/>
    </xf>
    <xf numFmtId="43" fontId="86" fillId="9" borderId="24" xfId="1" applyFont="1" applyFill="1" applyBorder="1" applyAlignment="1">
      <alignment horizontal="center" vertical="center" wrapText="1"/>
    </xf>
    <xf numFmtId="43" fontId="83" fillId="9" borderId="64" xfId="1" applyFont="1" applyFill="1" applyBorder="1" applyAlignment="1">
      <alignment horizontal="center" vertical="center" wrapText="1"/>
    </xf>
    <xf numFmtId="184" fontId="80" fillId="0" borderId="0" xfId="0" applyNumberFormat="1" applyFont="1" applyAlignment="1">
      <alignment vertical="center"/>
    </xf>
    <xf numFmtId="167" fontId="87" fillId="27" borderId="0" xfId="0" applyNumberFormat="1" applyFont="1" applyFill="1" applyAlignment="1">
      <alignment horizontal="left" vertical="center" wrapText="1"/>
    </xf>
    <xf numFmtId="167" fontId="88" fillId="27" borderId="0" xfId="0" applyNumberFormat="1" applyFont="1" applyFill="1" applyAlignment="1">
      <alignment horizontal="center" vertical="center" wrapText="1"/>
    </xf>
    <xf numFmtId="167" fontId="89" fillId="27" borderId="0" xfId="0" applyNumberFormat="1" applyFont="1" applyFill="1" applyAlignment="1">
      <alignment horizontal="left" vertical="center" wrapText="1"/>
    </xf>
    <xf numFmtId="167" fontId="88" fillId="25" borderId="2" xfId="0" applyNumberFormat="1" applyFont="1" applyFill="1" applyBorder="1" applyAlignment="1">
      <alignment vertical="center" wrapText="1"/>
    </xf>
    <xf numFmtId="167" fontId="88" fillId="25" borderId="4" xfId="0" applyNumberFormat="1" applyFont="1" applyFill="1" applyBorder="1" applyAlignment="1">
      <alignment vertical="center"/>
    </xf>
    <xf numFmtId="167" fontId="88" fillId="25" borderId="4" xfId="0" applyNumberFormat="1" applyFont="1" applyFill="1" applyBorder="1" applyAlignment="1">
      <alignment vertical="center" wrapText="1"/>
    </xf>
    <xf numFmtId="167" fontId="88" fillId="25" borderId="3" xfId="0" applyNumberFormat="1" applyFont="1" applyFill="1" applyBorder="1" applyAlignment="1">
      <alignment vertical="center" wrapText="1"/>
    </xf>
    <xf numFmtId="167" fontId="88" fillId="27" borderId="48" xfId="0" applyNumberFormat="1" applyFont="1" applyFill="1" applyBorder="1" applyAlignment="1">
      <alignment horizontal="center" vertical="center" wrapText="1"/>
    </xf>
    <xf numFmtId="167" fontId="88" fillId="25" borderId="24" xfId="0" applyNumberFormat="1" applyFont="1" applyFill="1" applyBorder="1" applyAlignment="1">
      <alignment vertical="center" wrapText="1"/>
    </xf>
    <xf numFmtId="167" fontId="88" fillId="25" borderId="24" xfId="0" applyNumberFormat="1" applyFont="1" applyFill="1" applyBorder="1" applyAlignment="1">
      <alignment horizontal="center" vertical="center"/>
    </xf>
    <xf numFmtId="167" fontId="88" fillId="27" borderId="27" xfId="0" applyNumberFormat="1" applyFont="1" applyFill="1" applyBorder="1" applyAlignment="1">
      <alignment horizontal="left" vertical="center"/>
    </xf>
    <xf numFmtId="167" fontId="88" fillId="27" borderId="27" xfId="0" applyNumberFormat="1" applyFont="1" applyFill="1" applyBorder="1" applyAlignment="1">
      <alignment vertical="center"/>
    </xf>
    <xf numFmtId="167" fontId="79" fillId="9" borderId="24" xfId="0" applyNumberFormat="1" applyFont="1" applyFill="1" applyBorder="1" applyAlignment="1">
      <alignment horizontal="center" vertical="center" wrapText="1"/>
    </xf>
    <xf numFmtId="167" fontId="79" fillId="9" borderId="0" xfId="0" applyNumberFormat="1" applyFont="1" applyFill="1" applyAlignment="1">
      <alignment horizontal="center" vertical="center" wrapText="1"/>
    </xf>
    <xf numFmtId="43" fontId="76" fillId="0" borderId="0" xfId="0" applyNumberFormat="1" applyFont="1" applyAlignment="1">
      <alignment vertical="center"/>
    </xf>
    <xf numFmtId="0" fontId="91" fillId="13" borderId="2" xfId="0" applyFont="1" applyFill="1" applyBorder="1" applyAlignment="1">
      <alignment horizontal="center" vertical="center"/>
    </xf>
    <xf numFmtId="0" fontId="91" fillId="13" borderId="4" xfId="0" applyFont="1" applyFill="1" applyBorder="1" applyAlignment="1">
      <alignment horizontal="center" vertical="center"/>
    </xf>
    <xf numFmtId="184" fontId="91" fillId="13" borderId="61" xfId="0" applyNumberFormat="1" applyFont="1" applyFill="1" applyBorder="1" applyAlignment="1">
      <alignment vertical="center"/>
    </xf>
    <xf numFmtId="184" fontId="91" fillId="13" borderId="34" xfId="0" applyNumberFormat="1" applyFont="1" applyFill="1" applyBorder="1" applyAlignment="1">
      <alignment vertical="center"/>
    </xf>
    <xf numFmtId="184" fontId="91" fillId="13" borderId="22" xfId="0" applyNumberFormat="1" applyFont="1" applyFill="1" applyBorder="1" applyAlignment="1">
      <alignment vertical="center"/>
    </xf>
    <xf numFmtId="184" fontId="91" fillId="13" borderId="62" xfId="0" applyNumberFormat="1" applyFont="1" applyFill="1" applyBorder="1" applyAlignment="1">
      <alignment vertical="center"/>
    </xf>
    <xf numFmtId="184" fontId="91" fillId="13" borderId="40" xfId="0" applyNumberFormat="1" applyFont="1" applyFill="1" applyBorder="1" applyAlignment="1">
      <alignment vertical="center"/>
    </xf>
    <xf numFmtId="184" fontId="91" fillId="13" borderId="4" xfId="0" applyNumberFormat="1" applyFont="1" applyFill="1" applyBorder="1" applyAlignment="1">
      <alignment vertical="center"/>
    </xf>
    <xf numFmtId="0" fontId="90" fillId="0" borderId="0" xfId="0" applyFont="1" applyAlignment="1">
      <alignment vertical="center"/>
    </xf>
    <xf numFmtId="0" fontId="78" fillId="15" borderId="1" xfId="0" applyFont="1" applyFill="1" applyBorder="1" applyAlignment="1">
      <alignment horizontal="center" vertical="center" wrapText="1"/>
    </xf>
    <xf numFmtId="0" fontId="78" fillId="15" borderId="5" xfId="0" applyFont="1" applyFill="1" applyBorder="1" applyAlignment="1">
      <alignment horizontal="center" vertical="center" wrapText="1"/>
    </xf>
    <xf numFmtId="0" fontId="78" fillId="7" borderId="1" xfId="0" applyFont="1" applyFill="1" applyBorder="1" applyAlignment="1">
      <alignment horizontal="center" vertical="center" wrapText="1"/>
    </xf>
    <xf numFmtId="0" fontId="78" fillId="7" borderId="52" xfId="0" applyFont="1" applyFill="1" applyBorder="1" applyAlignment="1">
      <alignment horizontal="center" vertical="center" wrapText="1"/>
    </xf>
    <xf numFmtId="0" fontId="78" fillId="7" borderId="53" xfId="0" applyFont="1" applyFill="1" applyBorder="1" applyAlignment="1">
      <alignment horizontal="center" vertical="center" wrapText="1"/>
    </xf>
    <xf numFmtId="0" fontId="78" fillId="7" borderId="54" xfId="0" applyFont="1" applyFill="1" applyBorder="1" applyAlignment="1">
      <alignment horizontal="center" vertical="center" wrapText="1"/>
    </xf>
    <xf numFmtId="0" fontId="78" fillId="7" borderId="55" xfId="0" applyFont="1" applyFill="1" applyBorder="1" applyAlignment="1">
      <alignment horizontal="center" vertical="center" wrapText="1"/>
    </xf>
    <xf numFmtId="0" fontId="78" fillId="7" borderId="63" xfId="0" applyFont="1" applyFill="1" applyBorder="1" applyAlignment="1">
      <alignment horizontal="center" vertical="center" wrapText="1"/>
    </xf>
    <xf numFmtId="0" fontId="78" fillId="7" borderId="41" xfId="0" applyFont="1" applyFill="1" applyBorder="1" applyAlignment="1">
      <alignment horizontal="center" vertical="center" wrapText="1"/>
    </xf>
    <xf numFmtId="0" fontId="78" fillId="7" borderId="0" xfId="0" applyFont="1" applyFill="1" applyAlignment="1">
      <alignment horizontal="center" vertical="center" wrapText="1"/>
    </xf>
    <xf numFmtId="0" fontId="84" fillId="0" borderId="0" xfId="0" applyFont="1" applyAlignment="1">
      <alignment vertical="center" wrapText="1"/>
    </xf>
    <xf numFmtId="0" fontId="84" fillId="0" borderId="0" xfId="0" applyFont="1" applyAlignment="1">
      <alignment vertical="center"/>
    </xf>
    <xf numFmtId="0" fontId="78" fillId="0" borderId="1" xfId="0" applyFont="1" applyBorder="1" applyAlignment="1">
      <alignment vertical="center" wrapText="1"/>
    </xf>
    <xf numFmtId="0" fontId="78" fillId="0" borderId="1" xfId="0" applyFont="1" applyBorder="1" applyAlignment="1">
      <alignment vertical="center"/>
    </xf>
    <xf numFmtId="0" fontId="84" fillId="0" borderId="5" xfId="0" applyFont="1" applyBorder="1" applyAlignment="1">
      <alignment horizontal="center" vertical="center" wrapText="1"/>
    </xf>
    <xf numFmtId="185" fontId="84" fillId="0" borderId="5" xfId="0" applyNumberFormat="1" applyFont="1" applyBorder="1" applyAlignment="1">
      <alignment horizontal="center" vertical="center" wrapText="1"/>
    </xf>
    <xf numFmtId="0" fontId="84" fillId="0" borderId="1" xfId="0" applyFont="1" applyBorder="1" applyAlignment="1">
      <alignment horizontal="center" vertical="center" wrapText="1"/>
    </xf>
    <xf numFmtId="0" fontId="78" fillId="0" borderId="1" xfId="0" applyFont="1" applyBorder="1" applyAlignment="1">
      <alignment horizontal="center" vertical="center" wrapText="1"/>
    </xf>
    <xf numFmtId="0" fontId="84" fillId="0" borderId="1" xfId="0" applyFont="1" applyBorder="1" applyAlignment="1">
      <alignment vertical="center" wrapText="1"/>
    </xf>
    <xf numFmtId="168" fontId="84" fillId="0" borderId="1" xfId="0" applyNumberFormat="1" applyFont="1" applyBorder="1" applyAlignment="1">
      <alignment horizontal="center" vertical="center" wrapText="1"/>
    </xf>
    <xf numFmtId="184" fontId="85" fillId="0" borderId="57" xfId="1" applyNumberFormat="1" applyFont="1" applyFill="1" applyBorder="1" applyAlignment="1">
      <alignment horizontal="right" vertical="center" wrapText="1"/>
    </xf>
    <xf numFmtId="182" fontId="85" fillId="0" borderId="50" xfId="1" applyNumberFormat="1" applyFont="1" applyFill="1" applyBorder="1" applyAlignment="1">
      <alignment horizontal="right" vertical="center" wrapText="1"/>
    </xf>
    <xf numFmtId="182" fontId="85" fillId="0" borderId="1" xfId="1" applyNumberFormat="1" applyFont="1" applyFill="1" applyBorder="1" applyAlignment="1">
      <alignment horizontal="right" vertical="center" wrapText="1"/>
    </xf>
    <xf numFmtId="182" fontId="85" fillId="0" borderId="49" xfId="1" applyNumberFormat="1" applyFont="1" applyFill="1" applyBorder="1" applyAlignment="1">
      <alignment horizontal="right" vertical="center" wrapText="1"/>
    </xf>
    <xf numFmtId="182" fontId="85" fillId="0" borderId="3" xfId="1" applyNumberFormat="1" applyFont="1" applyFill="1" applyBorder="1" applyAlignment="1">
      <alignment horizontal="right" vertical="center" wrapText="1"/>
    </xf>
    <xf numFmtId="182" fontId="85" fillId="0" borderId="2" xfId="1" applyNumberFormat="1" applyFont="1" applyFill="1" applyBorder="1" applyAlignment="1">
      <alignment horizontal="right" vertical="center" wrapText="1"/>
    </xf>
    <xf numFmtId="182" fontId="85" fillId="7" borderId="60" xfId="1" applyNumberFormat="1" applyFont="1" applyFill="1" applyBorder="1" applyAlignment="1">
      <alignment horizontal="right" vertical="center" wrapText="1"/>
    </xf>
    <xf numFmtId="182" fontId="85" fillId="0" borderId="60" xfId="1" applyNumberFormat="1" applyFont="1" applyFill="1" applyBorder="1" applyAlignment="1">
      <alignment horizontal="right" vertical="center" wrapText="1"/>
    </xf>
    <xf numFmtId="182" fontId="85" fillId="0" borderId="0" xfId="1" applyNumberFormat="1" applyFont="1" applyFill="1" applyBorder="1" applyAlignment="1">
      <alignment horizontal="right" vertical="center" wrapText="1"/>
    </xf>
    <xf numFmtId="184" fontId="85" fillId="0" borderId="0" xfId="1" applyNumberFormat="1" applyFont="1" applyFill="1" applyBorder="1" applyAlignment="1">
      <alignment horizontal="right" vertical="center" wrapText="1"/>
    </xf>
    <xf numFmtId="184" fontId="84" fillId="0" borderId="0" xfId="0" applyNumberFormat="1" applyFont="1" applyAlignment="1">
      <alignment vertical="center"/>
    </xf>
    <xf numFmtId="169" fontId="84" fillId="0" borderId="1" xfId="2" applyNumberFormat="1" applyFont="1" applyFill="1" applyBorder="1" applyAlignment="1">
      <alignment vertical="center"/>
    </xf>
    <xf numFmtId="0" fontId="86" fillId="0" borderId="1" xfId="0" applyFont="1" applyBorder="1" applyAlignment="1">
      <alignment vertical="center"/>
    </xf>
    <xf numFmtId="182" fontId="85" fillId="9" borderId="49" xfId="1" applyNumberFormat="1" applyFont="1" applyFill="1" applyBorder="1" applyAlignment="1">
      <alignment horizontal="right" vertical="center" wrapText="1"/>
    </xf>
    <xf numFmtId="182" fontId="85" fillId="9" borderId="60" xfId="1" applyNumberFormat="1" applyFont="1" applyFill="1" applyBorder="1" applyAlignment="1">
      <alignment horizontal="right" vertical="center" wrapText="1"/>
    </xf>
    <xf numFmtId="182" fontId="84" fillId="0" borderId="0" xfId="0" applyNumberFormat="1" applyFont="1" applyAlignment="1">
      <alignment vertical="center"/>
    </xf>
    <xf numFmtId="0" fontId="84" fillId="0" borderId="1" xfId="0" applyFont="1" applyBorder="1" applyAlignment="1">
      <alignment vertical="center"/>
    </xf>
    <xf numFmtId="169" fontId="78" fillId="0" borderId="1" xfId="2" applyNumberFormat="1" applyFont="1" applyFill="1" applyBorder="1" applyAlignment="1">
      <alignment vertical="center"/>
    </xf>
    <xf numFmtId="184" fontId="85" fillId="23" borderId="0" xfId="1" applyNumberFormat="1" applyFont="1" applyFill="1" applyBorder="1" applyAlignment="1">
      <alignment horizontal="right" vertical="center" wrapText="1"/>
    </xf>
    <xf numFmtId="184" fontId="84" fillId="9" borderId="0" xfId="0" applyNumberFormat="1" applyFont="1" applyFill="1" applyAlignment="1">
      <alignment vertical="center"/>
    </xf>
    <xf numFmtId="14" fontId="84" fillId="0" borderId="5" xfId="0" applyNumberFormat="1" applyFont="1" applyBorder="1" applyAlignment="1">
      <alignment horizontal="center" vertical="center" wrapText="1"/>
    </xf>
    <xf numFmtId="184" fontId="85" fillId="0" borderId="39" xfId="1" applyNumberFormat="1" applyFont="1" applyFill="1" applyBorder="1" applyAlignment="1">
      <alignment horizontal="right" vertical="center" wrapText="1"/>
    </xf>
    <xf numFmtId="169" fontId="78" fillId="0" borderId="1" xfId="0" applyNumberFormat="1" applyFont="1" applyBorder="1" applyAlignment="1">
      <alignment vertical="center"/>
    </xf>
    <xf numFmtId="184" fontId="85" fillId="21" borderId="0" xfId="1" applyNumberFormat="1" applyFont="1" applyFill="1" applyBorder="1" applyAlignment="1">
      <alignment horizontal="right" vertical="center" wrapText="1"/>
    </xf>
    <xf numFmtId="185" fontId="84" fillId="0" borderId="5" xfId="0" quotePrefix="1" applyNumberFormat="1" applyFont="1" applyBorder="1" applyAlignment="1">
      <alignment horizontal="center" vertical="center" wrapText="1"/>
    </xf>
    <xf numFmtId="182" fontId="85" fillId="26" borderId="49" xfId="1" applyNumberFormat="1" applyFont="1" applyFill="1" applyBorder="1" applyAlignment="1">
      <alignment horizontal="right" vertical="center" wrapText="1"/>
    </xf>
    <xf numFmtId="0" fontId="84" fillId="0" borderId="5" xfId="0" applyFont="1" applyBorder="1" applyAlignment="1">
      <alignment vertical="center" wrapText="1"/>
    </xf>
    <xf numFmtId="0" fontId="92" fillId="0" borderId="1" xfId="0" applyFont="1" applyBorder="1" applyAlignment="1">
      <alignment horizontal="left" vertical="center" wrapText="1"/>
    </xf>
    <xf numFmtId="14" fontId="84" fillId="0" borderId="1" xfId="0" applyNumberFormat="1" applyFont="1" applyBorder="1" applyAlignment="1">
      <alignment horizontal="center" vertical="center" wrapText="1"/>
    </xf>
    <xf numFmtId="168" fontId="84" fillId="0" borderId="2" xfId="0" applyNumberFormat="1" applyFont="1" applyBorder="1" applyAlignment="1">
      <alignment horizontal="center" vertical="center" wrapText="1"/>
    </xf>
    <xf numFmtId="43" fontId="85" fillId="0" borderId="50" xfId="1" applyFont="1" applyFill="1" applyBorder="1" applyAlignment="1">
      <alignment horizontal="right" vertical="center" wrapText="1"/>
    </xf>
    <xf numFmtId="0" fontId="84" fillId="0" borderId="1" xfId="0" quotePrefix="1" applyFont="1" applyBorder="1" applyAlignment="1">
      <alignment horizontal="center" vertical="center" wrapText="1"/>
    </xf>
    <xf numFmtId="0" fontId="84" fillId="9" borderId="1" xfId="0" quotePrefix="1" applyFont="1" applyFill="1" applyBorder="1" applyAlignment="1">
      <alignment horizontal="center" vertical="center" wrapText="1"/>
    </xf>
    <xf numFmtId="43" fontId="84" fillId="0" borderId="0" xfId="1" applyFont="1" applyFill="1" applyAlignment="1">
      <alignment vertical="center"/>
    </xf>
    <xf numFmtId="9" fontId="84" fillId="0" borderId="0" xfId="0" applyNumberFormat="1" applyFont="1" applyAlignment="1">
      <alignment vertical="center"/>
    </xf>
    <xf numFmtId="0" fontId="86" fillId="0" borderId="0" xfId="0" applyFont="1" applyAlignment="1">
      <alignment vertical="center"/>
    </xf>
    <xf numFmtId="182" fontId="85" fillId="0" borderId="4" xfId="1" applyNumberFormat="1" applyFont="1" applyFill="1" applyBorder="1" applyAlignment="1">
      <alignment horizontal="right" vertical="center" wrapText="1"/>
    </xf>
    <xf numFmtId="186" fontId="85" fillId="0" borderId="50" xfId="1" applyNumberFormat="1" applyFont="1" applyFill="1" applyBorder="1" applyAlignment="1">
      <alignment horizontal="right" vertical="center" wrapText="1"/>
    </xf>
    <xf numFmtId="10" fontId="84" fillId="9" borderId="0" xfId="128" applyNumberFormat="1" applyFont="1" applyFill="1" applyAlignment="1">
      <alignment vertical="center"/>
    </xf>
    <xf numFmtId="182" fontId="85" fillId="30" borderId="49" xfId="1" applyNumberFormat="1" applyFont="1" applyFill="1" applyBorder="1" applyAlignment="1">
      <alignment horizontal="right" vertical="center" wrapText="1"/>
    </xf>
    <xf numFmtId="184" fontId="93" fillId="0" borderId="0" xfId="1" applyNumberFormat="1" applyFont="1" applyFill="1" applyBorder="1" applyAlignment="1">
      <alignment horizontal="right" vertical="center" wrapText="1"/>
    </xf>
    <xf numFmtId="182" fontId="85" fillId="28" borderId="49" xfId="1" applyNumberFormat="1" applyFont="1" applyFill="1" applyBorder="1" applyAlignment="1">
      <alignment horizontal="right" vertical="center" wrapText="1"/>
    </xf>
    <xf numFmtId="182" fontId="85" fillId="9" borderId="50" xfId="1" applyNumberFormat="1" applyFont="1" applyFill="1" applyBorder="1" applyAlignment="1">
      <alignment horizontal="right" vertical="center" wrapText="1"/>
    </xf>
    <xf numFmtId="186" fontId="85" fillId="0" borderId="49" xfId="1" applyNumberFormat="1" applyFont="1" applyFill="1" applyBorder="1" applyAlignment="1">
      <alignment horizontal="right" vertical="center" wrapText="1"/>
    </xf>
    <xf numFmtId="184" fontId="85" fillId="0" borderId="50" xfId="1" applyNumberFormat="1" applyFont="1" applyFill="1" applyBorder="1" applyAlignment="1">
      <alignment horizontal="right" vertical="center" wrapText="1"/>
    </xf>
    <xf numFmtId="182" fontId="85" fillId="0" borderId="14" xfId="1" applyNumberFormat="1" applyFont="1" applyFill="1" applyBorder="1" applyAlignment="1">
      <alignment horizontal="right" vertical="center" wrapText="1"/>
    </xf>
    <xf numFmtId="182" fontId="85" fillId="0" borderId="5" xfId="1" applyNumberFormat="1" applyFont="1" applyFill="1" applyBorder="1" applyAlignment="1">
      <alignment horizontal="right" vertical="center" wrapText="1"/>
    </xf>
    <xf numFmtId="182" fontId="85" fillId="0" borderId="59" xfId="1" applyNumberFormat="1" applyFont="1" applyFill="1" applyBorder="1" applyAlignment="1">
      <alignment horizontal="right" vertical="center" wrapText="1"/>
    </xf>
    <xf numFmtId="182" fontId="85" fillId="0" borderId="57" xfId="1" applyNumberFormat="1" applyFont="1" applyFill="1" applyBorder="1" applyAlignment="1">
      <alignment horizontal="right" vertical="center" wrapText="1"/>
    </xf>
    <xf numFmtId="182" fontId="85" fillId="9" borderId="39" xfId="1" applyNumberFormat="1" applyFont="1" applyFill="1" applyBorder="1" applyAlignment="1">
      <alignment horizontal="right" vertical="center" wrapText="1"/>
    </xf>
    <xf numFmtId="182" fontId="85" fillId="0" borderId="39" xfId="1" applyNumberFormat="1" applyFont="1" applyFill="1" applyBorder="1" applyAlignment="1">
      <alignment horizontal="right" vertical="center" wrapText="1"/>
    </xf>
    <xf numFmtId="43" fontId="84" fillId="9" borderId="0" xfId="0" applyNumberFormat="1" applyFont="1" applyFill="1" applyAlignment="1">
      <alignment vertical="center"/>
    </xf>
    <xf numFmtId="184" fontId="85" fillId="0" borderId="14" xfId="1" applyNumberFormat="1" applyFont="1" applyFill="1" applyBorder="1" applyAlignment="1">
      <alignment horizontal="right" vertical="center" wrapText="1"/>
    </xf>
    <xf numFmtId="184" fontId="85" fillId="0" borderId="59" xfId="1" applyNumberFormat="1" applyFont="1" applyFill="1" applyBorder="1" applyAlignment="1">
      <alignment horizontal="right" vertical="center" wrapText="1"/>
    </xf>
    <xf numFmtId="0" fontId="92" fillId="0" borderId="1" xfId="0" quotePrefix="1" applyFont="1" applyBorder="1" applyAlignment="1">
      <alignment horizontal="left" vertical="center" wrapText="1"/>
    </xf>
    <xf numFmtId="184" fontId="85" fillId="0" borderId="5" xfId="1" applyNumberFormat="1" applyFont="1" applyFill="1" applyBorder="1" applyAlignment="1">
      <alignment horizontal="right" vertical="center" wrapText="1"/>
    </xf>
    <xf numFmtId="0" fontId="84" fillId="0" borderId="5" xfId="0" quotePrefix="1" applyFont="1" applyBorder="1" applyAlignment="1">
      <alignment horizontal="center" vertical="center" wrapText="1"/>
    </xf>
    <xf numFmtId="184" fontId="85" fillId="0" borderId="19" xfId="1" applyNumberFormat="1" applyFont="1" applyFill="1" applyBorder="1" applyAlignment="1">
      <alignment horizontal="right" vertical="center" wrapText="1"/>
    </xf>
    <xf numFmtId="0" fontId="86" fillId="0" borderId="0" xfId="0" applyFont="1" applyAlignment="1">
      <alignment horizontal="center" vertical="center"/>
    </xf>
    <xf numFmtId="184" fontId="85" fillId="0" borderId="1" xfId="1" applyNumberFormat="1" applyFont="1" applyFill="1" applyBorder="1" applyAlignment="1">
      <alignment horizontal="right" vertical="center" wrapText="1"/>
    </xf>
    <xf numFmtId="184" fontId="85" fillId="0" borderId="41" xfId="1" applyNumberFormat="1" applyFont="1" applyFill="1" applyBorder="1" applyAlignment="1">
      <alignment horizontal="right" vertical="center" wrapText="1"/>
    </xf>
    <xf numFmtId="184" fontId="85" fillId="0" borderId="21" xfId="1" applyNumberFormat="1" applyFont="1" applyFill="1" applyBorder="1" applyAlignment="1">
      <alignment horizontal="right" vertical="center" wrapText="1"/>
    </xf>
    <xf numFmtId="0" fontId="94" fillId="16" borderId="1" xfId="0" applyFont="1" applyFill="1" applyBorder="1" applyAlignment="1">
      <alignment horizontal="left"/>
    </xf>
    <xf numFmtId="0" fontId="94" fillId="16" borderId="1" xfId="0" applyFont="1" applyFill="1" applyBorder="1" applyAlignment="1">
      <alignment wrapText="1"/>
    </xf>
    <xf numFmtId="0" fontId="94" fillId="16" borderId="0" xfId="0" applyFont="1" applyFill="1" applyAlignment="1">
      <alignment wrapText="1"/>
    </xf>
    <xf numFmtId="0" fontId="94" fillId="19" borderId="1" xfId="0" applyFont="1" applyFill="1" applyBorder="1" applyAlignment="1">
      <alignment horizontal="left"/>
    </xf>
    <xf numFmtId="0" fontId="94" fillId="19" borderId="1" xfId="0" applyFont="1" applyFill="1" applyBorder="1" applyAlignment="1">
      <alignment wrapText="1"/>
    </xf>
    <xf numFmtId="0" fontId="94" fillId="19" borderId="0" xfId="0" applyFont="1" applyFill="1" applyAlignment="1">
      <alignment wrapText="1"/>
    </xf>
    <xf numFmtId="184" fontId="76" fillId="0" borderId="0" xfId="0" applyNumberFormat="1" applyFont="1"/>
    <xf numFmtId="0" fontId="95" fillId="0" borderId="0" xfId="0" applyFont="1"/>
    <xf numFmtId="0" fontId="76" fillId="0" borderId="0" xfId="0" applyFont="1" applyAlignment="1">
      <alignment horizontal="left" vertical="center"/>
    </xf>
    <xf numFmtId="0" fontId="8" fillId="7" borderId="55" xfId="0" applyFont="1" applyFill="1" applyBorder="1" applyAlignment="1">
      <alignment horizontal="center" vertical="center" wrapText="1"/>
    </xf>
    <xf numFmtId="0" fontId="8" fillId="7" borderId="63" xfId="0" applyFont="1" applyFill="1" applyBorder="1" applyAlignment="1">
      <alignment horizontal="center" vertical="center" wrapText="1"/>
    </xf>
    <xf numFmtId="0" fontId="8" fillId="7" borderId="41" xfId="0" applyFont="1" applyFill="1" applyBorder="1" applyAlignment="1">
      <alignment horizontal="center" vertical="center" wrapText="1"/>
    </xf>
    <xf numFmtId="0" fontId="0" fillId="28" borderId="29" xfId="0" applyFill="1" applyBorder="1" applyAlignment="1">
      <alignment vertical="center"/>
    </xf>
    <xf numFmtId="0" fontId="8" fillId="0" borderId="1" xfId="0" applyFont="1" applyBorder="1" applyAlignment="1">
      <alignment horizontal="center" vertical="center" wrapText="1"/>
    </xf>
    <xf numFmtId="0" fontId="8" fillId="7" borderId="45" xfId="0" applyFont="1" applyFill="1" applyBorder="1" applyAlignment="1">
      <alignment horizontal="center" vertical="center" wrapText="1"/>
    </xf>
    <xf numFmtId="43" fontId="84" fillId="9" borderId="1" xfId="1" applyFont="1" applyFill="1" applyBorder="1" applyAlignment="1">
      <alignment horizontal="center" vertical="center" wrapText="1"/>
    </xf>
    <xf numFmtId="43" fontId="91" fillId="13" borderId="37" xfId="0" applyNumberFormat="1" applyFont="1" applyFill="1" applyBorder="1" applyAlignment="1">
      <alignment vertical="center"/>
    </xf>
    <xf numFmtId="43" fontId="76" fillId="0" borderId="0" xfId="0" applyNumberFormat="1" applyFont="1" applyAlignment="1">
      <alignment vertical="center" wrapText="1"/>
    </xf>
    <xf numFmtId="43" fontId="80" fillId="9" borderId="1" xfId="0" applyNumberFormat="1" applyFont="1" applyFill="1" applyBorder="1" applyAlignment="1">
      <alignment horizontal="center" vertical="center"/>
    </xf>
    <xf numFmtId="43" fontId="80" fillId="9" borderId="2" xfId="0" applyNumberFormat="1" applyFont="1" applyFill="1" applyBorder="1" applyAlignment="1">
      <alignment horizontal="center" vertical="center"/>
    </xf>
    <xf numFmtId="0" fontId="84" fillId="0" borderId="1" xfId="0" applyFont="1" applyBorder="1" applyAlignment="1">
      <alignment horizontal="left" vertical="center" wrapText="1"/>
    </xf>
    <xf numFmtId="182" fontId="85" fillId="11" borderId="50" xfId="1" applyNumberFormat="1" applyFont="1" applyFill="1" applyBorder="1" applyAlignment="1">
      <alignment horizontal="right" vertical="center" wrapText="1"/>
    </xf>
    <xf numFmtId="182" fontId="85" fillId="11" borderId="1" xfId="1" applyNumberFormat="1" applyFont="1" applyFill="1" applyBorder="1" applyAlignment="1">
      <alignment horizontal="right" vertical="center" wrapText="1"/>
    </xf>
    <xf numFmtId="182" fontId="85" fillId="11" borderId="49" xfId="1" applyNumberFormat="1" applyFont="1" applyFill="1" applyBorder="1" applyAlignment="1">
      <alignment horizontal="right" vertical="center" wrapText="1"/>
    </xf>
    <xf numFmtId="0" fontId="65" fillId="28" borderId="0" xfId="0" applyFont="1" applyFill="1"/>
    <xf numFmtId="0" fontId="65" fillId="0" borderId="0" xfId="0" applyFont="1" applyAlignment="1">
      <alignment horizontal="center"/>
    </xf>
    <xf numFmtId="184" fontId="65" fillId="28" borderId="0" xfId="0" applyNumberFormat="1" applyFont="1" applyFill="1"/>
    <xf numFmtId="184" fontId="51" fillId="0" borderId="0" xfId="0" applyNumberFormat="1" applyFont="1"/>
    <xf numFmtId="184" fontId="51" fillId="28" borderId="0" xfId="0" applyNumberFormat="1" applyFont="1" applyFill="1"/>
    <xf numFmtId="0" fontId="65" fillId="0" borderId="1" xfId="0" applyFont="1" applyBorder="1"/>
    <xf numFmtId="0" fontId="65" fillId="0" borderId="1" xfId="0" applyFont="1" applyBorder="1" applyAlignment="1">
      <alignment wrapText="1"/>
    </xf>
    <xf numFmtId="0" fontId="65" fillId="28" borderId="1" xfId="0" applyFont="1" applyFill="1" applyBorder="1"/>
    <xf numFmtId="0" fontId="13" fillId="0" borderId="1" xfId="0" applyFont="1" applyBorder="1"/>
    <xf numFmtId="184" fontId="51" fillId="0" borderId="1" xfId="1" applyNumberFormat="1" applyFont="1" applyBorder="1"/>
    <xf numFmtId="0" fontId="51" fillId="0" borderId="1" xfId="0" applyFont="1" applyBorder="1"/>
    <xf numFmtId="184" fontId="51" fillId="28" borderId="1" xfId="1" applyNumberFormat="1" applyFont="1" applyFill="1" applyBorder="1"/>
    <xf numFmtId="184" fontId="51" fillId="0" borderId="1" xfId="0" applyNumberFormat="1" applyFont="1" applyBorder="1"/>
    <xf numFmtId="184" fontId="51" fillId="28" borderId="1" xfId="0" applyNumberFormat="1" applyFont="1" applyFill="1" applyBorder="1"/>
    <xf numFmtId="0" fontId="51" fillId="0" borderId="5" xfId="0" applyFont="1" applyBorder="1"/>
    <xf numFmtId="0" fontId="51" fillId="28" borderId="5" xfId="0" applyFont="1" applyFill="1" applyBorder="1"/>
    <xf numFmtId="0" fontId="51" fillId="0" borderId="24" xfId="0" applyFont="1" applyBorder="1"/>
    <xf numFmtId="184" fontId="51" fillId="0" borderId="24" xfId="0" applyNumberFormat="1" applyFont="1" applyBorder="1"/>
    <xf numFmtId="184" fontId="51" fillId="28" borderId="24" xfId="0" applyNumberFormat="1" applyFont="1" applyFill="1" applyBorder="1"/>
    <xf numFmtId="0" fontId="65" fillId="0" borderId="44" xfId="0" applyFont="1" applyBorder="1"/>
    <xf numFmtId="184" fontId="65" fillId="0" borderId="45" xfId="0" applyNumberFormat="1" applyFont="1" applyBorder="1"/>
    <xf numFmtId="184" fontId="65" fillId="0" borderId="46" xfId="0" applyNumberFormat="1" applyFont="1" applyBorder="1"/>
    <xf numFmtId="17" fontId="51" fillId="0" borderId="1" xfId="0" applyNumberFormat="1" applyFont="1" applyBorder="1"/>
    <xf numFmtId="17" fontId="13" fillId="0" borderId="1" xfId="0" applyNumberFormat="1" applyFont="1" applyBorder="1"/>
    <xf numFmtId="43" fontId="76" fillId="0" borderId="0" xfId="1" applyFont="1" applyAlignment="1">
      <alignment vertical="center"/>
    </xf>
    <xf numFmtId="0" fontId="84" fillId="9" borderId="1" xfId="0" applyFont="1" applyFill="1" applyBorder="1" applyAlignment="1">
      <alignment horizontal="center" vertical="center" wrapText="1"/>
    </xf>
    <xf numFmtId="182" fontId="85" fillId="9" borderId="12" xfId="1" applyNumberFormat="1" applyFont="1" applyFill="1" applyBorder="1" applyAlignment="1">
      <alignment horizontal="right" vertical="center" wrapText="1"/>
    </xf>
    <xf numFmtId="182" fontId="85" fillId="0" borderId="85" xfId="1" applyNumberFormat="1" applyFont="1" applyFill="1" applyBorder="1" applyAlignment="1">
      <alignment horizontal="right" vertical="center" wrapText="1"/>
    </xf>
    <xf numFmtId="184" fontId="85" fillId="0" borderId="32" xfId="1" applyNumberFormat="1" applyFont="1" applyFill="1" applyBorder="1" applyAlignment="1">
      <alignment horizontal="right" vertical="center" wrapText="1"/>
    </xf>
    <xf numFmtId="167" fontId="88" fillId="32" borderId="48" xfId="0" applyNumberFormat="1" applyFont="1" applyFill="1" applyBorder="1" applyAlignment="1">
      <alignment horizontal="center" vertical="center" wrapText="1"/>
    </xf>
    <xf numFmtId="0" fontId="8" fillId="32" borderId="41" xfId="0" applyFont="1" applyFill="1" applyBorder="1" applyAlignment="1">
      <alignment horizontal="center" vertical="center" wrapText="1"/>
    </xf>
    <xf numFmtId="182" fontId="85" fillId="32" borderId="60" xfId="1" applyNumberFormat="1" applyFont="1" applyFill="1" applyBorder="1" applyAlignment="1">
      <alignment horizontal="right" vertical="center" wrapText="1"/>
    </xf>
    <xf numFmtId="182" fontId="85" fillId="2" borderId="60" xfId="1" applyNumberFormat="1" applyFont="1" applyFill="1" applyBorder="1" applyAlignment="1">
      <alignment horizontal="right" vertical="center" wrapText="1"/>
    </xf>
    <xf numFmtId="0" fontId="6" fillId="0" borderId="9" xfId="0" applyFont="1" applyBorder="1" applyAlignment="1">
      <alignment horizontal="center" vertical="center" wrapText="1"/>
    </xf>
    <xf numFmtId="0" fontId="6" fillId="0" borderId="0" xfId="0" applyFont="1" applyAlignment="1">
      <alignment horizontal="center" vertical="center" wrapText="1"/>
    </xf>
    <xf numFmtId="0" fontId="6" fillId="0" borderId="0" xfId="0" applyFont="1" applyAlignment="1">
      <alignment vertical="center" wrapText="1"/>
    </xf>
    <xf numFmtId="1" fontId="6" fillId="0" borderId="0" xfId="0" applyNumberFormat="1" applyFont="1" applyAlignment="1">
      <alignment horizontal="center" vertical="center" wrapText="1"/>
    </xf>
    <xf numFmtId="2" fontId="6" fillId="0" borderId="0" xfId="0" applyNumberFormat="1" applyFont="1" applyAlignment="1">
      <alignment horizontal="center" vertical="center" wrapText="1"/>
    </xf>
    <xf numFmtId="44" fontId="6" fillId="0" borderId="0" xfId="2" applyFont="1" applyFill="1" applyBorder="1" applyAlignment="1">
      <alignment horizontal="center" vertical="center" wrapText="1"/>
    </xf>
    <xf numFmtId="182" fontId="49" fillId="0" borderId="0" xfId="1" applyNumberFormat="1" applyFont="1" applyFill="1" applyBorder="1" applyAlignment="1">
      <alignment horizontal="right" vertical="center" wrapText="1"/>
    </xf>
    <xf numFmtId="0" fontId="6" fillId="0" borderId="0" xfId="0" applyFont="1" applyAlignment="1">
      <alignment horizontal="left" vertical="center" wrapText="1"/>
    </xf>
    <xf numFmtId="43" fontId="6" fillId="0" borderId="0" xfId="1" applyFont="1" applyFill="1" applyBorder="1" applyAlignment="1">
      <alignment horizontal="left" vertical="center" wrapText="1"/>
    </xf>
    <xf numFmtId="6" fontId="6" fillId="0" borderId="0" xfId="0" applyNumberFormat="1" applyFont="1" applyAlignment="1">
      <alignment horizontal="center" vertical="center" wrapText="1"/>
    </xf>
    <xf numFmtId="168" fontId="6" fillId="0" borderId="8" xfId="0" applyNumberFormat="1" applyFont="1" applyBorder="1" applyAlignment="1">
      <alignment horizontal="center" vertical="center" wrapText="1"/>
    </xf>
    <xf numFmtId="0" fontId="96" fillId="0" borderId="0" xfId="0" applyFont="1"/>
    <xf numFmtId="0" fontId="97" fillId="0" borderId="0" xfId="0" applyFont="1"/>
    <xf numFmtId="0" fontId="19" fillId="33" borderId="0" xfId="0" applyFont="1" applyFill="1"/>
    <xf numFmtId="0" fontId="4" fillId="8" borderId="1" xfId="0" applyFont="1" applyFill="1" applyBorder="1"/>
    <xf numFmtId="43" fontId="98" fillId="34" borderId="1" xfId="1" applyFont="1" applyFill="1" applyBorder="1"/>
    <xf numFmtId="0" fontId="98" fillId="34" borderId="1" xfId="0" applyFont="1" applyFill="1" applyBorder="1" applyAlignment="1">
      <alignment wrapText="1"/>
    </xf>
    <xf numFmtId="0" fontId="4" fillId="8" borderId="1" xfId="0" applyFont="1" applyFill="1" applyBorder="1" applyAlignment="1">
      <alignment wrapText="1"/>
    </xf>
    <xf numFmtId="169" fontId="4" fillId="8" borderId="1" xfId="0" applyNumberFormat="1" applyFont="1" applyFill="1" applyBorder="1" applyAlignment="1">
      <alignment wrapText="1"/>
    </xf>
    <xf numFmtId="169" fontId="0" fillId="0" borderId="0" xfId="0" applyNumberFormat="1"/>
    <xf numFmtId="0" fontId="0" fillId="0" borderId="1" xfId="0" applyBorder="1"/>
    <xf numFmtId="169" fontId="99" fillId="0" borderId="1" xfId="2" applyNumberFormat="1" applyFont="1" applyBorder="1"/>
    <xf numFmtId="169" fontId="0" fillId="0" borderId="1" xfId="2" applyNumberFormat="1" applyFont="1" applyFill="1" applyBorder="1"/>
    <xf numFmtId="169" fontId="0" fillId="0" borderId="1" xfId="2" applyNumberFormat="1" applyFont="1" applyBorder="1"/>
    <xf numFmtId="0" fontId="0" fillId="0" borderId="53" xfId="0" applyBorder="1"/>
    <xf numFmtId="169" fontId="99" fillId="0" borderId="53" xfId="2" applyNumberFormat="1" applyFont="1" applyBorder="1"/>
    <xf numFmtId="169" fontId="0" fillId="0" borderId="53" xfId="2" applyNumberFormat="1" applyFont="1" applyFill="1" applyBorder="1"/>
    <xf numFmtId="169" fontId="0" fillId="0" borderId="53" xfId="2" applyNumberFormat="1" applyFont="1" applyBorder="1"/>
    <xf numFmtId="0" fontId="4" fillId="0" borderId="86" xfId="0" applyFont="1" applyBorder="1"/>
    <xf numFmtId="169" fontId="98" fillId="0" borderId="86" xfId="2" applyNumberFormat="1" applyFont="1" applyBorder="1"/>
    <xf numFmtId="169" fontId="4" fillId="0" borderId="86" xfId="2" applyNumberFormat="1" applyFont="1" applyFill="1" applyBorder="1"/>
    <xf numFmtId="169" fontId="4" fillId="0" borderId="86" xfId="2" applyNumberFormat="1" applyFont="1" applyBorder="1"/>
    <xf numFmtId="169" fontId="96" fillId="0" borderId="0" xfId="0" applyNumberFormat="1" applyFont="1"/>
    <xf numFmtId="169" fontId="98" fillId="34" borderId="1" xfId="0" applyNumberFormat="1" applyFont="1" applyFill="1" applyBorder="1"/>
    <xf numFmtId="169" fontId="4" fillId="8" borderId="1" xfId="0" applyNumberFormat="1" applyFont="1" applyFill="1" applyBorder="1"/>
    <xf numFmtId="0" fontId="18" fillId="0" borderId="1" xfId="0" applyFont="1" applyBorder="1"/>
    <xf numFmtId="169" fontId="18" fillId="0" borderId="1" xfId="2" applyNumberFormat="1" applyFont="1" applyFill="1" applyBorder="1"/>
    <xf numFmtId="169" fontId="18" fillId="0" borderId="1" xfId="2" applyNumberFormat="1" applyFont="1" applyBorder="1"/>
    <xf numFmtId="0" fontId="18" fillId="0" borderId="53" xfId="0" applyFont="1" applyBorder="1"/>
    <xf numFmtId="169" fontId="18" fillId="0" borderId="53" xfId="2" applyNumberFormat="1" applyFont="1" applyFill="1" applyBorder="1"/>
    <xf numFmtId="169" fontId="18" fillId="0" borderId="53" xfId="2" applyNumberFormat="1" applyFont="1" applyBorder="1"/>
    <xf numFmtId="0" fontId="1" fillId="0" borderId="86" xfId="0" applyFont="1" applyBorder="1"/>
    <xf numFmtId="169" fontId="99" fillId="0" borderId="86" xfId="2" applyNumberFormat="1" applyFont="1" applyBorder="1"/>
    <xf numFmtId="169" fontId="1" fillId="0" borderId="86" xfId="2" applyNumberFormat="1" applyFont="1" applyFill="1" applyBorder="1"/>
    <xf numFmtId="169" fontId="1" fillId="0" borderId="86" xfId="2" applyNumberFormat="1" applyFont="1" applyBorder="1"/>
    <xf numFmtId="0" fontId="0" fillId="0" borderId="86" xfId="0" applyBorder="1"/>
    <xf numFmtId="0" fontId="18" fillId="0" borderId="5" xfId="0" applyFont="1" applyBorder="1"/>
    <xf numFmtId="169" fontId="99" fillId="0" borderId="5" xfId="2" applyNumberFormat="1" applyFont="1" applyBorder="1"/>
    <xf numFmtId="169" fontId="18" fillId="0" borderId="5" xfId="2" applyNumberFormat="1" applyFont="1" applyFill="1" applyBorder="1"/>
    <xf numFmtId="169" fontId="18" fillId="0" borderId="5" xfId="2" applyNumberFormat="1" applyFont="1" applyBorder="1"/>
    <xf numFmtId="0" fontId="0" fillId="0" borderId="5" xfId="0" applyBorder="1" applyAlignment="1">
      <alignment wrapText="1"/>
    </xf>
    <xf numFmtId="0" fontId="1" fillId="0" borderId="44" xfId="0" applyFont="1" applyBorder="1"/>
    <xf numFmtId="169" fontId="99" fillId="0" borderId="45" xfId="2" applyNumberFormat="1" applyFont="1" applyBorder="1"/>
    <xf numFmtId="169" fontId="1" fillId="0" borderId="45" xfId="2" applyNumberFormat="1" applyFont="1" applyFill="1" applyBorder="1"/>
    <xf numFmtId="169" fontId="1" fillId="0" borderId="45" xfId="2" applyNumberFormat="1" applyFont="1" applyBorder="1"/>
    <xf numFmtId="0" fontId="0" fillId="0" borderId="46" xfId="0" applyBorder="1"/>
    <xf numFmtId="0" fontId="1" fillId="0" borderId="0" xfId="0" applyFont="1"/>
    <xf numFmtId="169" fontId="99" fillId="0" borderId="0" xfId="2" applyNumberFormat="1" applyFont="1" applyBorder="1"/>
    <xf numFmtId="169" fontId="1" fillId="0" borderId="0" xfId="2" applyNumberFormat="1" applyFont="1" applyFill="1" applyBorder="1"/>
    <xf numFmtId="169" fontId="1" fillId="0" borderId="0" xfId="2" applyNumberFormat="1" applyFont="1" applyBorder="1"/>
    <xf numFmtId="0" fontId="4" fillId="0" borderId="1" xfId="0" applyFont="1" applyBorder="1"/>
    <xf numFmtId="169" fontId="98" fillId="0" borderId="1" xfId="2" applyNumberFormat="1" applyFont="1" applyBorder="1"/>
    <xf numFmtId="169" fontId="4" fillId="0" borderId="1" xfId="2" applyNumberFormat="1" applyFont="1" applyFill="1" applyBorder="1"/>
    <xf numFmtId="169" fontId="4" fillId="0" borderId="1" xfId="2" applyNumberFormat="1" applyFont="1" applyBorder="1"/>
    <xf numFmtId="44" fontId="0" fillId="0" borderId="0" xfId="0" applyNumberFormat="1"/>
    <xf numFmtId="0" fontId="2" fillId="0" borderId="1" xfId="0" applyFont="1" applyBorder="1" applyAlignment="1">
      <alignment wrapText="1"/>
    </xf>
    <xf numFmtId="14" fontId="0" fillId="0" borderId="0" xfId="0" applyNumberFormat="1"/>
    <xf numFmtId="0" fontId="0" fillId="0" borderId="53" xfId="0" applyBorder="1" applyAlignment="1">
      <alignment wrapText="1"/>
    </xf>
    <xf numFmtId="0" fontId="84" fillId="11" borderId="5" xfId="0" applyFont="1" applyFill="1" applyBorder="1" applyAlignment="1">
      <alignment horizontal="center" vertical="center" wrapText="1"/>
    </xf>
    <xf numFmtId="185" fontId="84" fillId="11" borderId="5" xfId="0" applyNumberFormat="1" applyFont="1" applyFill="1" applyBorder="1" applyAlignment="1">
      <alignment horizontal="center" vertical="center" wrapText="1"/>
    </xf>
    <xf numFmtId="0" fontId="84" fillId="11" borderId="1" xfId="0" applyFont="1" applyFill="1" applyBorder="1" applyAlignment="1">
      <alignment horizontal="center" vertical="center" wrapText="1"/>
    </xf>
    <xf numFmtId="14" fontId="84" fillId="11" borderId="1" xfId="0" applyNumberFormat="1" applyFont="1" applyFill="1" applyBorder="1" applyAlignment="1">
      <alignment horizontal="center" vertical="center" wrapText="1"/>
    </xf>
    <xf numFmtId="0" fontId="78" fillId="11" borderId="1" xfId="0" applyFont="1" applyFill="1" applyBorder="1" applyAlignment="1">
      <alignment horizontal="center" vertical="center" wrapText="1"/>
    </xf>
    <xf numFmtId="0" fontId="92" fillId="11" borderId="1" xfId="0" applyFont="1" applyFill="1" applyBorder="1" applyAlignment="1">
      <alignment horizontal="left" vertical="center" wrapText="1"/>
    </xf>
    <xf numFmtId="0" fontId="84" fillId="11" borderId="1" xfId="0" applyFont="1" applyFill="1" applyBorder="1" applyAlignment="1">
      <alignment vertical="center" wrapText="1"/>
    </xf>
    <xf numFmtId="168" fontId="84" fillId="11" borderId="1" xfId="0" applyNumberFormat="1" applyFont="1" applyFill="1" applyBorder="1" applyAlignment="1">
      <alignment horizontal="center" vertical="center" wrapText="1"/>
    </xf>
    <xf numFmtId="182" fontId="85" fillId="11" borderId="14" xfId="1" applyNumberFormat="1" applyFont="1" applyFill="1" applyBorder="1" applyAlignment="1">
      <alignment horizontal="right" vertical="center" wrapText="1"/>
    </xf>
    <xf numFmtId="182" fontId="85" fillId="11" borderId="5" xfId="1" applyNumberFormat="1" applyFont="1" applyFill="1" applyBorder="1" applyAlignment="1">
      <alignment horizontal="right" vertical="center" wrapText="1"/>
    </xf>
    <xf numFmtId="182" fontId="85" fillId="11" borderId="59" xfId="1" applyNumberFormat="1" applyFont="1" applyFill="1" applyBorder="1" applyAlignment="1">
      <alignment horizontal="right" vertical="center" wrapText="1"/>
    </xf>
    <xf numFmtId="182" fontId="85" fillId="11" borderId="57" xfId="1" applyNumberFormat="1" applyFont="1" applyFill="1" applyBorder="1" applyAlignment="1">
      <alignment horizontal="right" vertical="center" wrapText="1"/>
    </xf>
    <xf numFmtId="182" fontId="85" fillId="11" borderId="2" xfId="1" applyNumberFormat="1" applyFont="1" applyFill="1" applyBorder="1" applyAlignment="1">
      <alignment horizontal="right" vertical="center" wrapText="1"/>
    </xf>
    <xf numFmtId="182" fontId="85" fillId="11" borderId="60" xfId="1" applyNumberFormat="1" applyFont="1" applyFill="1" applyBorder="1" applyAlignment="1">
      <alignment horizontal="right" vertical="center" wrapText="1"/>
    </xf>
    <xf numFmtId="182" fontId="85" fillId="11" borderId="3" xfId="1" applyNumberFormat="1" applyFont="1" applyFill="1" applyBorder="1" applyAlignment="1">
      <alignment horizontal="right" vertical="center" wrapText="1"/>
    </xf>
    <xf numFmtId="182" fontId="85" fillId="11" borderId="39" xfId="1" applyNumberFormat="1" applyFont="1" applyFill="1" applyBorder="1" applyAlignment="1">
      <alignment horizontal="right" vertical="center" wrapText="1"/>
    </xf>
    <xf numFmtId="182" fontId="85" fillId="11" borderId="0" xfId="1" applyNumberFormat="1" applyFont="1" applyFill="1" applyBorder="1" applyAlignment="1">
      <alignment horizontal="right" vertical="center" wrapText="1"/>
    </xf>
    <xf numFmtId="184" fontId="85" fillId="11" borderId="0" xfId="1" applyNumberFormat="1" applyFont="1" applyFill="1" applyBorder="1" applyAlignment="1">
      <alignment horizontal="right" vertical="center" wrapText="1"/>
    </xf>
    <xf numFmtId="0" fontId="84" fillId="11" borderId="0" xfId="0" applyFont="1" applyFill="1" applyAlignment="1">
      <alignment vertical="center"/>
    </xf>
    <xf numFmtId="184" fontId="84" fillId="11" borderId="0" xfId="0" applyNumberFormat="1" applyFont="1" applyFill="1" applyAlignment="1">
      <alignment vertical="center"/>
    </xf>
    <xf numFmtId="182" fontId="84" fillId="11" borderId="0" xfId="0" applyNumberFormat="1" applyFont="1" applyFill="1" applyAlignment="1">
      <alignment vertical="center"/>
    </xf>
    <xf numFmtId="169" fontId="18" fillId="0" borderId="0" xfId="0" applyNumberFormat="1" applyFont="1"/>
    <xf numFmtId="0" fontId="36" fillId="4" borderId="1" xfId="0" applyFont="1" applyFill="1" applyBorder="1" applyAlignment="1">
      <alignment horizontal="center" vertical="center"/>
    </xf>
    <xf numFmtId="0" fontId="7" fillId="9" borderId="0" xfId="0" applyFont="1" applyFill="1" applyAlignment="1">
      <alignment horizontal="left" vertical="center"/>
    </xf>
    <xf numFmtId="0" fontId="8" fillId="21" borderId="5" xfId="0" applyFont="1" applyFill="1" applyBorder="1" applyAlignment="1">
      <alignment horizontal="center" vertical="center" wrapText="1"/>
    </xf>
    <xf numFmtId="0" fontId="7" fillId="15" borderId="1" xfId="0" applyFont="1" applyFill="1" applyBorder="1" applyAlignment="1">
      <alignment horizontal="center" vertical="center" wrapText="1"/>
    </xf>
    <xf numFmtId="0" fontId="41" fillId="25" borderId="2" xfId="0" applyFont="1" applyFill="1" applyBorder="1" applyAlignment="1">
      <alignment vertical="center"/>
    </xf>
    <xf numFmtId="0" fontId="7" fillId="10" borderId="1" xfId="0" applyFont="1" applyFill="1" applyBorder="1" applyAlignment="1">
      <alignment horizontal="center" vertical="center" wrapText="1"/>
    </xf>
    <xf numFmtId="0" fontId="7" fillId="35" borderId="1" xfId="0" applyFont="1" applyFill="1" applyBorder="1" applyAlignment="1">
      <alignment horizontal="center" vertical="center" wrapText="1"/>
    </xf>
    <xf numFmtId="168" fontId="34" fillId="2" borderId="1" xfId="0" applyNumberFormat="1" applyFont="1" applyFill="1" applyBorder="1" applyAlignment="1">
      <alignment horizontal="center" vertical="center" wrapText="1"/>
    </xf>
    <xf numFmtId="0" fontId="34" fillId="2" borderId="1" xfId="1" applyNumberFormat="1" applyFont="1" applyFill="1" applyBorder="1" applyAlignment="1">
      <alignment horizontal="center" vertical="center" wrapText="1"/>
    </xf>
    <xf numFmtId="0" fontId="34" fillId="2" borderId="1" xfId="0" applyFont="1" applyFill="1" applyBorder="1" applyAlignment="1">
      <alignment vertical="center" wrapText="1"/>
    </xf>
    <xf numFmtId="1" fontId="34" fillId="2" borderId="1" xfId="0" applyNumberFormat="1" applyFont="1" applyFill="1" applyBorder="1" applyAlignment="1">
      <alignment horizontal="center" vertical="center" wrapText="1"/>
    </xf>
    <xf numFmtId="2" fontId="34" fillId="2" borderId="1" xfId="0" quotePrefix="1" applyNumberFormat="1" applyFont="1" applyFill="1" applyBorder="1" applyAlignment="1">
      <alignment horizontal="center" vertical="center" wrapText="1"/>
    </xf>
    <xf numFmtId="182" fontId="49" fillId="2" borderId="1" xfId="1" applyNumberFormat="1" applyFont="1" applyFill="1" applyBorder="1" applyAlignment="1">
      <alignment horizontal="right" vertical="center" wrapText="1"/>
    </xf>
    <xf numFmtId="44" fontId="34" fillId="2" borderId="1" xfId="2" applyFont="1" applyFill="1" applyBorder="1" applyAlignment="1">
      <alignment horizontal="right" vertical="center" wrapText="1"/>
    </xf>
    <xf numFmtId="0" fontId="34" fillId="2" borderId="1" xfId="0" applyFont="1" applyFill="1" applyBorder="1" applyAlignment="1">
      <alignment horizontal="left" vertical="center" wrapText="1"/>
    </xf>
    <xf numFmtId="0" fontId="8" fillId="15" borderId="1" xfId="0" applyFont="1" applyFill="1" applyBorder="1" applyAlignment="1">
      <alignment horizontal="center" vertical="center" wrapText="1"/>
    </xf>
    <xf numFmtId="168" fontId="34" fillId="36" borderId="1" xfId="0" applyNumberFormat="1" applyFont="1" applyFill="1" applyBorder="1" applyAlignment="1" applyProtection="1">
      <alignment horizontal="center" vertical="center" wrapText="1"/>
      <protection locked="0"/>
    </xf>
    <xf numFmtId="0" fontId="100" fillId="0" borderId="0" xfId="131"/>
    <xf numFmtId="0" fontId="8" fillId="10" borderId="1" xfId="0" applyFont="1" applyFill="1" applyBorder="1" applyAlignment="1">
      <alignment horizontal="center" vertical="center" wrapText="1"/>
    </xf>
    <xf numFmtId="0" fontId="78" fillId="10" borderId="1" xfId="0" applyFont="1" applyFill="1" applyBorder="1" applyAlignment="1">
      <alignment horizontal="center" vertical="center" wrapText="1"/>
    </xf>
    <xf numFmtId="0" fontId="78" fillId="7" borderId="5" xfId="0" applyFont="1" applyFill="1" applyBorder="1" applyAlignment="1">
      <alignment horizontal="center" vertical="center" wrapText="1"/>
    </xf>
    <xf numFmtId="0" fontId="8" fillId="7" borderId="5" xfId="0" applyFont="1" applyFill="1" applyBorder="1" applyAlignment="1">
      <alignment horizontal="center" vertical="center" wrapText="1"/>
    </xf>
    <xf numFmtId="167" fontId="52" fillId="0" borderId="0" xfId="0" applyNumberFormat="1" applyFont="1" applyAlignment="1">
      <alignment horizontal="left"/>
    </xf>
    <xf numFmtId="0" fontId="55" fillId="0" borderId="42" xfId="3" applyFont="1" applyBorder="1" applyAlignment="1" applyProtection="1">
      <alignment horizontal="center" vertical="center" wrapText="1"/>
      <protection locked="0"/>
    </xf>
    <xf numFmtId="0" fontId="55" fillId="0" borderId="38" xfId="3" applyFont="1" applyBorder="1" applyAlignment="1" applyProtection="1">
      <alignment horizontal="center" vertical="center" wrapText="1"/>
      <protection locked="0"/>
    </xf>
    <xf numFmtId="0" fontId="55" fillId="0" borderId="43" xfId="3" applyFont="1" applyBorder="1" applyAlignment="1" applyProtection="1">
      <alignment horizontal="center" vertical="center" wrapText="1"/>
      <protection locked="0"/>
    </xf>
    <xf numFmtId="0" fontId="55" fillId="24" borderId="47" xfId="3" applyFont="1" applyFill="1" applyBorder="1" applyAlignment="1" applyProtection="1">
      <alignment horizontal="center" vertical="center"/>
      <protection locked="0"/>
    </xf>
    <xf numFmtId="0" fontId="55" fillId="24" borderId="7" xfId="3" applyFont="1" applyFill="1" applyBorder="1" applyAlignment="1" applyProtection="1">
      <alignment horizontal="center" vertical="center"/>
      <protection locked="0"/>
    </xf>
    <xf numFmtId="0" fontId="55" fillId="24" borderId="31" xfId="3" applyFont="1" applyFill="1" applyBorder="1" applyAlignment="1" applyProtection="1">
      <alignment horizontal="center" vertical="center"/>
      <protection locked="0"/>
    </xf>
    <xf numFmtId="0" fontId="56" fillId="0" borderId="70" xfId="0" applyFont="1" applyBorder="1" applyAlignment="1">
      <alignment horizontal="center" vertical="center" wrapText="1"/>
    </xf>
    <xf numFmtId="0" fontId="56" fillId="0" borderId="69" xfId="0" applyFont="1" applyBorder="1" applyAlignment="1">
      <alignment horizontal="center" vertical="center" wrapText="1"/>
    </xf>
    <xf numFmtId="0" fontId="56" fillId="0" borderId="43" xfId="0" applyFont="1" applyBorder="1" applyAlignment="1">
      <alignment horizontal="center" vertical="center" wrapText="1"/>
    </xf>
    <xf numFmtId="0" fontId="56" fillId="0" borderId="74" xfId="0" applyFont="1" applyBorder="1" applyAlignment="1">
      <alignment horizontal="center" vertical="center" wrapText="1"/>
    </xf>
    <xf numFmtId="0" fontId="56" fillId="0" borderId="58" xfId="0" applyFont="1" applyBorder="1" applyAlignment="1">
      <alignment horizontal="center" vertical="center"/>
    </xf>
    <xf numFmtId="0" fontId="56" fillId="0" borderId="72" xfId="0" applyFont="1" applyBorder="1" applyAlignment="1">
      <alignment horizontal="center" vertical="center"/>
    </xf>
    <xf numFmtId="0" fontId="57" fillId="0" borderId="58" xfId="0" applyFont="1" applyBorder="1" applyAlignment="1">
      <alignment horizontal="center" vertical="center" wrapText="1"/>
    </xf>
    <xf numFmtId="0" fontId="57" fillId="0" borderId="72" xfId="0" applyFont="1" applyBorder="1" applyAlignment="1">
      <alignment horizontal="center" vertical="center" wrapText="1"/>
    </xf>
    <xf numFmtId="0" fontId="56" fillId="0" borderId="58" xfId="0" applyFont="1" applyBorder="1" applyAlignment="1">
      <alignment horizontal="center" vertical="center" wrapText="1"/>
    </xf>
    <xf numFmtId="0" fontId="56" fillId="0" borderId="72" xfId="0" applyFont="1" applyBorder="1" applyAlignment="1">
      <alignment horizontal="center" vertical="center" wrapText="1"/>
    </xf>
    <xf numFmtId="0" fontId="56" fillId="18" borderId="58" xfId="0" applyFont="1" applyFill="1" applyBorder="1" applyAlignment="1">
      <alignment horizontal="center" vertical="center" wrapText="1"/>
    </xf>
    <xf numFmtId="0" fontId="56" fillId="18" borderId="72" xfId="0" applyFont="1" applyFill="1" applyBorder="1" applyAlignment="1">
      <alignment horizontal="center" vertical="center" wrapText="1"/>
    </xf>
    <xf numFmtId="0" fontId="56" fillId="0" borderId="68" xfId="0" applyFont="1" applyBorder="1" applyAlignment="1">
      <alignment horizontal="center" vertical="center" wrapText="1"/>
    </xf>
    <xf numFmtId="0" fontId="56" fillId="0" borderId="76" xfId="0" applyFont="1" applyBorder="1" applyAlignment="1">
      <alignment horizontal="center" vertical="center" wrapText="1"/>
    </xf>
    <xf numFmtId="0" fontId="20" fillId="0" borderId="22" xfId="0" applyFont="1" applyBorder="1" applyAlignment="1">
      <alignment horizontal="center"/>
    </xf>
    <xf numFmtId="0" fontId="36" fillId="5" borderId="4" xfId="0" applyFont="1" applyFill="1" applyBorder="1" applyAlignment="1">
      <alignment horizontal="center" vertical="center"/>
    </xf>
    <xf numFmtId="0" fontId="36" fillId="5" borderId="3" xfId="0" applyFont="1" applyFill="1" applyBorder="1" applyAlignment="1">
      <alignment horizontal="center" vertical="center"/>
    </xf>
    <xf numFmtId="167" fontId="37" fillId="0" borderId="0" xfId="0" applyNumberFormat="1" applyFont="1" applyAlignment="1">
      <alignment horizontal="left"/>
    </xf>
    <xf numFmtId="0" fontId="36" fillId="4" borderId="1" xfId="0" applyFont="1" applyFill="1" applyBorder="1" applyAlignment="1">
      <alignment horizontal="center" vertical="center"/>
    </xf>
    <xf numFmtId="0" fontId="34" fillId="0" borderId="0" xfId="0" applyFont="1" applyAlignment="1">
      <alignment horizontal="left" vertical="center" wrapText="1"/>
    </xf>
    <xf numFmtId="0" fontId="36" fillId="5" borderId="2" xfId="0" applyFont="1" applyFill="1" applyBorder="1" applyAlignment="1">
      <alignment horizontal="center" vertical="center"/>
    </xf>
    <xf numFmtId="0" fontId="7" fillId="20" borderId="4" xfId="0" applyFont="1" applyFill="1" applyBorder="1" applyAlignment="1">
      <alignment horizontal="center" vertical="center"/>
    </xf>
    <xf numFmtId="0" fontId="36" fillId="20" borderId="4" xfId="0" applyFont="1" applyFill="1" applyBorder="1" applyAlignment="1">
      <alignment horizontal="center" vertical="center"/>
    </xf>
    <xf numFmtId="167" fontId="83" fillId="9" borderId="0" xfId="0" applyNumberFormat="1" applyFont="1" applyFill="1" applyAlignment="1">
      <alignment horizontal="left" vertical="center" wrapText="1"/>
    </xf>
    <xf numFmtId="0" fontId="90" fillId="14" borderId="2" xfId="0" applyFont="1" applyFill="1" applyBorder="1" applyAlignment="1">
      <alignment horizontal="center" vertical="center"/>
    </xf>
    <xf numFmtId="0" fontId="90" fillId="14" borderId="4" xfId="0" applyFont="1" applyFill="1" applyBorder="1" applyAlignment="1">
      <alignment horizontal="center" vertical="center"/>
    </xf>
    <xf numFmtId="0" fontId="90" fillId="14" borderId="3" xfId="0" applyFont="1" applyFill="1" applyBorder="1" applyAlignment="1">
      <alignment horizontal="center" vertical="center"/>
    </xf>
    <xf numFmtId="167" fontId="78" fillId="0" borderId="0" xfId="0" applyNumberFormat="1" applyFont="1" applyAlignment="1">
      <alignment horizontal="left"/>
    </xf>
    <xf numFmtId="0" fontId="7" fillId="9" borderId="0" xfId="0" applyFont="1" applyFill="1" applyAlignment="1">
      <alignment horizontal="left" vertical="center"/>
    </xf>
    <xf numFmtId="0" fontId="9" fillId="4" borderId="1" xfId="0" applyFont="1" applyFill="1" applyBorder="1" applyAlignment="1">
      <alignment horizontal="center" vertical="center"/>
    </xf>
    <xf numFmtId="0" fontId="9" fillId="13" borderId="1" xfId="0" applyFont="1" applyFill="1" applyBorder="1" applyAlignment="1">
      <alignment horizontal="center" vertical="center"/>
    </xf>
    <xf numFmtId="0" fontId="9" fillId="3" borderId="1" xfId="0" applyFont="1" applyFill="1" applyBorder="1" applyAlignment="1">
      <alignment horizontal="center" vertical="center"/>
    </xf>
    <xf numFmtId="0" fontId="10" fillId="16" borderId="6" xfId="0" applyFont="1" applyFill="1" applyBorder="1" applyAlignment="1">
      <alignment horizontal="left" vertical="center" wrapText="1"/>
    </xf>
    <xf numFmtId="0" fontId="10" fillId="16" borderId="7" xfId="0" applyFont="1" applyFill="1" applyBorder="1" applyAlignment="1">
      <alignment horizontal="left" vertical="center" wrapText="1"/>
    </xf>
    <xf numFmtId="0" fontId="30" fillId="22" borderId="2" xfId="0" applyFont="1" applyFill="1" applyBorder="1" applyAlignment="1">
      <alignment horizontal="center" vertical="center" wrapText="1"/>
    </xf>
    <xf numFmtId="0" fontId="30" fillId="22" borderId="3" xfId="0" applyFont="1" applyFill="1" applyBorder="1" applyAlignment="1">
      <alignment horizontal="center" vertical="center" wrapText="1"/>
    </xf>
    <xf numFmtId="0" fontId="27" fillId="0" borderId="2" xfId="0" applyFont="1" applyBorder="1" applyAlignment="1">
      <alignment horizontal="left" vertical="center" wrapText="1"/>
    </xf>
    <xf numFmtId="0" fontId="27" fillId="0" borderId="3" xfId="0" applyFont="1" applyBorder="1" applyAlignment="1">
      <alignment horizontal="left" vertical="center" wrapText="1"/>
    </xf>
    <xf numFmtId="0" fontId="20" fillId="0" borderId="0" xfId="0" applyFont="1" applyAlignment="1">
      <alignment horizontal="center" wrapText="1"/>
    </xf>
  </cellXfs>
  <cellStyles count="132">
    <cellStyle name="CalcComma0" xfId="16" xr:uid="{00000000-0005-0000-0000-000000000000}"/>
    <cellStyle name="CalcComma0 2" xfId="17" xr:uid="{00000000-0005-0000-0000-000001000000}"/>
    <cellStyle name="CalcComma0 3" xfId="18" xr:uid="{00000000-0005-0000-0000-000002000000}"/>
    <cellStyle name="CalcComma1" xfId="19" xr:uid="{00000000-0005-0000-0000-000003000000}"/>
    <cellStyle name="CalcComma1 2" xfId="20" xr:uid="{00000000-0005-0000-0000-000004000000}"/>
    <cellStyle name="CalcComma1 3" xfId="21" xr:uid="{00000000-0005-0000-0000-000005000000}"/>
    <cellStyle name="CalcComma2" xfId="22" xr:uid="{00000000-0005-0000-0000-000006000000}"/>
    <cellStyle name="CalcComma2 2" xfId="23" xr:uid="{00000000-0005-0000-0000-000007000000}"/>
    <cellStyle name="CalcComma2 3" xfId="24" xr:uid="{00000000-0005-0000-0000-000008000000}"/>
    <cellStyle name="CalcComma3" xfId="25" xr:uid="{00000000-0005-0000-0000-000009000000}"/>
    <cellStyle name="CalcComma3 2" xfId="26" xr:uid="{00000000-0005-0000-0000-00000A000000}"/>
    <cellStyle name="CalcComma3 3" xfId="27" xr:uid="{00000000-0005-0000-0000-00000B000000}"/>
    <cellStyle name="CalcComma4" xfId="28" xr:uid="{00000000-0005-0000-0000-00000C000000}"/>
    <cellStyle name="CalcCurr0" xfId="29" xr:uid="{00000000-0005-0000-0000-00000D000000}"/>
    <cellStyle name="CalcCurr0 2" xfId="30" xr:uid="{00000000-0005-0000-0000-00000E000000}"/>
    <cellStyle name="CalcCurr0 3" xfId="31" xr:uid="{00000000-0005-0000-0000-00000F000000}"/>
    <cellStyle name="CalcCurr1" xfId="32" xr:uid="{00000000-0005-0000-0000-000010000000}"/>
    <cellStyle name="CalcCurr2" xfId="33" xr:uid="{00000000-0005-0000-0000-000011000000}"/>
    <cellStyle name="CalcCurr3" xfId="34" xr:uid="{00000000-0005-0000-0000-000012000000}"/>
    <cellStyle name="CalcCurr4" xfId="35" xr:uid="{00000000-0005-0000-0000-000013000000}"/>
    <cellStyle name="CalcCurr4 2" xfId="36" xr:uid="{00000000-0005-0000-0000-000014000000}"/>
    <cellStyle name="CalcCurr4 3" xfId="37" xr:uid="{00000000-0005-0000-0000-000015000000}"/>
    <cellStyle name="CalcPercent0" xfId="38" xr:uid="{00000000-0005-0000-0000-000016000000}"/>
    <cellStyle name="CalcPercent0 2" xfId="39" xr:uid="{00000000-0005-0000-0000-000017000000}"/>
    <cellStyle name="CalcPercent0 3" xfId="40" xr:uid="{00000000-0005-0000-0000-000018000000}"/>
    <cellStyle name="CalcPercent1" xfId="41" xr:uid="{00000000-0005-0000-0000-000019000000}"/>
    <cellStyle name="CalcPercent1 2" xfId="42" xr:uid="{00000000-0005-0000-0000-00001A000000}"/>
    <cellStyle name="CalcPercent1 3" xfId="43" xr:uid="{00000000-0005-0000-0000-00001B000000}"/>
    <cellStyle name="CalcPercent2" xfId="44" xr:uid="{00000000-0005-0000-0000-00001C000000}"/>
    <cellStyle name="CalcPercent2 2" xfId="45" xr:uid="{00000000-0005-0000-0000-00001D000000}"/>
    <cellStyle name="CalcPercent2 3" xfId="46" xr:uid="{00000000-0005-0000-0000-00001E000000}"/>
    <cellStyle name="Comma" xfId="1" builtinId="3"/>
    <cellStyle name="Comma 10 2" xfId="124" xr:uid="{00000000-0005-0000-0000-000020000000}"/>
    <cellStyle name="Comma 2" xfId="4" xr:uid="{00000000-0005-0000-0000-000021000000}"/>
    <cellStyle name="Comma 3" xfId="129" xr:uid="{00000000-0005-0000-0000-000022000000}"/>
    <cellStyle name="Comma 3 4" xfId="123" xr:uid="{00000000-0005-0000-0000-000023000000}"/>
    <cellStyle name="Comma 3 5" xfId="125" xr:uid="{00000000-0005-0000-0000-000024000000}"/>
    <cellStyle name="Comma 3 6" xfId="122" xr:uid="{00000000-0005-0000-0000-000025000000}"/>
    <cellStyle name="Currency" xfId="2" builtinId="4"/>
    <cellStyle name="Currency 2" xfId="5" xr:uid="{00000000-0005-0000-0000-000027000000}"/>
    <cellStyle name="Currency 2 10" xfId="47" xr:uid="{00000000-0005-0000-0000-000028000000}"/>
    <cellStyle name="Currency 2 11" xfId="48" xr:uid="{00000000-0005-0000-0000-000029000000}"/>
    <cellStyle name="Currency 2 12" xfId="49" xr:uid="{00000000-0005-0000-0000-00002A000000}"/>
    <cellStyle name="Currency 2 13" xfId="50" xr:uid="{00000000-0005-0000-0000-00002B000000}"/>
    <cellStyle name="Currency 2 14" xfId="119" xr:uid="{00000000-0005-0000-0000-00002C000000}"/>
    <cellStyle name="Currency 2 2" xfId="51" xr:uid="{00000000-0005-0000-0000-00002D000000}"/>
    <cellStyle name="Currency 2 3" xfId="52" xr:uid="{00000000-0005-0000-0000-00002E000000}"/>
    <cellStyle name="Currency 2 4" xfId="53" xr:uid="{00000000-0005-0000-0000-00002F000000}"/>
    <cellStyle name="Currency 2 5" xfId="54" xr:uid="{00000000-0005-0000-0000-000030000000}"/>
    <cellStyle name="Currency 2 6" xfId="55" xr:uid="{00000000-0005-0000-0000-000031000000}"/>
    <cellStyle name="Currency 2 7" xfId="56" xr:uid="{00000000-0005-0000-0000-000032000000}"/>
    <cellStyle name="Currency 2 8" xfId="57" xr:uid="{00000000-0005-0000-0000-000033000000}"/>
    <cellStyle name="Currency 2 9" xfId="58" xr:uid="{00000000-0005-0000-0000-000034000000}"/>
    <cellStyle name="Currency 3" xfId="127" xr:uid="{00000000-0005-0000-0000-000035000000}"/>
    <cellStyle name="Currency 4" xfId="130" xr:uid="{00000000-0005-0000-0000-000036000000}"/>
    <cellStyle name="Heading1" xfId="59" xr:uid="{00000000-0005-0000-0000-000037000000}"/>
    <cellStyle name="Heading2" xfId="60" xr:uid="{00000000-0005-0000-0000-000038000000}"/>
    <cellStyle name="Heading2 2" xfId="61" xr:uid="{00000000-0005-0000-0000-000039000000}"/>
    <cellStyle name="Heading2 3" xfId="62" xr:uid="{00000000-0005-0000-0000-00003A000000}"/>
    <cellStyle name="Heading3" xfId="63" xr:uid="{00000000-0005-0000-0000-00003B000000}"/>
    <cellStyle name="Heading4" xfId="64" xr:uid="{00000000-0005-0000-0000-00003C000000}"/>
    <cellStyle name="HeadingMonth" xfId="65" xr:uid="{00000000-0005-0000-0000-00003D000000}"/>
    <cellStyle name="Hyperlink" xfId="131" builtinId="8"/>
    <cellStyle name="InpComma0" xfId="66" xr:uid="{00000000-0005-0000-0000-00003E000000}"/>
    <cellStyle name="InpComma0 2" xfId="67" xr:uid="{00000000-0005-0000-0000-00003F000000}"/>
    <cellStyle name="InpComma0 3" xfId="68" xr:uid="{00000000-0005-0000-0000-000040000000}"/>
    <cellStyle name="InpComma1" xfId="69" xr:uid="{00000000-0005-0000-0000-000041000000}"/>
    <cellStyle name="InpComma1 2" xfId="70" xr:uid="{00000000-0005-0000-0000-000042000000}"/>
    <cellStyle name="InpComma1 3" xfId="71" xr:uid="{00000000-0005-0000-0000-000043000000}"/>
    <cellStyle name="InpComma2" xfId="72" xr:uid="{00000000-0005-0000-0000-000044000000}"/>
    <cellStyle name="InpComma2 2" xfId="73" xr:uid="{00000000-0005-0000-0000-000045000000}"/>
    <cellStyle name="InpComma2 3" xfId="74" xr:uid="{00000000-0005-0000-0000-000046000000}"/>
    <cellStyle name="InpComma3" xfId="75" xr:uid="{00000000-0005-0000-0000-000047000000}"/>
    <cellStyle name="InpComma3 2" xfId="76" xr:uid="{00000000-0005-0000-0000-000048000000}"/>
    <cellStyle name="InpComma3 3" xfId="77" xr:uid="{00000000-0005-0000-0000-000049000000}"/>
    <cellStyle name="InpComma4" xfId="78" xr:uid="{00000000-0005-0000-0000-00004A000000}"/>
    <cellStyle name="InpCurr0" xfId="79" xr:uid="{00000000-0005-0000-0000-00004B000000}"/>
    <cellStyle name="InpCurr0 2" xfId="80" xr:uid="{00000000-0005-0000-0000-00004C000000}"/>
    <cellStyle name="InpCurr0 3" xfId="81" xr:uid="{00000000-0005-0000-0000-00004D000000}"/>
    <cellStyle name="InpCurr1" xfId="82" xr:uid="{00000000-0005-0000-0000-00004E000000}"/>
    <cellStyle name="InpCurr1 2" xfId="83" xr:uid="{00000000-0005-0000-0000-00004F000000}"/>
    <cellStyle name="InpCurr1 3" xfId="84" xr:uid="{00000000-0005-0000-0000-000050000000}"/>
    <cellStyle name="InpCurr2" xfId="85" xr:uid="{00000000-0005-0000-0000-000051000000}"/>
    <cellStyle name="InpCurr2 2" xfId="86" xr:uid="{00000000-0005-0000-0000-000052000000}"/>
    <cellStyle name="InpCurr2 3" xfId="87" xr:uid="{00000000-0005-0000-0000-000053000000}"/>
    <cellStyle name="InpCurr3" xfId="88" xr:uid="{00000000-0005-0000-0000-000054000000}"/>
    <cellStyle name="InpCurr4" xfId="89" xr:uid="{00000000-0005-0000-0000-000055000000}"/>
    <cellStyle name="InpPercent0" xfId="90" xr:uid="{00000000-0005-0000-0000-000056000000}"/>
    <cellStyle name="InpPercent0 2" xfId="91" xr:uid="{00000000-0005-0000-0000-000057000000}"/>
    <cellStyle name="InpPercent0 3" xfId="92" xr:uid="{00000000-0005-0000-0000-000058000000}"/>
    <cellStyle name="InpPercent1" xfId="93" xr:uid="{00000000-0005-0000-0000-000059000000}"/>
    <cellStyle name="InpPercent1 2" xfId="94" xr:uid="{00000000-0005-0000-0000-00005A000000}"/>
    <cellStyle name="InpPercent1 3" xfId="95" xr:uid="{00000000-0005-0000-0000-00005B000000}"/>
    <cellStyle name="InpPercent2" xfId="96" xr:uid="{00000000-0005-0000-0000-00005C000000}"/>
    <cellStyle name="InpPercent2 2" xfId="97" xr:uid="{00000000-0005-0000-0000-00005D000000}"/>
    <cellStyle name="InpPercent2 3" xfId="98" xr:uid="{00000000-0005-0000-0000-00005E000000}"/>
    <cellStyle name="InpText" xfId="99" xr:uid="{00000000-0005-0000-0000-00005F000000}"/>
    <cellStyle name="InpText 2" xfId="100" xr:uid="{00000000-0005-0000-0000-000060000000}"/>
    <cellStyle name="InpText 3" xfId="101" xr:uid="{00000000-0005-0000-0000-000061000000}"/>
    <cellStyle name="Normal" xfId="0" builtinId="0"/>
    <cellStyle name="Normal 10" xfId="102" xr:uid="{00000000-0005-0000-0000-000063000000}"/>
    <cellStyle name="Normal 10 2" xfId="11" xr:uid="{00000000-0005-0000-0000-000064000000}"/>
    <cellStyle name="Normal 11" xfId="103" xr:uid="{00000000-0005-0000-0000-000065000000}"/>
    <cellStyle name="Normal 11 2" xfId="13" xr:uid="{00000000-0005-0000-0000-000066000000}"/>
    <cellStyle name="Normal 12" xfId="104" xr:uid="{00000000-0005-0000-0000-000067000000}"/>
    <cellStyle name="Normal 12 2" xfId="12" xr:uid="{00000000-0005-0000-0000-000068000000}"/>
    <cellStyle name="Normal 14" xfId="14" xr:uid="{00000000-0005-0000-0000-000069000000}"/>
    <cellStyle name="Normal 14 2" xfId="120" xr:uid="{00000000-0005-0000-0000-00006A000000}"/>
    <cellStyle name="Normal 14 3" xfId="121" xr:uid="{00000000-0005-0000-0000-00006B000000}"/>
    <cellStyle name="Normal 14 4" xfId="126" xr:uid="{00000000-0005-0000-0000-00006C000000}"/>
    <cellStyle name="Normal 2" xfId="3" xr:uid="{00000000-0005-0000-0000-00006D000000}"/>
    <cellStyle name="Normal 2 2" xfId="105" xr:uid="{00000000-0005-0000-0000-00006E000000}"/>
    <cellStyle name="Normal 2 3" xfId="106" xr:uid="{00000000-0005-0000-0000-00006F000000}"/>
    <cellStyle name="Normal 3" xfId="6" xr:uid="{00000000-0005-0000-0000-000070000000}"/>
    <cellStyle name="Normal 4" xfId="107" xr:uid="{00000000-0005-0000-0000-000071000000}"/>
    <cellStyle name="Normal 4 2" xfId="7" xr:uid="{00000000-0005-0000-0000-000072000000}"/>
    <cellStyle name="Normal 5" xfId="108" xr:uid="{00000000-0005-0000-0000-000073000000}"/>
    <cellStyle name="Normal 5 2" xfId="8" xr:uid="{00000000-0005-0000-0000-000074000000}"/>
    <cellStyle name="Normal 7" xfId="109" xr:uid="{00000000-0005-0000-0000-000075000000}"/>
    <cellStyle name="Normal 7 2" xfId="9" xr:uid="{00000000-0005-0000-0000-000076000000}"/>
    <cellStyle name="Normal 8" xfId="110" xr:uid="{00000000-0005-0000-0000-000077000000}"/>
    <cellStyle name="Normal 8 2" xfId="111" xr:uid="{00000000-0005-0000-0000-000078000000}"/>
    <cellStyle name="Normal 9" xfId="112" xr:uid="{00000000-0005-0000-0000-000079000000}"/>
    <cellStyle name="Normal 9 2" xfId="10" xr:uid="{00000000-0005-0000-0000-00007A000000}"/>
    <cellStyle name="Percent" xfId="128" builtinId="5"/>
    <cellStyle name="Percent 2" xfId="15" xr:uid="{00000000-0005-0000-0000-00007C000000}"/>
    <cellStyle name="side title" xfId="113" xr:uid="{00000000-0005-0000-0000-00007D000000}"/>
    <cellStyle name="SideText0" xfId="114" xr:uid="{00000000-0005-0000-0000-00007E000000}"/>
    <cellStyle name="SideText1" xfId="115" xr:uid="{00000000-0005-0000-0000-00007F000000}"/>
    <cellStyle name="SideText2" xfId="116" xr:uid="{00000000-0005-0000-0000-000080000000}"/>
    <cellStyle name="SideText3" xfId="117" xr:uid="{00000000-0005-0000-0000-000081000000}"/>
    <cellStyle name="units" xfId="118" xr:uid="{00000000-0005-0000-0000-000082000000}"/>
  </cellStyles>
  <dxfs count="1867">
    <dxf>
      <fill>
        <patternFill>
          <bgColor rgb="FF92D050"/>
        </patternFill>
      </fill>
    </dxf>
    <dxf>
      <fill>
        <patternFill>
          <bgColor rgb="FFFFC000"/>
        </patternFill>
      </fill>
    </dxf>
    <dxf>
      <fill>
        <patternFill>
          <bgColor theme="8" tint="0.39994506668294322"/>
        </patternFill>
      </fill>
    </dxf>
    <dxf>
      <fill>
        <patternFill>
          <bgColor theme="2" tint="-0.24994659260841701"/>
        </patternFill>
      </fill>
    </dxf>
    <dxf>
      <fill>
        <patternFill patternType="solid">
          <fgColor theme="0" tint="-0.24994659260841701"/>
          <bgColor theme="0" tint="-0.24994659260841701"/>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theme="8" tint="0.39994506668294322"/>
        </patternFill>
      </fill>
    </dxf>
    <dxf>
      <fill>
        <patternFill>
          <bgColor theme="2" tint="-0.24994659260841701"/>
        </patternFill>
      </fill>
    </dxf>
    <dxf>
      <fill>
        <patternFill patternType="solid">
          <fgColor theme="0" tint="-0.24994659260841701"/>
          <bgColor theme="0" tint="-0.24994659260841701"/>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theme="8" tint="0.39994506668294322"/>
        </patternFill>
      </fill>
    </dxf>
    <dxf>
      <fill>
        <patternFill>
          <bgColor theme="2" tint="-0.24994659260841701"/>
        </patternFill>
      </fill>
    </dxf>
    <dxf>
      <fill>
        <patternFill patternType="solid">
          <fgColor theme="0" tint="-0.24994659260841701"/>
          <bgColor theme="0" tint="-0.24994659260841701"/>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theme="8" tint="0.39994506668294322"/>
        </patternFill>
      </fill>
    </dxf>
    <dxf>
      <fill>
        <patternFill>
          <bgColor theme="2" tint="-0.24994659260841701"/>
        </patternFill>
      </fill>
    </dxf>
    <dxf>
      <fill>
        <patternFill patternType="solid">
          <fgColor theme="0" tint="-0.24994659260841701"/>
          <bgColor theme="0" tint="-0.2499465926084170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rgb="FF92D050"/>
        </patternFill>
      </fill>
    </dxf>
    <dxf>
      <font>
        <color rgb="FF9C6500"/>
      </font>
      <fill>
        <patternFill>
          <bgColor rgb="FFFFEB9C"/>
        </patternFill>
      </fill>
    </dxf>
    <dxf>
      <font>
        <color rgb="FF9C0006"/>
      </font>
      <fill>
        <patternFill>
          <bgColor rgb="FFFFC7CE"/>
        </patternFill>
      </fill>
    </dxf>
    <dxf>
      <font>
        <color rgb="FFC00000"/>
      </font>
      <fill>
        <patternFill>
          <bgColor rgb="FFFF0000"/>
        </patternFill>
      </fill>
      <border>
        <left style="thin">
          <color auto="1"/>
        </left>
        <right style="thin">
          <color auto="1"/>
        </right>
        <top style="thin">
          <color auto="1"/>
        </top>
        <bottom style="thin">
          <color auto="1"/>
        </bottom>
        <vertical/>
        <horizontal/>
      </border>
    </dxf>
    <dxf>
      <font>
        <color auto="1"/>
      </font>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ill>
        <patternFill>
          <bgColor rgb="FFFF0000"/>
        </patternFill>
      </fill>
    </dxf>
    <dxf>
      <font>
        <color rgb="FF9C6500"/>
      </font>
      <fill>
        <patternFill>
          <bgColor rgb="FFFFEB9C"/>
        </patternFill>
      </fill>
    </dxf>
    <dxf>
      <font>
        <color rgb="FF9C0006"/>
      </font>
      <fill>
        <patternFill>
          <bgColor rgb="FFFFC7CE"/>
        </patternFill>
      </fill>
    </dxf>
    <dxf>
      <font>
        <color rgb="FFC00000"/>
      </font>
      <fill>
        <patternFill>
          <bgColor rgb="FFFF0000"/>
        </patternFill>
      </fill>
      <border>
        <left style="thin">
          <color auto="1"/>
        </left>
        <right style="thin">
          <color auto="1"/>
        </right>
        <top style="thin">
          <color auto="1"/>
        </top>
        <bottom style="thin">
          <color auto="1"/>
        </bottom>
        <vertical/>
        <horizontal/>
      </border>
    </dxf>
    <dxf>
      <font>
        <color auto="1"/>
      </font>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ont>
        <strike val="0"/>
      </font>
      <fill>
        <patternFill>
          <bgColor theme="6"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ont>
        <strike val="0"/>
      </font>
      <fill>
        <patternFill>
          <bgColor theme="6" tint="0.39994506668294322"/>
        </patternFill>
      </fill>
    </dxf>
    <dxf>
      <font>
        <strike val="0"/>
      </font>
      <fill>
        <patternFill>
          <bgColor theme="6" tint="0.39994506668294322"/>
        </patternFill>
      </fill>
    </dxf>
    <dxf>
      <font>
        <strike val="0"/>
      </font>
      <fill>
        <patternFill>
          <bgColor theme="6" tint="0.39994506668294322"/>
        </patternFill>
      </fill>
    </dxf>
    <dxf>
      <font>
        <strike val="0"/>
      </font>
      <fill>
        <patternFill>
          <bgColor theme="6" tint="0.39994506668294322"/>
        </patternFill>
      </fill>
    </dxf>
    <dxf>
      <font>
        <strike val="0"/>
      </font>
      <fill>
        <patternFill>
          <bgColor theme="6" tint="0.39994506668294322"/>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strike val="0"/>
      </font>
      <fill>
        <patternFill>
          <bgColor theme="6"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color rgb="FF9C0006"/>
      </font>
      <fill>
        <patternFill>
          <bgColor rgb="FFFFC7CE"/>
        </patternFill>
      </fill>
    </dxf>
    <dxf>
      <font>
        <color theme="6" tint="0.59996337778862885"/>
      </font>
      <fill>
        <patternFill>
          <bgColor rgb="FFC6EFCE"/>
        </patternFill>
      </fill>
    </dxf>
    <dxf>
      <font>
        <b/>
        <i val="0"/>
      </font>
      <fill>
        <patternFill>
          <bgColor rgb="FF92D050"/>
        </patternFill>
      </fill>
    </dxf>
    <dxf>
      <font>
        <b/>
        <i val="0"/>
      </font>
      <fill>
        <patternFill>
          <bgColor theme="0" tint="-0.24994659260841701"/>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ill>
        <patternFill>
          <bgColor rgb="FFFFFF00"/>
        </patternFill>
      </fill>
    </dxf>
    <dxf>
      <fill>
        <patternFill>
          <bgColor rgb="FFFFFF00"/>
        </patternFill>
      </fill>
    </dxf>
    <dxf>
      <fill>
        <patternFill>
          <bgColor theme="3" tint="0.59996337778862885"/>
        </patternFill>
      </fill>
    </dxf>
    <dxf>
      <fill>
        <patternFill>
          <bgColor theme="9" tint="0.39994506668294322"/>
        </patternFill>
      </fill>
    </dxf>
    <dxf>
      <fill>
        <patternFill>
          <bgColor theme="9" tint="0.39994506668294322"/>
        </patternFill>
      </fill>
    </dxf>
    <dxf>
      <font>
        <b/>
        <i val="0"/>
      </font>
      <fill>
        <patternFill>
          <bgColor rgb="FF92D050"/>
        </patternFill>
      </fill>
    </dxf>
    <dxf>
      <font>
        <b/>
        <i val="0"/>
      </font>
      <fill>
        <patternFill>
          <bgColor theme="0" tint="-0.24994659260841701"/>
        </patternFill>
      </fill>
    </dxf>
    <dxf>
      <font>
        <color rgb="FF9C6500"/>
      </font>
      <fill>
        <patternFill>
          <bgColor rgb="FFFFEB9C"/>
        </patternFill>
      </fill>
    </dxf>
    <dxf>
      <font>
        <color rgb="FF9C0006"/>
      </font>
      <fill>
        <patternFill>
          <bgColor rgb="FFFFC7CE"/>
        </patternFill>
      </fill>
    </dxf>
    <dxf>
      <font>
        <color rgb="FFC00000"/>
      </font>
      <fill>
        <patternFill>
          <bgColor rgb="FFFF0000"/>
        </patternFill>
      </fill>
      <border>
        <left style="thin">
          <color auto="1"/>
        </left>
        <right style="thin">
          <color auto="1"/>
        </right>
        <top style="thin">
          <color auto="1"/>
        </top>
        <bottom style="thin">
          <color auto="1"/>
        </bottom>
        <vertical/>
        <horizontal/>
      </border>
    </dxf>
    <dxf>
      <font>
        <color auto="1"/>
      </font>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ill>
        <patternFill>
          <bgColor rgb="FFFF0000"/>
        </patternFill>
      </fill>
    </dxf>
    <dxf>
      <font>
        <color rgb="FF9C6500"/>
      </font>
      <fill>
        <patternFill>
          <bgColor rgb="FFFFEB9C"/>
        </patternFill>
      </fill>
    </dxf>
    <dxf>
      <font>
        <color rgb="FF9C0006"/>
      </font>
      <fill>
        <patternFill>
          <bgColor rgb="FFFFC7CE"/>
        </patternFill>
      </fill>
    </dxf>
    <dxf>
      <font>
        <color rgb="FFC00000"/>
      </font>
      <fill>
        <patternFill>
          <bgColor rgb="FFFF0000"/>
        </patternFill>
      </fill>
      <border>
        <left style="thin">
          <color auto="1"/>
        </left>
        <right style="thin">
          <color auto="1"/>
        </right>
        <top style="thin">
          <color auto="1"/>
        </top>
        <bottom style="thin">
          <color auto="1"/>
        </bottom>
        <vertical/>
        <horizontal/>
      </border>
    </dxf>
    <dxf>
      <font>
        <color auto="1"/>
      </font>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ill>
        <patternFill>
          <bgColor rgb="FFFF0000"/>
        </patternFill>
      </fill>
    </dxf>
    <dxf>
      <fill>
        <patternFill>
          <bgColor rgb="FF92D050"/>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92D050"/>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92D050"/>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92D050"/>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92D050"/>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ill>
        <patternFill>
          <bgColor rgb="FF92D050"/>
        </patternFill>
      </fill>
    </dxf>
    <dxf>
      <font>
        <b/>
        <i val="0"/>
      </font>
      <fill>
        <patternFill>
          <bgColor rgb="FF92D050"/>
        </patternFill>
      </fill>
    </dxf>
    <dxf>
      <font>
        <b/>
        <i val="0"/>
      </font>
      <fill>
        <patternFill>
          <bgColor theme="0" tint="-0.24994659260841701"/>
        </patternFill>
      </fill>
    </dxf>
    <dxf>
      <fill>
        <patternFill>
          <bgColor rgb="FF92D050"/>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b/>
        <i val="0"/>
      </font>
      <fill>
        <patternFill>
          <bgColor rgb="FF92D050"/>
        </patternFill>
      </fill>
    </dxf>
    <dxf>
      <font>
        <b/>
        <i val="0"/>
      </font>
      <fill>
        <patternFill>
          <bgColor theme="0" tint="-0.24994659260841701"/>
        </patternFill>
      </fill>
    </dxf>
    <dxf>
      <font>
        <color rgb="FF9C6500"/>
      </font>
      <fill>
        <patternFill>
          <bgColor rgb="FFFFEB9C"/>
        </patternFill>
      </fill>
    </dxf>
    <dxf>
      <font>
        <color rgb="FF9C0006"/>
      </font>
      <fill>
        <patternFill>
          <bgColor rgb="FFFFC7CE"/>
        </patternFill>
      </fill>
    </dxf>
    <dxf>
      <font>
        <color rgb="FFC00000"/>
      </font>
      <fill>
        <patternFill>
          <bgColor rgb="FFFF0000"/>
        </patternFill>
      </fill>
      <border>
        <left style="thin">
          <color auto="1"/>
        </left>
        <right style="thin">
          <color auto="1"/>
        </right>
        <top style="thin">
          <color auto="1"/>
        </top>
        <bottom style="thin">
          <color auto="1"/>
        </bottom>
        <vertical/>
        <horizontal/>
      </border>
    </dxf>
    <dxf>
      <font>
        <color auto="1"/>
      </font>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ill>
        <patternFill>
          <bgColor rgb="FFFF0000"/>
        </patternFill>
      </fill>
    </dxf>
    <dxf>
      <font>
        <b/>
        <i val="0"/>
      </font>
      <fill>
        <patternFill>
          <bgColor rgb="FF92D050"/>
        </patternFill>
      </fill>
    </dxf>
    <dxf>
      <font>
        <b/>
        <i val="0"/>
      </font>
      <fill>
        <patternFill>
          <bgColor theme="0" tint="-0.24994659260841701"/>
        </patternFill>
      </fill>
    </dxf>
  </dxfs>
  <tableStyles count="0" defaultTableStyle="TableStyleMedium9" defaultPivotStyle="PivotStyleLight16"/>
  <colors>
    <mruColors>
      <color rgb="FFF7FE9C"/>
      <color rgb="FFF75309"/>
      <color rgb="FF002B5C"/>
      <color rgb="FF00C4DD"/>
      <color rgb="FF00FF00"/>
      <color rgb="FF7E8083"/>
      <color rgb="FF42C4DD"/>
      <color rgb="FF008C99"/>
      <color rgb="FF0099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haredStrings" Target="sharedString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12</xdr:col>
      <xdr:colOff>977153</xdr:colOff>
      <xdr:row>0</xdr:row>
      <xdr:rowOff>62753</xdr:rowOff>
    </xdr:from>
    <xdr:to>
      <xdr:col>13</xdr:col>
      <xdr:colOff>949699</xdr:colOff>
      <xdr:row>2</xdr:row>
      <xdr:rowOff>103654</xdr:rowOff>
    </xdr:to>
    <xdr:pic>
      <xdr:nvPicPr>
        <xdr:cNvPr id="3" name="Pictur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00682" y="62753"/>
          <a:ext cx="968189" cy="7888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95250</xdr:colOff>
          <xdr:row>1</xdr:row>
          <xdr:rowOff>104775</xdr:rowOff>
        </xdr:from>
        <xdr:to>
          <xdr:col>18</xdr:col>
          <xdr:colOff>1809750</xdr:colOff>
          <xdr:row>2</xdr:row>
          <xdr:rowOff>133350</xdr:rowOff>
        </xdr:to>
        <xdr:sp macro="" textlink="">
          <xdr:nvSpPr>
            <xdr:cNvPr id="3075" name="EOT"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161925</xdr:colOff>
          <xdr:row>1</xdr:row>
          <xdr:rowOff>104775</xdr:rowOff>
        </xdr:from>
        <xdr:to>
          <xdr:col>22</xdr:col>
          <xdr:colOff>1876425</xdr:colOff>
          <xdr:row>2</xdr:row>
          <xdr:rowOff>133350</xdr:rowOff>
        </xdr:to>
        <xdr:sp macro="" textlink="">
          <xdr:nvSpPr>
            <xdr:cNvPr id="3076" name="EOTongoing"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1266825</xdr:colOff>
          <xdr:row>1</xdr:row>
          <xdr:rowOff>85725</xdr:rowOff>
        </xdr:from>
        <xdr:to>
          <xdr:col>14</xdr:col>
          <xdr:colOff>66674</xdr:colOff>
          <xdr:row>2</xdr:row>
          <xdr:rowOff>123825</xdr:rowOff>
        </xdr:to>
        <xdr:sp macro="" textlink="">
          <xdr:nvSpPr>
            <xdr:cNvPr id="3077" name="Delay"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1</xdr:col>
      <xdr:colOff>1929</xdr:colOff>
      <xdr:row>3</xdr:row>
      <xdr:rowOff>165214</xdr:rowOff>
    </xdr:to>
    <xdr:pic>
      <xdr:nvPicPr>
        <xdr:cNvPr id="4" name="Picture 3">
          <a:extLst>
            <a:ext uri="{FF2B5EF4-FFF2-40B4-BE49-F238E27FC236}">
              <a16:creationId xmlns:a16="http://schemas.microsoft.com/office/drawing/2014/main" id="{96EF50E7-4DC7-8634-8BEF-9EC63BB23BD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00000" cy="90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36</xdr:col>
      <xdr:colOff>40821</xdr:colOff>
      <xdr:row>1</xdr:row>
      <xdr:rowOff>95250</xdr:rowOff>
    </xdr:from>
    <xdr:to>
      <xdr:col>36</xdr:col>
      <xdr:colOff>693964</xdr:colOff>
      <xdr:row>1</xdr:row>
      <xdr:rowOff>95250</xdr:rowOff>
    </xdr:to>
    <xdr:cxnSp macro="">
      <xdr:nvCxnSpPr>
        <xdr:cNvPr id="4" name="Straight Arrow Connector 3">
          <a:extLst>
            <a:ext uri="{FF2B5EF4-FFF2-40B4-BE49-F238E27FC236}">
              <a16:creationId xmlns:a16="http://schemas.microsoft.com/office/drawing/2014/main" id="{00000000-0008-0000-0600-000004000000}"/>
            </a:ext>
          </a:extLst>
        </xdr:cNvPr>
        <xdr:cNvCxnSpPr/>
      </xdr:nvCxnSpPr>
      <xdr:spPr>
        <a:xfrm>
          <a:off x="19172464" y="299357"/>
          <a:ext cx="653143" cy="0"/>
        </a:xfrm>
        <a:prstGeom prst="straightConnector1">
          <a:avLst/>
        </a:prstGeom>
        <a:ln w="19050">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0</xdr:colOff>
          <xdr:row>3</xdr:row>
          <xdr:rowOff>95250</xdr:rowOff>
        </xdr:from>
        <xdr:to>
          <xdr:col>19</xdr:col>
          <xdr:colOff>742950</xdr:colOff>
          <xdr:row>4</xdr:row>
          <xdr:rowOff>257175</xdr:rowOff>
        </xdr:to>
        <xdr:sp macro="" textlink="">
          <xdr:nvSpPr>
            <xdr:cNvPr id="2072" name="CommandButton1" hidden="1">
              <a:extLst>
                <a:ext uri="{63B3BB69-23CF-44E3-9099-C40C66FF867C}">
                  <a14:compatExt spid="_x0000_s2072"/>
                </a:ext>
                <a:ext uri="{FF2B5EF4-FFF2-40B4-BE49-F238E27FC236}">
                  <a16:creationId xmlns:a16="http://schemas.microsoft.com/office/drawing/2014/main" id="{00000000-0008-0000-06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xdr:row>
          <xdr:rowOff>95250</xdr:rowOff>
        </xdr:from>
        <xdr:to>
          <xdr:col>19</xdr:col>
          <xdr:colOff>781050</xdr:colOff>
          <xdr:row>4</xdr:row>
          <xdr:rowOff>257175</xdr:rowOff>
        </xdr:to>
        <xdr:sp macro="" textlink="">
          <xdr:nvSpPr>
            <xdr:cNvPr id="2073" name="CommandButton2" hidden="1">
              <a:extLst>
                <a:ext uri="{63B3BB69-23CF-44E3-9099-C40C66FF867C}">
                  <a14:compatExt spid="_x0000_s2073"/>
                </a:ext>
                <a:ext uri="{FF2B5EF4-FFF2-40B4-BE49-F238E27FC236}">
                  <a16:creationId xmlns:a16="http://schemas.microsoft.com/office/drawing/2014/main" id="{00000000-0008-0000-06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155864</xdr:colOff>
      <xdr:row>0</xdr:row>
      <xdr:rowOff>121227</xdr:rowOff>
    </xdr:from>
    <xdr:to>
      <xdr:col>1</xdr:col>
      <xdr:colOff>170708</xdr:colOff>
      <xdr:row>3</xdr:row>
      <xdr:rowOff>172636</xdr:rowOff>
    </xdr:to>
    <xdr:pic>
      <xdr:nvPicPr>
        <xdr:cNvPr id="2" name="Picture 1">
          <a:extLst>
            <a:ext uri="{FF2B5EF4-FFF2-40B4-BE49-F238E27FC236}">
              <a16:creationId xmlns:a16="http://schemas.microsoft.com/office/drawing/2014/main" id="{DBC00314-4446-4D92-B7ED-EBB965404D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5864" y="121227"/>
          <a:ext cx="898071" cy="9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40821</xdr:colOff>
      <xdr:row>3</xdr:row>
      <xdr:rowOff>124393</xdr:rowOff>
    </xdr:to>
    <xdr:pic>
      <xdr:nvPicPr>
        <xdr:cNvPr id="2" name="Picture 1">
          <a:extLst>
            <a:ext uri="{FF2B5EF4-FFF2-40B4-BE49-F238E27FC236}">
              <a16:creationId xmlns:a16="http://schemas.microsoft.com/office/drawing/2014/main" id="{F2E140A5-5144-479E-9473-BFCFE81BE5B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98071" cy="9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Finance\FN03%20Reporting\EOM\25.0%20May-20\7.0%20Change%20Status\AG\W01022_MAC_Combined%20Variation%20%20EOT%20Register-(May-20).%20-%20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amcmaho/Desktop/Issued%20to%20BHP/Variation%20and%20EOT%20Register%202019.01.3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ACSFAFP\Group\Commercial\CM01%20Draft%20Documentation\1.0%20Head%20Contract%20Notices\01%20HCV%20&amp;%20EOT%20Register\W01022_MAC_Combined%20Variation%20&amp;%20EOT%20Register-1.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VO%20Status%20-%20Summary"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K:\Commercial\CM01%20Draft%20Documentation\1.0%20Head%20Contract%20Notices\01%20HCV%20&amp;%20EOT%20Register\W01022_MAC_Combined%20Variation%20&amp;%20EOT%20Register-1.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K:\Commercial\CM01%20Draft%20Documentation\1.0%20Head%20Contract%20Notices\01%20HCV%20&amp;%20EOT%20Register\W01022_MAC_Combined%20Variation%20&amp;%20EOT%20Register-(Aug-19)%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 Summary"/>
      <sheetName val="Strategies - Commentary"/>
      <sheetName val="VO Status - Summary"/>
      <sheetName val="EOT Status - Summary"/>
      <sheetName val="Variation Register"/>
      <sheetName val="Delay"/>
      <sheetName val="Acceleration Direction"/>
      <sheetName val="Company VO Report"/>
      <sheetName val="Company Delay &amp; EOT"/>
      <sheetName val="Drop Downs"/>
      <sheetName val="Sheet2"/>
      <sheetName val="Legacy Claims 13-04-19"/>
    </sheetNames>
    <sheetDataSet>
      <sheetData sheetId="0"/>
      <sheetData sheetId="1"/>
      <sheetData sheetId="2"/>
      <sheetData sheetId="3"/>
      <sheetData sheetId="4">
        <row r="2">
          <cell r="AC2">
            <v>50342213.31784302</v>
          </cell>
        </row>
        <row r="7">
          <cell r="AC7">
            <v>11750636.907666802</v>
          </cell>
        </row>
        <row r="8">
          <cell r="I8" t="str">
            <v>Action by</v>
          </cell>
          <cell r="J8" t="str">
            <v>Aged/ New</v>
          </cell>
          <cell r="AC8" t="str">
            <v>REVISED SUBMITTED OR AGREED VALUE</v>
          </cell>
        </row>
        <row r="9">
          <cell r="AC9">
            <v>1043591.6800000001</v>
          </cell>
        </row>
        <row r="11">
          <cell r="AC11">
            <v>0</v>
          </cell>
        </row>
        <row r="12">
          <cell r="AC12">
            <v>2867.5400000000004</v>
          </cell>
        </row>
        <row r="13">
          <cell r="AC13">
            <v>5380.89</v>
          </cell>
        </row>
        <row r="14">
          <cell r="AC14">
            <v>58533.75</v>
          </cell>
        </row>
        <row r="15">
          <cell r="AC15">
            <v>16503</v>
          </cell>
        </row>
        <row r="16">
          <cell r="I16" t="str">
            <v>Contractor</v>
          </cell>
          <cell r="J16" t="str">
            <v>Aged</v>
          </cell>
        </row>
        <row r="17">
          <cell r="AC17">
            <v>1375.71</v>
          </cell>
        </row>
        <row r="18">
          <cell r="AC18">
            <v>111081</v>
          </cell>
        </row>
        <row r="19">
          <cell r="AC19">
            <v>1097235.24</v>
          </cell>
        </row>
        <row r="20">
          <cell r="AC20">
            <v>711632.8</v>
          </cell>
        </row>
        <row r="21">
          <cell r="AC21">
            <v>0</v>
          </cell>
        </row>
        <row r="22">
          <cell r="AC22">
            <v>0</v>
          </cell>
        </row>
        <row r="23">
          <cell r="I23" t="str">
            <v>Company</v>
          </cell>
          <cell r="AC23">
            <v>916890.9</v>
          </cell>
        </row>
        <row r="24">
          <cell r="I24" t="str">
            <v>Company</v>
          </cell>
          <cell r="AC24">
            <v>419043.45999999996</v>
          </cell>
        </row>
        <row r="25">
          <cell r="I25" t="str">
            <v>Company</v>
          </cell>
          <cell r="AC25">
            <v>440325.81000000006</v>
          </cell>
        </row>
        <row r="26">
          <cell r="I26" t="str">
            <v>Company</v>
          </cell>
          <cell r="AC26">
            <v>75167.839999999997</v>
          </cell>
        </row>
        <row r="27">
          <cell r="I27" t="str">
            <v>Company</v>
          </cell>
          <cell r="AC27">
            <v>131437.01999999999</v>
          </cell>
        </row>
        <row r="28">
          <cell r="I28" t="str">
            <v>Company</v>
          </cell>
          <cell r="J28" t="str">
            <v>Aged</v>
          </cell>
          <cell r="AC28">
            <v>10505.49</v>
          </cell>
        </row>
        <row r="29">
          <cell r="I29" t="str">
            <v>Company</v>
          </cell>
          <cell r="AC29">
            <v>1424342.541829</v>
          </cell>
        </row>
        <row r="30">
          <cell r="I30" t="str">
            <v>Company</v>
          </cell>
          <cell r="AC30">
            <v>88241.73</v>
          </cell>
        </row>
        <row r="31">
          <cell r="AC31">
            <v>0</v>
          </cell>
        </row>
        <row r="32">
          <cell r="I32" t="str">
            <v>Contractor</v>
          </cell>
          <cell r="AC32">
            <v>72332.02999999997</v>
          </cell>
        </row>
        <row r="33">
          <cell r="I33" t="str">
            <v>See HCV-014</v>
          </cell>
          <cell r="AC33">
            <v>0</v>
          </cell>
        </row>
        <row r="34">
          <cell r="I34" t="str">
            <v>Contractor</v>
          </cell>
          <cell r="AC34">
            <v>0</v>
          </cell>
        </row>
        <row r="35">
          <cell r="I35" t="str">
            <v>Company</v>
          </cell>
          <cell r="AC35">
            <v>673152.91</v>
          </cell>
        </row>
        <row r="36">
          <cell r="I36" t="str">
            <v>Company</v>
          </cell>
          <cell r="AC36">
            <v>142783.79999999999</v>
          </cell>
        </row>
        <row r="37">
          <cell r="I37" t="str">
            <v>Contractor</v>
          </cell>
          <cell r="AC37">
            <v>-79879.09</v>
          </cell>
        </row>
        <row r="38">
          <cell r="AC38">
            <v>382578</v>
          </cell>
        </row>
        <row r="39">
          <cell r="AC39">
            <v>3192</v>
          </cell>
        </row>
        <row r="40">
          <cell r="AC40">
            <v>24368.99</v>
          </cell>
        </row>
        <row r="41">
          <cell r="AC41">
            <v>19307.669999999998</v>
          </cell>
        </row>
        <row r="42">
          <cell r="I42" t="str">
            <v>Company</v>
          </cell>
          <cell r="AC42">
            <v>4473127.6900000004</v>
          </cell>
        </row>
        <row r="43">
          <cell r="AC43">
            <v>22164.880000000001</v>
          </cell>
        </row>
        <row r="44">
          <cell r="AC44">
            <v>0</v>
          </cell>
        </row>
        <row r="45">
          <cell r="AC45">
            <v>14257.47</v>
          </cell>
        </row>
        <row r="46">
          <cell r="AC46">
            <v>7097.3</v>
          </cell>
        </row>
        <row r="47">
          <cell r="I47" t="str">
            <v>Contractor</v>
          </cell>
          <cell r="AC47">
            <v>0</v>
          </cell>
        </row>
        <row r="48">
          <cell r="I48" t="str">
            <v>Company</v>
          </cell>
          <cell r="AC48">
            <v>76527.365000000005</v>
          </cell>
        </row>
        <row r="49">
          <cell r="I49" t="str">
            <v>Contractor</v>
          </cell>
          <cell r="AC49">
            <v>0</v>
          </cell>
        </row>
        <row r="50">
          <cell r="I50" t="str">
            <v>Contractor</v>
          </cell>
          <cell r="AC50">
            <v>0</v>
          </cell>
        </row>
        <row r="51">
          <cell r="AC51">
            <v>0</v>
          </cell>
        </row>
        <row r="52">
          <cell r="AC52">
            <v>13125.77</v>
          </cell>
        </row>
        <row r="53">
          <cell r="AC53">
            <v>79234.460000000006</v>
          </cell>
        </row>
        <row r="54">
          <cell r="I54" t="str">
            <v>Company</v>
          </cell>
          <cell r="AC54">
            <v>0</v>
          </cell>
        </row>
        <row r="55">
          <cell r="AC55">
            <v>0</v>
          </cell>
        </row>
        <row r="56">
          <cell r="I56" t="str">
            <v>Contractor</v>
          </cell>
          <cell r="AC56">
            <v>17019</v>
          </cell>
        </row>
        <row r="57">
          <cell r="I57" t="str">
            <v>Company</v>
          </cell>
          <cell r="AC57">
            <v>4279.6400000000003</v>
          </cell>
        </row>
        <row r="58">
          <cell r="I58" t="str">
            <v>Company</v>
          </cell>
          <cell r="AC58">
            <v>20987.1</v>
          </cell>
        </row>
        <row r="59">
          <cell r="I59" t="str">
            <v>Company</v>
          </cell>
          <cell r="AC59">
            <v>6055.56</v>
          </cell>
        </row>
        <row r="60">
          <cell r="AC60">
            <v>1046.4000000000001</v>
          </cell>
        </row>
        <row r="61">
          <cell r="AC61">
            <v>0</v>
          </cell>
        </row>
        <row r="62">
          <cell r="AC62">
            <v>0</v>
          </cell>
        </row>
        <row r="63">
          <cell r="AC63">
            <v>19441</v>
          </cell>
        </row>
        <row r="64">
          <cell r="AC64">
            <v>172984.67</v>
          </cell>
        </row>
        <row r="65">
          <cell r="AC65">
            <v>28055.02</v>
          </cell>
        </row>
        <row r="66">
          <cell r="AC66">
            <v>0</v>
          </cell>
        </row>
        <row r="67">
          <cell r="AC67">
            <v>0</v>
          </cell>
        </row>
        <row r="68">
          <cell r="AC68">
            <v>0</v>
          </cell>
        </row>
        <row r="69">
          <cell r="I69" t="str">
            <v>Company</v>
          </cell>
          <cell r="J69" t="str">
            <v>Aged</v>
          </cell>
          <cell r="AC69">
            <v>73299.02</v>
          </cell>
        </row>
        <row r="70">
          <cell r="I70" t="str">
            <v>Company</v>
          </cell>
          <cell r="AC70">
            <v>0</v>
          </cell>
        </row>
        <row r="71">
          <cell r="AC71">
            <v>6093.72</v>
          </cell>
        </row>
        <row r="72">
          <cell r="AC72">
            <v>0</v>
          </cell>
        </row>
        <row r="73">
          <cell r="I73" t="str">
            <v>Contractor</v>
          </cell>
          <cell r="AC73">
            <v>69794.710000000006</v>
          </cell>
        </row>
        <row r="74">
          <cell r="AC74">
            <v>0</v>
          </cell>
        </row>
        <row r="75">
          <cell r="AC75">
            <v>21801.46</v>
          </cell>
        </row>
        <row r="76">
          <cell r="I76" t="str">
            <v>Company</v>
          </cell>
          <cell r="AC76">
            <v>9803.443347194434</v>
          </cell>
        </row>
        <row r="77">
          <cell r="AC77">
            <v>4726</v>
          </cell>
        </row>
        <row r="79">
          <cell r="AC79">
            <v>1540</v>
          </cell>
        </row>
        <row r="80">
          <cell r="AC80">
            <v>14422.17</v>
          </cell>
        </row>
        <row r="81">
          <cell r="AC81">
            <v>1414.96</v>
          </cell>
        </row>
        <row r="82">
          <cell r="AC82">
            <v>6400</v>
          </cell>
        </row>
        <row r="83">
          <cell r="I83" t="str">
            <v>Company</v>
          </cell>
          <cell r="AC83">
            <v>0</v>
          </cell>
        </row>
        <row r="84">
          <cell r="AC84">
            <v>0</v>
          </cell>
        </row>
        <row r="85">
          <cell r="I85" t="str">
            <v>Contractor</v>
          </cell>
          <cell r="AC85">
            <v>3257.15</v>
          </cell>
        </row>
        <row r="86">
          <cell r="I86" t="str">
            <v>Company</v>
          </cell>
          <cell r="AC86">
            <v>42425.25</v>
          </cell>
        </row>
        <row r="87">
          <cell r="I87" t="str">
            <v>Contractor</v>
          </cell>
          <cell r="AC87">
            <v>448406</v>
          </cell>
        </row>
        <row r="88">
          <cell r="I88" t="str">
            <v>Contractor</v>
          </cell>
          <cell r="AC88">
            <v>265812.42</v>
          </cell>
        </row>
        <row r="89">
          <cell r="I89" t="str">
            <v>Contractor</v>
          </cell>
          <cell r="AC89">
            <v>0</v>
          </cell>
        </row>
        <row r="90">
          <cell r="I90" t="str">
            <v>Contractor</v>
          </cell>
          <cell r="AC90">
            <v>42869.91</v>
          </cell>
        </row>
        <row r="91">
          <cell r="I91" t="str">
            <v>Company</v>
          </cell>
          <cell r="J91" t="str">
            <v>Aged</v>
          </cell>
          <cell r="AC91">
            <v>400000</v>
          </cell>
        </row>
        <row r="92">
          <cell r="I92" t="str">
            <v>Contractor</v>
          </cell>
          <cell r="AC92">
            <v>217998.09</v>
          </cell>
        </row>
        <row r="93">
          <cell r="I93" t="str">
            <v>Contractor</v>
          </cell>
          <cell r="AC93">
            <v>0</v>
          </cell>
        </row>
        <row r="94">
          <cell r="AC94">
            <v>8452.2999999999993</v>
          </cell>
        </row>
        <row r="95">
          <cell r="AC95">
            <v>124985</v>
          </cell>
        </row>
        <row r="96">
          <cell r="AC96">
            <v>0</v>
          </cell>
        </row>
        <row r="97">
          <cell r="AC97">
            <v>542234</v>
          </cell>
        </row>
        <row r="98">
          <cell r="AC98">
            <v>2419.33</v>
          </cell>
        </row>
        <row r="99">
          <cell r="I99" t="str">
            <v>Contractor</v>
          </cell>
          <cell r="AC99">
            <v>0</v>
          </cell>
        </row>
        <row r="100">
          <cell r="I100" t="str">
            <v>Contractor</v>
          </cell>
          <cell r="AC100">
            <v>0</v>
          </cell>
        </row>
        <row r="101">
          <cell r="I101" t="str">
            <v>Company</v>
          </cell>
          <cell r="AC101">
            <v>0</v>
          </cell>
        </row>
        <row r="102">
          <cell r="I102" t="str">
            <v>Contractor</v>
          </cell>
          <cell r="AC102">
            <v>0</v>
          </cell>
        </row>
        <row r="103">
          <cell r="I103" t="str">
            <v>Company</v>
          </cell>
          <cell r="AC103">
            <v>36200.81</v>
          </cell>
        </row>
        <row r="104">
          <cell r="I104" t="str">
            <v>Contractor</v>
          </cell>
          <cell r="AC104">
            <v>12820.97</v>
          </cell>
        </row>
        <row r="105">
          <cell r="I105" t="str">
            <v>Company</v>
          </cell>
          <cell r="AC105">
            <v>0</v>
          </cell>
        </row>
        <row r="106">
          <cell r="I106" t="str">
            <v>Company</v>
          </cell>
          <cell r="AC106">
            <v>125746.27</v>
          </cell>
        </row>
        <row r="107">
          <cell r="AC107">
            <v>167939.64</v>
          </cell>
        </row>
        <row r="108">
          <cell r="I108" t="str">
            <v>Contractor</v>
          </cell>
          <cell r="AC108">
            <v>47379</v>
          </cell>
        </row>
        <row r="109">
          <cell r="AC109">
            <v>84860</v>
          </cell>
        </row>
        <row r="110">
          <cell r="I110" t="str">
            <v>Company</v>
          </cell>
          <cell r="AC110">
            <v>20547.61</v>
          </cell>
        </row>
        <row r="111">
          <cell r="AC111">
            <v>82123.77</v>
          </cell>
        </row>
        <row r="112">
          <cell r="I112" t="str">
            <v>Contractor</v>
          </cell>
          <cell r="AC112">
            <v>0</v>
          </cell>
        </row>
        <row r="113">
          <cell r="I113" t="str">
            <v>Contractor</v>
          </cell>
          <cell r="AC113">
            <v>0</v>
          </cell>
        </row>
        <row r="114">
          <cell r="AC114">
            <v>108</v>
          </cell>
        </row>
        <row r="115">
          <cell r="I115" t="str">
            <v>Contractor</v>
          </cell>
          <cell r="AC115">
            <v>0</v>
          </cell>
        </row>
        <row r="116">
          <cell r="I116" t="str">
            <v>Company</v>
          </cell>
          <cell r="AC116">
            <v>0.21999999997206032</v>
          </cell>
        </row>
        <row r="117">
          <cell r="I117" t="str">
            <v>Company</v>
          </cell>
          <cell r="AC117">
            <v>0</v>
          </cell>
        </row>
        <row r="118">
          <cell r="AC118">
            <v>6283.56</v>
          </cell>
        </row>
        <row r="119">
          <cell r="I119" t="str">
            <v>Company</v>
          </cell>
          <cell r="AC119">
            <v>140811.26</v>
          </cell>
        </row>
        <row r="120">
          <cell r="I120" t="str">
            <v>Contractor</v>
          </cell>
          <cell r="J120" t="str">
            <v>Aged</v>
          </cell>
          <cell r="AC120">
            <v>14108.64</v>
          </cell>
        </row>
        <row r="121">
          <cell r="AC121">
            <v>162547.66</v>
          </cell>
        </row>
        <row r="122">
          <cell r="AC122">
            <v>94053.479999999981</v>
          </cell>
        </row>
        <row r="123">
          <cell r="I123" t="str">
            <v>Contractor</v>
          </cell>
          <cell r="AC123">
            <v>64167.98</v>
          </cell>
        </row>
        <row r="124">
          <cell r="I124" t="str">
            <v>Contractor</v>
          </cell>
          <cell r="AC124">
            <v>0</v>
          </cell>
        </row>
        <row r="125">
          <cell r="AC125">
            <v>0</v>
          </cell>
        </row>
        <row r="126">
          <cell r="AC126">
            <v>0</v>
          </cell>
        </row>
        <row r="127">
          <cell r="I127" t="str">
            <v>Company</v>
          </cell>
          <cell r="J127" t="str">
            <v>Sch 6.3 - Aged</v>
          </cell>
          <cell r="AC127">
            <v>-132535</v>
          </cell>
        </row>
        <row r="128">
          <cell r="I128" t="str">
            <v>Contractor</v>
          </cell>
          <cell r="AC128">
            <v>0</v>
          </cell>
        </row>
        <row r="131">
          <cell r="AC131">
            <v>0</v>
          </cell>
        </row>
        <row r="132">
          <cell r="AC132">
            <v>174017.61</v>
          </cell>
        </row>
        <row r="133">
          <cell r="AC133">
            <v>1259.6999999999998</v>
          </cell>
        </row>
        <row r="134">
          <cell r="AC134">
            <v>6242.6</v>
          </cell>
        </row>
        <row r="135">
          <cell r="AC135">
            <v>0</v>
          </cell>
        </row>
        <row r="136">
          <cell r="AC136">
            <v>0</v>
          </cell>
        </row>
        <row r="137">
          <cell r="AC137">
            <v>-0.14999999999417923</v>
          </cell>
        </row>
        <row r="138">
          <cell r="AC138">
            <v>1342430.81</v>
          </cell>
        </row>
        <row r="139">
          <cell r="AC139">
            <v>6123.42</v>
          </cell>
        </row>
        <row r="140">
          <cell r="I140" t="str">
            <v>Contractor</v>
          </cell>
          <cell r="J140" t="str">
            <v>Aged</v>
          </cell>
          <cell r="AC140">
            <v>5000</v>
          </cell>
        </row>
        <row r="141">
          <cell r="AC141">
            <v>4669.57</v>
          </cell>
        </row>
        <row r="142">
          <cell r="AC142">
            <v>5703.88</v>
          </cell>
        </row>
        <row r="143">
          <cell r="AC143">
            <v>1451085</v>
          </cell>
        </row>
        <row r="144">
          <cell r="I144" t="str">
            <v>Company</v>
          </cell>
          <cell r="J144" t="str">
            <v>Sch 6.3 - New</v>
          </cell>
          <cell r="AC144">
            <v>88519</v>
          </cell>
        </row>
        <row r="145">
          <cell r="I145" t="str">
            <v>Company</v>
          </cell>
          <cell r="J145" t="str">
            <v>Aged</v>
          </cell>
          <cell r="AC145">
            <v>1279838</v>
          </cell>
        </row>
        <row r="146">
          <cell r="AC146">
            <v>0</v>
          </cell>
        </row>
        <row r="147">
          <cell r="AC147">
            <v>796897.92</v>
          </cell>
        </row>
        <row r="148">
          <cell r="AC148">
            <v>67678.23</v>
          </cell>
        </row>
        <row r="149">
          <cell r="AC149">
            <v>457272.02</v>
          </cell>
        </row>
        <row r="150">
          <cell r="AC150">
            <v>115997.28000000001</v>
          </cell>
        </row>
        <row r="151">
          <cell r="AC151">
            <v>0</v>
          </cell>
        </row>
        <row r="152">
          <cell r="AC152">
            <v>190794.71</v>
          </cell>
        </row>
        <row r="153">
          <cell r="AC153">
            <v>2146.1</v>
          </cell>
        </row>
        <row r="154">
          <cell r="AC154">
            <v>7528.3100000000013</v>
          </cell>
        </row>
        <row r="155">
          <cell r="AC155">
            <v>9309.8700000000008</v>
          </cell>
        </row>
        <row r="156">
          <cell r="AC156">
            <v>186197.23</v>
          </cell>
        </row>
        <row r="157">
          <cell r="I157" t="str">
            <v>company</v>
          </cell>
          <cell r="J157" t="str">
            <v>Aged</v>
          </cell>
          <cell r="AC157">
            <v>1331901.5900000001</v>
          </cell>
        </row>
        <row r="158">
          <cell r="AC158">
            <v>5199.33</v>
          </cell>
        </row>
        <row r="159">
          <cell r="AC159">
            <v>-2669400.4</v>
          </cell>
        </row>
        <row r="160">
          <cell r="AC160">
            <v>14541.22</v>
          </cell>
        </row>
        <row r="161">
          <cell r="AC161">
            <v>67034.7</v>
          </cell>
        </row>
        <row r="162">
          <cell r="AC162">
            <v>81776.509999999995</v>
          </cell>
        </row>
        <row r="163">
          <cell r="AC163">
            <v>3016.17</v>
          </cell>
        </row>
        <row r="164">
          <cell r="AC164">
            <v>78790.42</v>
          </cell>
        </row>
        <row r="165">
          <cell r="AC165">
            <v>620462.36</v>
          </cell>
        </row>
        <row r="166">
          <cell r="AC166">
            <v>149158.23000000001</v>
          </cell>
        </row>
        <row r="167">
          <cell r="AC167">
            <v>0</v>
          </cell>
        </row>
        <row r="168">
          <cell r="I168" t="str">
            <v>Company</v>
          </cell>
          <cell r="J168" t="str">
            <v>Aged</v>
          </cell>
          <cell r="AC168">
            <v>77624.55</v>
          </cell>
        </row>
        <row r="169">
          <cell r="I169" t="str">
            <v>Company</v>
          </cell>
          <cell r="J169" t="str">
            <v>New</v>
          </cell>
          <cell r="AC169">
            <v>539911.06999999995</v>
          </cell>
        </row>
        <row r="170">
          <cell r="AC170">
            <v>0</v>
          </cell>
        </row>
        <row r="171">
          <cell r="AC171">
            <v>11300.08</v>
          </cell>
        </row>
        <row r="172">
          <cell r="AC172">
            <v>5510.8</v>
          </cell>
        </row>
        <row r="173">
          <cell r="AC173">
            <v>0</v>
          </cell>
        </row>
        <row r="174">
          <cell r="I174" t="str">
            <v>Company</v>
          </cell>
          <cell r="AC174" t="str">
            <v>TBA</v>
          </cell>
        </row>
        <row r="175">
          <cell r="I175" t="str">
            <v>Company</v>
          </cell>
          <cell r="AC175">
            <v>715235.55</v>
          </cell>
        </row>
        <row r="176">
          <cell r="AC176">
            <v>64796.27</v>
          </cell>
        </row>
        <row r="177">
          <cell r="AC177">
            <v>23804.93</v>
          </cell>
        </row>
        <row r="178">
          <cell r="AC178">
            <v>0</v>
          </cell>
        </row>
        <row r="179">
          <cell r="AC179">
            <v>19416.25</v>
          </cell>
        </row>
        <row r="180">
          <cell r="AC180">
            <v>6757.92</v>
          </cell>
        </row>
        <row r="181">
          <cell r="I181" t="str">
            <v>Company</v>
          </cell>
          <cell r="AC181">
            <v>0</v>
          </cell>
        </row>
        <row r="182">
          <cell r="AC182">
            <v>82786.009999999995</v>
          </cell>
        </row>
        <row r="183">
          <cell r="AC183">
            <v>0</v>
          </cell>
        </row>
        <row r="184">
          <cell r="AC184">
            <v>0</v>
          </cell>
        </row>
        <row r="185">
          <cell r="I185" t="str">
            <v>Contractor</v>
          </cell>
          <cell r="J185" t="str">
            <v>Aged</v>
          </cell>
          <cell r="AC185">
            <v>3336.9</v>
          </cell>
        </row>
        <row r="187">
          <cell r="AC187">
            <v>0</v>
          </cell>
        </row>
        <row r="188">
          <cell r="AC188">
            <v>320776.08</v>
          </cell>
        </row>
        <row r="189">
          <cell r="AC189">
            <v>34811.43</v>
          </cell>
        </row>
        <row r="190">
          <cell r="AC190">
            <v>15005.3</v>
          </cell>
        </row>
        <row r="191">
          <cell r="AC191">
            <v>0</v>
          </cell>
        </row>
        <row r="192">
          <cell r="AC192">
            <v>0</v>
          </cell>
        </row>
        <row r="193">
          <cell r="I193" t="str">
            <v>Contractor</v>
          </cell>
          <cell r="J193" t="str">
            <v>Aged</v>
          </cell>
          <cell r="AC193">
            <v>77905.440000000002</v>
          </cell>
        </row>
        <row r="194">
          <cell r="AC194">
            <v>78419.8</v>
          </cell>
        </row>
        <row r="195">
          <cell r="AC195">
            <v>0</v>
          </cell>
        </row>
        <row r="196">
          <cell r="I196" t="str">
            <v>Company</v>
          </cell>
          <cell r="J196" t="str">
            <v>Aged</v>
          </cell>
          <cell r="AC196">
            <v>11762.15</v>
          </cell>
        </row>
        <row r="197">
          <cell r="AC197">
            <v>3069.1</v>
          </cell>
        </row>
        <row r="198">
          <cell r="AC198">
            <v>13305.83</v>
          </cell>
        </row>
        <row r="199">
          <cell r="AC199">
            <v>618953.59</v>
          </cell>
        </row>
        <row r="200">
          <cell r="AC200">
            <v>134640</v>
          </cell>
        </row>
        <row r="201">
          <cell r="AC201">
            <v>2745.23</v>
          </cell>
        </row>
        <row r="202">
          <cell r="AC202">
            <v>4853.96</v>
          </cell>
        </row>
        <row r="203">
          <cell r="AC203">
            <v>2609.79</v>
          </cell>
        </row>
        <row r="204">
          <cell r="AC204">
            <v>13101.66</v>
          </cell>
        </row>
        <row r="205">
          <cell r="AC205">
            <v>2444.0700000000002</v>
          </cell>
        </row>
        <row r="206">
          <cell r="AC206">
            <v>32131.08</v>
          </cell>
        </row>
        <row r="207">
          <cell r="AC207">
            <v>17290.509999999998</v>
          </cell>
        </row>
        <row r="208">
          <cell r="AC208">
            <v>21910.71</v>
          </cell>
        </row>
        <row r="209">
          <cell r="AC209">
            <v>29632.93</v>
          </cell>
        </row>
        <row r="210">
          <cell r="AC210">
            <v>3698.62</v>
          </cell>
        </row>
        <row r="211">
          <cell r="AC211">
            <v>111425</v>
          </cell>
        </row>
        <row r="212">
          <cell r="AC212">
            <v>34777.99</v>
          </cell>
        </row>
        <row r="213">
          <cell r="AC213">
            <v>0</v>
          </cell>
        </row>
        <row r="214">
          <cell r="AC214">
            <v>140299</v>
          </cell>
        </row>
        <row r="215">
          <cell r="AC215">
            <v>0</v>
          </cell>
        </row>
        <row r="216">
          <cell r="AC216">
            <v>0</v>
          </cell>
        </row>
        <row r="217">
          <cell r="AC217">
            <v>0</v>
          </cell>
        </row>
        <row r="218">
          <cell r="AC218">
            <v>0</v>
          </cell>
        </row>
        <row r="219">
          <cell r="I219" t="str">
            <v>Company</v>
          </cell>
          <cell r="J219" t="str">
            <v>Aged</v>
          </cell>
          <cell r="AC219">
            <v>44405.41</v>
          </cell>
        </row>
        <row r="220">
          <cell r="AC220">
            <v>4125.43</v>
          </cell>
        </row>
        <row r="221">
          <cell r="AC221">
            <v>0</v>
          </cell>
        </row>
        <row r="222">
          <cell r="I222" t="str">
            <v>Company</v>
          </cell>
          <cell r="J222" t="str">
            <v>Aged</v>
          </cell>
          <cell r="AC222">
            <v>162979.26</v>
          </cell>
        </row>
        <row r="223">
          <cell r="AC223">
            <v>558</v>
          </cell>
        </row>
        <row r="224">
          <cell r="AC224">
            <v>0</v>
          </cell>
        </row>
        <row r="227">
          <cell r="AC227">
            <v>0</v>
          </cell>
        </row>
        <row r="228">
          <cell r="AC228">
            <v>3257.16</v>
          </cell>
        </row>
        <row r="229">
          <cell r="I229" t="str">
            <v>Contractor</v>
          </cell>
          <cell r="J229" t="str">
            <v>Aged</v>
          </cell>
          <cell r="AC229">
            <v>9322.7999999999993</v>
          </cell>
        </row>
        <row r="230">
          <cell r="AC230">
            <v>63264.51</v>
          </cell>
        </row>
        <row r="231">
          <cell r="I231" t="str">
            <v>Company</v>
          </cell>
          <cell r="J231" t="str">
            <v>New</v>
          </cell>
          <cell r="AC231">
            <v>17748.2</v>
          </cell>
        </row>
        <row r="232">
          <cell r="I232" t="str">
            <v>Contractor</v>
          </cell>
          <cell r="J232" t="str">
            <v>Aged</v>
          </cell>
          <cell r="AC232">
            <v>183.96</v>
          </cell>
        </row>
        <row r="233">
          <cell r="AC233">
            <v>8490</v>
          </cell>
        </row>
        <row r="234">
          <cell r="AC234">
            <v>13197.17</v>
          </cell>
        </row>
        <row r="235">
          <cell r="I235" t="str">
            <v>Company</v>
          </cell>
          <cell r="J235" t="str">
            <v>Aged</v>
          </cell>
          <cell r="AC235">
            <v>182728.33</v>
          </cell>
        </row>
        <row r="236">
          <cell r="AC236">
            <v>0</v>
          </cell>
        </row>
        <row r="237">
          <cell r="AC237">
            <v>103844.27</v>
          </cell>
        </row>
        <row r="238">
          <cell r="AC238">
            <v>2366.98</v>
          </cell>
        </row>
        <row r="239">
          <cell r="AC239">
            <v>28853.55</v>
          </cell>
        </row>
        <row r="240">
          <cell r="AC240">
            <v>13854.89</v>
          </cell>
        </row>
        <row r="241">
          <cell r="AC241">
            <v>136.5</v>
          </cell>
        </row>
        <row r="242">
          <cell r="AC242">
            <v>0</v>
          </cell>
        </row>
        <row r="243">
          <cell r="AC243">
            <v>0</v>
          </cell>
        </row>
        <row r="244">
          <cell r="I244" t="str">
            <v>Company</v>
          </cell>
          <cell r="J244" t="str">
            <v>New</v>
          </cell>
          <cell r="AC244">
            <v>179861</v>
          </cell>
        </row>
        <row r="245">
          <cell r="I245" t="str">
            <v>Contractor</v>
          </cell>
          <cell r="AC245">
            <v>0</v>
          </cell>
        </row>
        <row r="246">
          <cell r="AC246">
            <v>27442.35</v>
          </cell>
        </row>
        <row r="247">
          <cell r="AC247">
            <v>87658.84</v>
          </cell>
        </row>
        <row r="248">
          <cell r="I248" t="str">
            <v>Company</v>
          </cell>
          <cell r="J248" t="str">
            <v>Aged</v>
          </cell>
          <cell r="AC248">
            <v>24053.51</v>
          </cell>
        </row>
        <row r="249">
          <cell r="AC249">
            <v>887373</v>
          </cell>
        </row>
        <row r="250">
          <cell r="I250" t="str">
            <v>Company</v>
          </cell>
          <cell r="J250" t="str">
            <v>aged</v>
          </cell>
          <cell r="AC250">
            <v>4496767.6500000004</v>
          </cell>
        </row>
        <row r="251">
          <cell r="AC251">
            <v>0</v>
          </cell>
        </row>
        <row r="252">
          <cell r="AC252">
            <v>0</v>
          </cell>
        </row>
        <row r="253">
          <cell r="I253" t="str">
            <v>Company</v>
          </cell>
          <cell r="J253" t="str">
            <v>Aged</v>
          </cell>
          <cell r="AC253">
            <v>3199.23</v>
          </cell>
        </row>
        <row r="254">
          <cell r="I254" t="str">
            <v>Company</v>
          </cell>
          <cell r="J254" t="str">
            <v>Aged</v>
          </cell>
          <cell r="AC254">
            <v>303633.45</v>
          </cell>
        </row>
        <row r="255">
          <cell r="AC255">
            <v>0</v>
          </cell>
        </row>
        <row r="256">
          <cell r="I256" t="str">
            <v>Company</v>
          </cell>
          <cell r="J256" t="str">
            <v>New</v>
          </cell>
          <cell r="AC256">
            <v>300915.28999999998</v>
          </cell>
        </row>
        <row r="257">
          <cell r="AC257">
            <v>0</v>
          </cell>
        </row>
        <row r="258">
          <cell r="AC258">
            <v>0</v>
          </cell>
        </row>
        <row r="259">
          <cell r="AC259">
            <v>0</v>
          </cell>
        </row>
        <row r="260">
          <cell r="AC260">
            <v>1708.63</v>
          </cell>
        </row>
        <row r="261">
          <cell r="AC261">
            <v>22552.81</v>
          </cell>
        </row>
        <row r="262">
          <cell r="I262" t="str">
            <v>Contractor</v>
          </cell>
          <cell r="J262" t="str">
            <v>Unsafe Cond</v>
          </cell>
          <cell r="AC262">
            <v>2524827.98</v>
          </cell>
        </row>
        <row r="263">
          <cell r="AC263">
            <v>6054.57</v>
          </cell>
        </row>
        <row r="264">
          <cell r="I264" t="str">
            <v>Company</v>
          </cell>
          <cell r="J264" t="str">
            <v>New</v>
          </cell>
          <cell r="AC264">
            <v>6888.05</v>
          </cell>
        </row>
        <row r="265">
          <cell r="AC265">
            <v>0</v>
          </cell>
        </row>
        <row r="266">
          <cell r="AC266">
            <v>0</v>
          </cell>
        </row>
        <row r="267">
          <cell r="AC267">
            <v>0</v>
          </cell>
        </row>
        <row r="268">
          <cell r="AC268">
            <v>0</v>
          </cell>
        </row>
        <row r="269">
          <cell r="I269" t="str">
            <v>Contractor</v>
          </cell>
          <cell r="J269" t="str">
            <v>Unsafe Cond</v>
          </cell>
          <cell r="AC269">
            <v>4644738.17</v>
          </cell>
        </row>
        <row r="270">
          <cell r="AC270">
            <v>4275.0600000000004</v>
          </cell>
        </row>
        <row r="271">
          <cell r="AC271">
            <v>0</v>
          </cell>
        </row>
        <row r="272">
          <cell r="I272" t="str">
            <v>Company</v>
          </cell>
          <cell r="J272" t="str">
            <v>New</v>
          </cell>
          <cell r="AC272">
            <v>25962.45</v>
          </cell>
        </row>
        <row r="273">
          <cell r="AC273">
            <v>395727.69</v>
          </cell>
        </row>
        <row r="274">
          <cell r="AC274">
            <v>0</v>
          </cell>
        </row>
        <row r="275">
          <cell r="AC275">
            <v>0</v>
          </cell>
        </row>
        <row r="276">
          <cell r="I276" t="str">
            <v>Contractor</v>
          </cell>
          <cell r="J276" t="str">
            <v>Unsafe Cond</v>
          </cell>
          <cell r="AC276">
            <v>2411445.2999999998</v>
          </cell>
        </row>
        <row r="277">
          <cell r="AC277">
            <v>0</v>
          </cell>
        </row>
        <row r="278">
          <cell r="I278" t="str">
            <v>Company</v>
          </cell>
          <cell r="J278" t="str">
            <v>Aged</v>
          </cell>
          <cell r="AC278">
            <v>61045.06</v>
          </cell>
        </row>
        <row r="279">
          <cell r="AC279">
            <v>0</v>
          </cell>
        </row>
        <row r="282">
          <cell r="I282" t="str">
            <v>Company</v>
          </cell>
          <cell r="J282" t="str">
            <v>New</v>
          </cell>
          <cell r="AC282">
            <v>578069.62</v>
          </cell>
        </row>
        <row r="284">
          <cell r="AC284">
            <v>0</v>
          </cell>
        </row>
        <row r="285">
          <cell r="I285" t="str">
            <v>Company</v>
          </cell>
          <cell r="J285" t="str">
            <v>New</v>
          </cell>
          <cell r="AC285">
            <v>1568773.44</v>
          </cell>
        </row>
        <row r="286">
          <cell r="AC286">
            <v>28124.53</v>
          </cell>
        </row>
        <row r="287">
          <cell r="AC287" t="str">
            <v>TBA</v>
          </cell>
        </row>
        <row r="288">
          <cell r="I288" t="str">
            <v>Company</v>
          </cell>
          <cell r="J288" t="str">
            <v>Aged</v>
          </cell>
          <cell r="AC288">
            <v>68765.087666803098</v>
          </cell>
        </row>
        <row r="289">
          <cell r="AC289">
            <v>0</v>
          </cell>
        </row>
        <row r="290">
          <cell r="AC290">
            <v>0</v>
          </cell>
        </row>
        <row r="291">
          <cell r="I291" t="str">
            <v>Contractor</v>
          </cell>
          <cell r="AC291">
            <v>0</v>
          </cell>
        </row>
        <row r="292">
          <cell r="I292" t="str">
            <v>Company</v>
          </cell>
          <cell r="J292" t="str">
            <v>Sch 6.3 - New</v>
          </cell>
          <cell r="AC292">
            <v>3690121.52</v>
          </cell>
        </row>
        <row r="293">
          <cell r="AC293">
            <v>0</v>
          </cell>
        </row>
        <row r="294">
          <cell r="AC294">
            <v>0</v>
          </cell>
        </row>
        <row r="295">
          <cell r="AC295">
            <v>0</v>
          </cell>
        </row>
        <row r="296">
          <cell r="AC296">
            <v>0</v>
          </cell>
        </row>
        <row r="297">
          <cell r="AC297">
            <v>7851.41</v>
          </cell>
        </row>
        <row r="298">
          <cell r="I298" t="str">
            <v>Company</v>
          </cell>
          <cell r="J298" t="str">
            <v>Covid-19</v>
          </cell>
          <cell r="AC298">
            <v>1688492.81</v>
          </cell>
        </row>
        <row r="300">
          <cell r="AC300">
            <v>404993.2</v>
          </cell>
        </row>
        <row r="301">
          <cell r="AC301">
            <v>88046.35</v>
          </cell>
        </row>
        <row r="304">
          <cell r="AC304">
            <v>3573.05</v>
          </cell>
        </row>
        <row r="309">
          <cell r="AC309">
            <v>0</v>
          </cell>
        </row>
        <row r="317">
          <cell r="AC317">
            <v>0</v>
          </cell>
        </row>
        <row r="318">
          <cell r="AC318">
            <v>-0.30999999999767169</v>
          </cell>
        </row>
        <row r="322">
          <cell r="AC322">
            <v>0</v>
          </cell>
        </row>
        <row r="323">
          <cell r="AC323">
            <v>0</v>
          </cell>
        </row>
        <row r="324">
          <cell r="AC324">
            <v>0.44999999995343387</v>
          </cell>
        </row>
        <row r="325">
          <cell r="AC325">
            <v>0.27999999999883585</v>
          </cell>
        </row>
        <row r="326">
          <cell r="AC326">
            <v>-0.30999999999767169</v>
          </cell>
        </row>
        <row r="327">
          <cell r="AC327">
            <v>0</v>
          </cell>
        </row>
        <row r="328">
          <cell r="AC328">
            <v>0</v>
          </cell>
        </row>
        <row r="329">
          <cell r="AC329">
            <v>0</v>
          </cell>
        </row>
        <row r="330">
          <cell r="AC330">
            <v>0</v>
          </cell>
        </row>
        <row r="331">
          <cell r="AC331">
            <v>0</v>
          </cell>
        </row>
        <row r="332">
          <cell r="AC332">
            <v>0</v>
          </cell>
        </row>
        <row r="333">
          <cell r="AC333">
            <v>0</v>
          </cell>
        </row>
        <row r="334">
          <cell r="AC334">
            <v>0</v>
          </cell>
        </row>
        <row r="335">
          <cell r="AC335">
            <v>0</v>
          </cell>
        </row>
        <row r="336">
          <cell r="AC336">
            <v>0</v>
          </cell>
        </row>
      </sheetData>
      <sheetData sheetId="5"/>
      <sheetData sheetId="6"/>
      <sheetData sheetId="7"/>
      <sheetData sheetId="8"/>
      <sheetData sheetId="9">
        <row r="2">
          <cell r="B2" t="str">
            <v>Identified Not Submitted</v>
          </cell>
          <cell r="C2" t="str">
            <v>Company Variation Direction</v>
          </cell>
          <cell r="D2" t="str">
            <v>Identified Not Submitted</v>
          </cell>
          <cell r="E2" t="str">
            <v>Force Majure Event</v>
          </cell>
        </row>
        <row r="3">
          <cell r="B3" t="str">
            <v>Submitted Pending Approval</v>
          </cell>
          <cell r="C3" t="str">
            <v>Variation (Other than a Company Variation Direction)</v>
          </cell>
          <cell r="D3" t="str">
            <v>With Company for Review</v>
          </cell>
          <cell r="E3" t="str">
            <v>Breach by the Company</v>
          </cell>
        </row>
        <row r="4">
          <cell r="B4" t="str">
            <v>Submitted - Variation Proposal (Company Direction TBC)</v>
          </cell>
          <cell r="C4" t="str">
            <v>Company Site Instruction</v>
          </cell>
          <cell r="D4" t="str">
            <v>Submitted Pending Approval</v>
          </cell>
          <cell r="E4" t="str">
            <v>Failure to grant Site access by Access Date</v>
          </cell>
        </row>
        <row r="5">
          <cell r="B5" t="str">
            <v>Dayworks - With Estmated Cost</v>
          </cell>
          <cell r="C5" t="str">
            <v>Contractor Proposed Variation</v>
          </cell>
          <cell r="D5" t="str">
            <v>Cost &amp; Time Approved</v>
          </cell>
          <cell r="E5" t="str">
            <v>Company Direction relating to an Unsafe Act (where Contractor proves it did not cause or contribute to)</v>
          </cell>
        </row>
        <row r="6">
          <cell r="B6" t="str">
            <v>No Action / Withdrawn</v>
          </cell>
          <cell r="C6" t="str">
            <v>Contract Adjustment (SOR Qty Change)</v>
          </cell>
          <cell r="D6" t="str">
            <v>Cost &amp; Time Rejected</v>
          </cell>
          <cell r="E6" t="str">
            <v>Latent Condition</v>
          </cell>
        </row>
        <row r="7">
          <cell r="B7" t="str">
            <v>Closed - Superseded</v>
          </cell>
          <cell r="D7" t="str">
            <v>Cost Approved, Time Rejected</v>
          </cell>
          <cell r="E7" t="str">
            <v>Suspension (Other than for Contractor breach)</v>
          </cell>
        </row>
        <row r="8">
          <cell r="B8" t="str">
            <v>Partially Approved</v>
          </cell>
          <cell r="D8" t="str">
            <v>Time Approved, Cost Rejected</v>
          </cell>
          <cell r="E8" t="str">
            <v>Variation Direction</v>
          </cell>
        </row>
        <row r="9">
          <cell r="B9" t="str">
            <v>Approved</v>
          </cell>
          <cell r="D9" t="str">
            <v>Cost Approved</v>
          </cell>
          <cell r="E9" t="str">
            <v>Unidentified Cultural heritage or atrefacts</v>
          </cell>
        </row>
        <row r="10">
          <cell r="B10" t="str">
            <v>Not agreed by Company</v>
          </cell>
          <cell r="D10" t="str">
            <v>Time Approved</v>
          </cell>
          <cell r="E10" t="str">
            <v>Contaminated Fiborous Material</v>
          </cell>
        </row>
        <row r="11">
          <cell r="B11" t="str">
            <v>Not agreed by Company - Pending Contractor's further details</v>
          </cell>
          <cell r="D11" t="str">
            <v>Delay Mitigated - closed</v>
          </cell>
          <cell r="E11" t="str">
            <v>Suspesion by Contractor due to Security of Payment Act</v>
          </cell>
        </row>
        <row r="12">
          <cell r="B12" t="str">
            <v>Escalate</v>
          </cell>
          <cell r="D12" t="str">
            <v>Closed - Superseded</v>
          </cell>
        </row>
        <row r="13">
          <cell r="D13" t="str">
            <v>Withdrawn</v>
          </cell>
        </row>
      </sheetData>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any VO Report"/>
      <sheetName val="Company Delay &amp; EOT"/>
    </sheetNames>
    <sheetDataSet>
      <sheetData sheetId="0">
        <row r="5">
          <cell r="O5" t="str">
            <v>Approved</v>
          </cell>
        </row>
      </sheetData>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 Summary"/>
      <sheetName val="VO Priority Summary"/>
      <sheetName val="Variation Register"/>
      <sheetName val="Delay"/>
      <sheetName val="Acceleration Direction"/>
      <sheetName val="Company VO Report"/>
      <sheetName val="Company Delay &amp; EOT"/>
      <sheetName val="Drop Downs"/>
      <sheetName val="Sheet2"/>
      <sheetName val="Legacy Claims 13-04-19"/>
    </sheetNames>
    <sheetDataSet>
      <sheetData sheetId="0"/>
      <sheetData sheetId="1"/>
      <sheetData sheetId="2"/>
      <sheetData sheetId="3"/>
      <sheetData sheetId="4"/>
      <sheetData sheetId="5"/>
      <sheetData sheetId="6"/>
      <sheetData sheetId="7">
        <row r="4">
          <cell r="C4" t="str">
            <v>Company Site Instruction</v>
          </cell>
        </row>
      </sheetData>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 Status - Summary"/>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op Downs"/>
      <sheetName val="VO Summary"/>
      <sheetName val="VO Priority Summary"/>
      <sheetName val="Variation Register"/>
      <sheetName val="Delay"/>
      <sheetName val="Acceleration Direction"/>
      <sheetName val="Company VO Report"/>
      <sheetName val="Company Delay &amp; EOT"/>
      <sheetName val="Sheet2"/>
      <sheetName val="Legacy Claims 13-04-19"/>
    </sheetNames>
    <sheetDataSet>
      <sheetData sheetId="0">
        <row r="4">
          <cell r="C4" t="str">
            <v>Company Site Instruction</v>
          </cell>
        </row>
      </sheetData>
      <sheetData sheetId="1"/>
      <sheetData sheetId="2"/>
      <sheetData sheetId="3"/>
      <sheetData sheetId="4"/>
      <sheetData sheetId="5"/>
      <sheetData sheetId="6"/>
      <sheetData sheetId="7"/>
      <sheetData sheetId="8"/>
      <sheetData sheetId="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op Downs"/>
      <sheetName val="VO Summary"/>
      <sheetName val="Strategies - Commentary"/>
      <sheetName val="Variation Register"/>
      <sheetName val="Delay"/>
      <sheetName val="Acceleration Direction"/>
      <sheetName val="Company VO Report"/>
      <sheetName val="Company Delay &amp; EOT"/>
      <sheetName val="Sheet2"/>
      <sheetName val="Legacy Claims 13-04-19"/>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hyperlink" Target="mailto:nick.noonan@cpbcon.com.au" TargetMode="External"/><Relationship Id="rId2" Type="http://schemas.openxmlformats.org/officeDocument/2006/relationships/hyperlink" Target="mailto:nick.noonan@cpbcon.com.au;warped.demon.prince@hotmail.com" TargetMode="External"/><Relationship Id="rId1" Type="http://schemas.openxmlformats.org/officeDocument/2006/relationships/hyperlink" Target="mailto:nick.noonan@cpbcon.com.au;nelgara@outlook.com;warped.demon.prince@hotmail.com" TargetMode="External"/><Relationship Id="rId6" Type="http://schemas.openxmlformats.org/officeDocument/2006/relationships/hyperlink" Target="mailto:nick.noonan@cpbcon.com.au;warped.demon.prince@hotmail.com" TargetMode="External"/><Relationship Id="rId5" Type="http://schemas.openxmlformats.org/officeDocument/2006/relationships/hyperlink" Target="mailto:nick.noonan@cpbcon.com.au;warped.demon.prince@hotmail.com" TargetMode="External"/><Relationship Id="rId4" Type="http://schemas.openxmlformats.org/officeDocument/2006/relationships/hyperlink" Target="mailto:nick.noonan@cpbcon.com.au;warped.demon.prince@hotmail.com" TargetMode="External"/></Relationships>
</file>

<file path=xl/worksheets/_rels/sheet7.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6.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76"/>
  <sheetViews>
    <sheetView showGridLines="0" view="pageBreakPreview" zoomScale="85" zoomScaleNormal="85" zoomScaleSheetLayoutView="85" workbookViewId="0">
      <pane ySplit="7" topLeftCell="A8" activePane="bottomLeft" state="frozen"/>
      <selection pane="bottomLeft" activeCell="I2" sqref="I2"/>
    </sheetView>
  </sheetViews>
  <sheetFormatPr defaultColWidth="8.85546875" defaultRowHeight="14.25" outlineLevelRow="1" outlineLevelCol="1" x14ac:dyDescent="0.2"/>
  <cols>
    <col min="1" max="1" width="74.85546875" style="203" customWidth="1"/>
    <col min="2" max="2" width="16" style="203" bestFit="1" customWidth="1"/>
    <col min="3" max="3" width="12.28515625" style="203" customWidth="1"/>
    <col min="4" max="4" width="15.5703125" style="203" bestFit="1" customWidth="1"/>
    <col min="5" max="5" width="16" style="203" bestFit="1" customWidth="1"/>
    <col min="6" max="6" width="16.85546875" style="203" bestFit="1" customWidth="1"/>
    <col min="7" max="7" width="12.28515625" style="203" hidden="1" customWidth="1" outlineLevel="1"/>
    <col min="8" max="8" width="14.140625" style="203" customWidth="1" collapsed="1"/>
    <col min="9" max="9" width="14.42578125" style="204" customWidth="1"/>
    <col min="10" max="10" width="13.140625" style="204" hidden="1" customWidth="1" outlineLevel="1"/>
    <col min="11" max="11" width="2.140625" style="204" customWidth="1" collapsed="1"/>
    <col min="12" max="14" width="14.28515625" style="203" customWidth="1"/>
    <col min="15" max="15" width="8.85546875" style="203"/>
    <col min="16" max="16" width="8.85546875" style="205" customWidth="1"/>
    <col min="17" max="17" width="8.85546875" style="203" customWidth="1"/>
    <col min="18" max="18" width="29.28515625" style="203" customWidth="1"/>
    <col min="19" max="19" width="18.42578125" style="203" bestFit="1" customWidth="1"/>
    <col min="20" max="16384" width="8.85546875" style="203"/>
  </cols>
  <sheetData>
    <row r="1" spans="1:19" ht="38.450000000000003" customHeight="1" x14ac:dyDescent="0.4">
      <c r="A1" s="202" t="s">
        <v>57</v>
      </c>
      <c r="B1" s="202"/>
      <c r="E1" s="325"/>
      <c r="F1" s="357"/>
    </row>
    <row r="2" spans="1:19" ht="21" customHeight="1" x14ac:dyDescent="0.25">
      <c r="A2" s="206" t="s">
        <v>123</v>
      </c>
      <c r="B2" s="206"/>
    </row>
    <row r="3" spans="1:19" ht="21" customHeight="1" thickBot="1" x14ac:dyDescent="0.3">
      <c r="A3" s="679">
        <f ca="1">TODAY()</f>
        <v>45194</v>
      </c>
      <c r="B3" s="679"/>
    </row>
    <row r="4" spans="1:19" ht="18" customHeight="1" thickBot="1" x14ac:dyDescent="0.25">
      <c r="A4" s="207"/>
      <c r="B4" s="208"/>
      <c r="C4" s="683" t="s">
        <v>26</v>
      </c>
      <c r="D4" s="684"/>
      <c r="E4" s="684"/>
      <c r="F4" s="685"/>
      <c r="G4" s="209"/>
      <c r="H4" s="209"/>
      <c r="I4" s="210"/>
      <c r="J4" s="210"/>
      <c r="K4" s="210"/>
      <c r="L4" s="680" t="s">
        <v>36</v>
      </c>
      <c r="M4" s="681"/>
      <c r="N4" s="682"/>
    </row>
    <row r="5" spans="1:19" ht="18" customHeight="1" x14ac:dyDescent="0.2">
      <c r="A5" s="690" t="s">
        <v>37</v>
      </c>
      <c r="B5" s="686" t="s">
        <v>38</v>
      </c>
      <c r="C5" s="211" t="s">
        <v>1269</v>
      </c>
      <c r="D5" s="212" t="s">
        <v>1270</v>
      </c>
      <c r="E5" s="212" t="s">
        <v>1268</v>
      </c>
      <c r="F5" s="688" t="s">
        <v>1263</v>
      </c>
      <c r="G5" s="692" t="s">
        <v>39</v>
      </c>
      <c r="H5" s="694" t="s">
        <v>40</v>
      </c>
      <c r="I5" s="213" t="s">
        <v>1273</v>
      </c>
      <c r="J5" s="214"/>
      <c r="K5" s="215"/>
      <c r="L5" s="694" t="s">
        <v>41</v>
      </c>
      <c r="M5" s="696" t="s">
        <v>42</v>
      </c>
      <c r="N5" s="698" t="s">
        <v>43</v>
      </c>
    </row>
    <row r="6" spans="1:19" ht="40.5" customHeight="1" thickBot="1" x14ac:dyDescent="0.3">
      <c r="A6" s="691"/>
      <c r="B6" s="687"/>
      <c r="C6" s="216" t="s">
        <v>1259</v>
      </c>
      <c r="D6" s="217" t="s">
        <v>26</v>
      </c>
      <c r="E6" s="217" t="s">
        <v>1000</v>
      </c>
      <c r="F6" s="689"/>
      <c r="G6" s="693"/>
      <c r="H6" s="695"/>
      <c r="I6" s="218" t="s">
        <v>1274</v>
      </c>
      <c r="J6" s="219"/>
      <c r="K6" s="215"/>
      <c r="L6" s="695"/>
      <c r="M6" s="697"/>
      <c r="N6" s="699"/>
      <c r="P6" s="220"/>
      <c r="Q6" s="220"/>
    </row>
    <row r="7" spans="1:19" ht="15" x14ac:dyDescent="0.25">
      <c r="A7" s="221"/>
      <c r="B7" s="222" t="s">
        <v>44</v>
      </c>
      <c r="C7" s="223" t="s">
        <v>1267</v>
      </c>
      <c r="D7" s="224" t="s">
        <v>1266</v>
      </c>
      <c r="E7" s="224" t="s">
        <v>1265</v>
      </c>
      <c r="F7" s="225" t="s">
        <v>45</v>
      </c>
      <c r="G7" s="226" t="s">
        <v>46</v>
      </c>
      <c r="H7" s="227" t="s">
        <v>47</v>
      </c>
      <c r="I7" s="228"/>
      <c r="J7" s="229"/>
      <c r="K7" s="229"/>
      <c r="L7" s="230">
        <v>43922</v>
      </c>
      <c r="M7" s="230">
        <v>43891</v>
      </c>
      <c r="N7" s="231">
        <f>L7-M7</f>
        <v>31</v>
      </c>
      <c r="P7" s="220"/>
      <c r="Q7" s="220"/>
    </row>
    <row r="8" spans="1:19" ht="15" x14ac:dyDescent="0.25">
      <c r="A8" s="232" t="s">
        <v>58</v>
      </c>
      <c r="B8" s="233"/>
      <c r="C8" s="234"/>
      <c r="D8" s="235"/>
      <c r="E8" s="235"/>
      <c r="F8" s="236"/>
      <c r="G8" s="237"/>
      <c r="H8" s="238"/>
      <c r="I8" s="238"/>
      <c r="J8" s="238"/>
      <c r="K8" s="229"/>
      <c r="L8" s="239"/>
      <c r="M8" s="240"/>
      <c r="N8" s="241"/>
      <c r="P8" s="220"/>
      <c r="Q8" s="220"/>
    </row>
    <row r="9" spans="1:19" ht="15" x14ac:dyDescent="0.25">
      <c r="A9" s="232" t="s">
        <v>9</v>
      </c>
      <c r="B9" s="242"/>
      <c r="C9" s="243"/>
      <c r="D9" s="244"/>
      <c r="E9" s="244"/>
      <c r="F9" s="245"/>
      <c r="G9" s="246"/>
      <c r="H9" s="247"/>
      <c r="I9" s="247"/>
      <c r="J9" s="247"/>
      <c r="K9" s="248"/>
      <c r="L9" s="242"/>
      <c r="M9" s="249"/>
      <c r="N9" s="250"/>
      <c r="P9" s="220"/>
      <c r="Q9" s="220"/>
    </row>
    <row r="10" spans="1:19" ht="15" x14ac:dyDescent="0.25">
      <c r="A10" s="251" t="s">
        <v>1000</v>
      </c>
      <c r="B10" s="242">
        <f>+SUMIF('Variation Register'!$T$8:$T$362,'VO Summary - Internal Report'!A10,'Variation Register'!$AF$8:$AF$362)</f>
        <v>1043591.6800000001</v>
      </c>
      <c r="C10" s="252"/>
      <c r="D10" s="253"/>
      <c r="E10" s="244">
        <f>+SUMIFS('Variation Register'!$AK$8:$AK$362,'Variation Register'!$S$8:$S$362,'VO Summary - Internal Report'!$D$6,'Variation Register'!$T$8:$T$362,'VO Summary - Internal Report'!A10)</f>
        <v>1043591.6800000001</v>
      </c>
      <c r="F10" s="245">
        <f>+SUM(E10)</f>
        <v>1043591.6800000001</v>
      </c>
      <c r="G10" s="246"/>
      <c r="H10" s="247">
        <f t="shared" ref="H10:H15" si="0">+B10-F10</f>
        <v>0</v>
      </c>
      <c r="I10" s="247">
        <f>+SUMIF('Variation Register'!$T$8:$T$362,'VO Summary - Internal Report'!A10,'Variation Register'!$AO$8:$AO$362)</f>
        <v>0</v>
      </c>
      <c r="J10" s="247">
        <f>+H10-I10</f>
        <v>0</v>
      </c>
      <c r="K10" s="248"/>
      <c r="L10" s="254" t="e">
        <f>COUNTIFS('Variation Register'!#REF!,'VO Summary - Internal Report'!$A$9,'Variation Register'!#REF!,'VO Summary - Internal Report'!A10)</f>
        <v>#REF!</v>
      </c>
      <c r="M10" s="255">
        <v>0</v>
      </c>
      <c r="N10" s="256" t="e">
        <f>L10-M10</f>
        <v>#REF!</v>
      </c>
      <c r="P10" s="220"/>
      <c r="Q10" s="220"/>
    </row>
    <row r="11" spans="1:19" ht="15" x14ac:dyDescent="0.25">
      <c r="A11" s="251" t="s">
        <v>1262</v>
      </c>
      <c r="B11" s="242">
        <f>+SUMIF('Variation Register'!$T$8:$T$362,'VO Summary - Internal Report'!A11,'Variation Register'!$AF$8:$AF$362)</f>
        <v>14043282.811829001</v>
      </c>
      <c r="C11" s="243">
        <f>+SUMIFS('Variation Register'!$AK$8:$AK$362,'Variation Register'!$S$8:$S$362,'VO Summary - Internal Report'!$D$6,'Variation Register'!$T$8:$T$362,'VO Summary - Internal Report'!A11)</f>
        <v>18025879.221829005</v>
      </c>
      <c r="D11" s="253"/>
      <c r="E11" s="253"/>
      <c r="F11" s="245">
        <f>+SUM(C11)</f>
        <v>18025879.221829005</v>
      </c>
      <c r="G11" s="246"/>
      <c r="H11" s="247">
        <f>+B11-F11</f>
        <v>-3982596.4100000039</v>
      </c>
      <c r="I11" s="247">
        <f>+SUMIF('Variation Register'!$T$8:$T$362,'VO Summary - Internal Report'!A11,'Variation Register'!$AO$8:$AO$362)</f>
        <v>450000.48</v>
      </c>
      <c r="J11" s="247">
        <f t="shared" ref="J11:J15" si="1">+H11-I11</f>
        <v>-4432596.8900000043</v>
      </c>
      <c r="K11" s="248"/>
      <c r="L11" s="254">
        <f>+COUNTIF('Variation Register'!$T$8:$T$362,A11)</f>
        <v>57</v>
      </c>
      <c r="M11" s="255">
        <v>36</v>
      </c>
      <c r="N11" s="256">
        <f>L11-M11</f>
        <v>21</v>
      </c>
      <c r="P11" s="220"/>
      <c r="Q11" s="220"/>
    </row>
    <row r="12" spans="1:19" ht="15" x14ac:dyDescent="0.25">
      <c r="A12" s="251" t="s">
        <v>84</v>
      </c>
      <c r="B12" s="242">
        <f>+SUMIF('Variation Register'!$T$8:$T$362,'VO Summary - Internal Report'!A12,'Variation Register'!$AF$8:$AF$362)</f>
        <v>0</v>
      </c>
      <c r="C12" s="252"/>
      <c r="D12" s="244">
        <f>+SUMIFS('Variation Register'!$AK$8:$AK$362,'Variation Register'!$S$8:$S$362,'VO Summary - Internal Report'!$D$6,'Variation Register'!$T$8:$T$362,'VO Summary - Internal Report'!A12)</f>
        <v>0</v>
      </c>
      <c r="E12" s="253"/>
      <c r="F12" s="245">
        <f>+SUM(D12:D12)</f>
        <v>0</v>
      </c>
      <c r="G12" s="246"/>
      <c r="H12" s="247">
        <f t="shared" si="0"/>
        <v>0</v>
      </c>
      <c r="I12" s="247">
        <f>+SUMIF('Variation Register'!$T$8:$T$362,'VO Summary - Internal Report'!A12,'Variation Register'!$AO$8:$AO$362)</f>
        <v>0</v>
      </c>
      <c r="J12" s="247">
        <f t="shared" si="1"/>
        <v>0</v>
      </c>
      <c r="K12" s="248"/>
      <c r="L12" s="254">
        <f>+COUNTIF('Variation Register'!$T$8:$T$362,A12)</f>
        <v>1</v>
      </c>
      <c r="M12" s="255">
        <v>1</v>
      </c>
      <c r="N12" s="256">
        <f t="shared" ref="N12:N15" si="2">L12-M12</f>
        <v>0</v>
      </c>
      <c r="P12" s="220"/>
      <c r="Q12" s="220"/>
      <c r="S12" s="257"/>
    </row>
    <row r="13" spans="1:19" ht="15" x14ac:dyDescent="0.25">
      <c r="A13" s="251" t="s">
        <v>85</v>
      </c>
      <c r="B13" s="242">
        <f>+SUMIF('Variation Register'!$T$8:$T$362,'VO Summary - Internal Report'!A13,'Variation Register'!$AF$8:$AF$362)</f>
        <v>38391986.01601401</v>
      </c>
      <c r="C13" s="252"/>
      <c r="D13" s="244">
        <f>+SUMIFS('Variation Register'!$AK$8:$AK$362,'Variation Register'!$S$8:$S$362,'VO Summary - Internal Report'!$D$6,'Variation Register'!$T$8:$T$362,'VO Summary - Internal Report'!A13)</f>
        <v>11385539.842666803</v>
      </c>
      <c r="E13" s="253"/>
      <c r="F13" s="245">
        <f>+SUM(D13:D13)</f>
        <v>11385539.842666803</v>
      </c>
      <c r="G13" s="246"/>
      <c r="H13" s="247">
        <f t="shared" si="0"/>
        <v>27006446.173347205</v>
      </c>
      <c r="I13" s="247">
        <f>+SUMIF('Variation Register'!$T$8:$T$362,'VO Summary - Internal Report'!A13,'Variation Register'!$AO$8:$AO$362)</f>
        <v>10605136.6</v>
      </c>
      <c r="J13" s="247">
        <f t="shared" si="1"/>
        <v>16401309.573347205</v>
      </c>
      <c r="K13" s="248"/>
      <c r="L13" s="254">
        <f>+COUNTIF('Variation Register'!$T$8:$T$362,A13)</f>
        <v>225</v>
      </c>
      <c r="M13" s="255">
        <v>226</v>
      </c>
      <c r="N13" s="256">
        <f t="shared" si="2"/>
        <v>-1</v>
      </c>
      <c r="P13" s="220"/>
      <c r="Q13" s="220"/>
      <c r="S13" s="257"/>
    </row>
    <row r="14" spans="1:19" ht="15" x14ac:dyDescent="0.25">
      <c r="A14" s="251" t="str">
        <f>+'[3]Drop Downs'!C4</f>
        <v>Company Site Instruction</v>
      </c>
      <c r="B14" s="242">
        <f>+SUMIF('Variation Register'!$T$8:$T$362,'VO Summary - Internal Report'!A14,'Variation Register'!$AF$8:$AF$362)</f>
        <v>1325320.9300000002</v>
      </c>
      <c r="C14" s="252"/>
      <c r="D14" s="244">
        <f>+SUMIFS('Variation Register'!$AK$8:$AK$362,'Variation Register'!$S$8:$S$362,'VO Summary - Internal Report'!$D$6,'Variation Register'!$T$8:$T$362,'VO Summary - Internal Report'!A14)</f>
        <v>1240688.5</v>
      </c>
      <c r="E14" s="253"/>
      <c r="F14" s="245">
        <f>+SUM(D14:D14)</f>
        <v>1240688.5</v>
      </c>
      <c r="G14" s="246"/>
      <c r="H14" s="247">
        <f t="shared" si="0"/>
        <v>84632.430000000168</v>
      </c>
      <c r="I14" s="247">
        <f>+SUMIF('Variation Register'!$T$8:$T$362,'VO Summary - Internal Report'!A14,'Variation Register'!$AO$8:$AO$362)</f>
        <v>5000</v>
      </c>
      <c r="J14" s="247">
        <f t="shared" si="1"/>
        <v>79632.430000000168</v>
      </c>
      <c r="K14" s="248"/>
      <c r="L14" s="254">
        <f>+COUNTIF('Variation Register'!$T$8:$T$362,A14)</f>
        <v>35</v>
      </c>
      <c r="M14" s="255">
        <v>38</v>
      </c>
      <c r="N14" s="256">
        <f t="shared" si="2"/>
        <v>-3</v>
      </c>
      <c r="P14" s="220"/>
      <c r="Q14" s="220"/>
      <c r="S14" s="257"/>
    </row>
    <row r="15" spans="1:19" ht="15.75" thickBot="1" x14ac:dyDescent="0.3">
      <c r="A15" s="251" t="s">
        <v>27</v>
      </c>
      <c r="B15" s="242">
        <f>+SUMIF('Variation Register'!$T$8:$T$362,'VO Summary - Internal Report'!A15,'Variation Register'!$AF$8:$AF$362)</f>
        <v>0</v>
      </c>
      <c r="C15" s="252"/>
      <c r="D15" s="244">
        <f>+SUMIFS('Variation Register'!$AK$8:$AK$362,'Variation Register'!$S$8:$S$362,'VO Summary - Internal Report'!$D$6,'Variation Register'!$T$8:$T$362,'VO Summary - Internal Report'!A15)</f>
        <v>0</v>
      </c>
      <c r="E15" s="253"/>
      <c r="F15" s="245">
        <f>+SUM(D15:D15)</f>
        <v>0</v>
      </c>
      <c r="G15" s="246"/>
      <c r="H15" s="247">
        <f t="shared" si="0"/>
        <v>0</v>
      </c>
      <c r="I15" s="247">
        <f>+SUMIF('Variation Register'!$T$8:$T$362,'VO Summary - Internal Report'!A15,'Variation Register'!$AO$8:$AO$362)</f>
        <v>0</v>
      </c>
      <c r="J15" s="247">
        <f t="shared" si="1"/>
        <v>0</v>
      </c>
      <c r="K15" s="248"/>
      <c r="L15" s="254">
        <f>+COUNTIF('Variation Register'!$T$8:$T$362,A15)</f>
        <v>0</v>
      </c>
      <c r="M15" s="255">
        <v>0</v>
      </c>
      <c r="N15" s="256">
        <f t="shared" si="2"/>
        <v>0</v>
      </c>
      <c r="P15" s="220"/>
      <c r="Q15" s="220"/>
      <c r="S15" s="257"/>
    </row>
    <row r="16" spans="1:19" s="204" customFormat="1" ht="26.25" customHeight="1" thickTop="1" thickBot="1" x14ac:dyDescent="0.25">
      <c r="A16" s="258" t="s">
        <v>60</v>
      </c>
      <c r="B16" s="259">
        <f>+SUM(B10:B15)</f>
        <v>54804181.43784301</v>
      </c>
      <c r="C16" s="260">
        <f>+SUM(C10:C15)</f>
        <v>18025879.221829005</v>
      </c>
      <c r="D16" s="261">
        <f t="shared" ref="D16:N16" si="3">+SUM(D10:D15)</f>
        <v>12626228.342666803</v>
      </c>
      <c r="E16" s="261">
        <f>+SUM(E10:E15)</f>
        <v>1043591.6800000001</v>
      </c>
      <c r="F16" s="262">
        <f>+SUM(F10:F15)</f>
        <v>31695699.244495809</v>
      </c>
      <c r="G16" s="263">
        <f t="shared" si="3"/>
        <v>0</v>
      </c>
      <c r="H16" s="263">
        <f>+SUM(H10:H15)</f>
        <v>23108482.193347201</v>
      </c>
      <c r="I16" s="263">
        <f>+SUM(I10:I15)</f>
        <v>11060137.08</v>
      </c>
      <c r="J16" s="264">
        <f>+SUM(J10:J15)</f>
        <v>12048345.113347201</v>
      </c>
      <c r="K16" s="265"/>
      <c r="L16" s="266" t="e">
        <f t="shared" si="3"/>
        <v>#REF!</v>
      </c>
      <c r="M16" s="267">
        <f t="shared" si="3"/>
        <v>301</v>
      </c>
      <c r="N16" s="268" t="e">
        <f t="shared" si="3"/>
        <v>#REF!</v>
      </c>
      <c r="O16" s="269"/>
      <c r="P16" s="270"/>
    </row>
    <row r="17" spans="1:17" ht="15.75" thickTop="1" x14ac:dyDescent="0.2">
      <c r="A17" s="221"/>
      <c r="B17" s="242"/>
      <c r="C17" s="252"/>
      <c r="D17" s="244"/>
      <c r="E17" s="253"/>
      <c r="F17" s="245"/>
      <c r="G17" s="246"/>
      <c r="H17" s="247"/>
      <c r="I17" s="247"/>
      <c r="J17" s="247"/>
      <c r="K17" s="248"/>
      <c r="L17" s="254"/>
      <c r="M17" s="255"/>
      <c r="N17" s="271"/>
    </row>
    <row r="18" spans="1:17" ht="15" x14ac:dyDescent="0.2">
      <c r="A18" s="232" t="s">
        <v>59</v>
      </c>
      <c r="B18" s="242"/>
      <c r="C18" s="252"/>
      <c r="D18" s="244"/>
      <c r="E18" s="253"/>
      <c r="F18" s="245"/>
      <c r="G18" s="246"/>
      <c r="H18" s="247"/>
      <c r="I18" s="247"/>
      <c r="J18" s="247"/>
      <c r="K18" s="248"/>
      <c r="L18" s="254"/>
      <c r="M18" s="255"/>
      <c r="N18" s="271"/>
    </row>
    <row r="19" spans="1:17" ht="15" x14ac:dyDescent="0.2">
      <c r="A19" s="221" t="s">
        <v>1115</v>
      </c>
      <c r="B19" s="242"/>
      <c r="C19" s="252"/>
      <c r="D19" s="244"/>
      <c r="E19" s="253"/>
      <c r="F19" s="245"/>
      <c r="G19" s="246"/>
      <c r="H19" s="247">
        <f>+B19-F19</f>
        <v>0</v>
      </c>
      <c r="I19" s="247"/>
      <c r="J19" s="247">
        <f>+H19-I19</f>
        <v>0</v>
      </c>
      <c r="K19" s="248"/>
      <c r="L19" s="254">
        <f>+COUNTIF(Delay!$AM$6:$AM$39,Delay!#REF!)+COUNTIF(Delay!$AM$6:$AM$39,Delay!#REF!)+COUNTIF(Delay!$AM$6:$AM$39,$A$26)</f>
        <v>1</v>
      </c>
      <c r="M19" s="255">
        <v>53</v>
      </c>
      <c r="N19" s="271">
        <f t="shared" ref="N19:N27" si="4">L19-M19</f>
        <v>-52</v>
      </c>
    </row>
    <row r="20" spans="1:17" ht="15" x14ac:dyDescent="0.2">
      <c r="A20" s="221" t="s">
        <v>1264</v>
      </c>
      <c r="B20" s="242">
        <f>SUM(Delay!$AK$6:$AK$39)</f>
        <v>25990196.309999999</v>
      </c>
      <c r="C20" s="252"/>
      <c r="D20" s="244">
        <f>+SUMIF(Delay!$AM$6:$AM$39,'VO Summary - Internal Report'!A22,Delay!$AT$6:$AT$39)</f>
        <v>0</v>
      </c>
      <c r="E20" s="253"/>
      <c r="F20" s="245">
        <f>+SUM(D20:D20)</f>
        <v>0</v>
      </c>
      <c r="G20" s="246">
        <v>1611000</v>
      </c>
      <c r="H20" s="247">
        <f>+B20-F20</f>
        <v>25990196.309999999</v>
      </c>
      <c r="I20" s="247">
        <f>+'Variation Register'!AO3</f>
        <v>11543112.300000004</v>
      </c>
      <c r="J20" s="247">
        <f t="shared" ref="J20:J27" si="5">+H20-I20</f>
        <v>14447084.009999994</v>
      </c>
      <c r="K20" s="248"/>
      <c r="L20" s="254"/>
      <c r="M20" s="255"/>
      <c r="N20" s="271"/>
    </row>
    <row r="21" spans="1:17" ht="15" x14ac:dyDescent="0.2">
      <c r="A21" s="221" t="s">
        <v>10</v>
      </c>
      <c r="B21" s="242"/>
      <c r="C21" s="252"/>
      <c r="D21" s="244"/>
      <c r="E21" s="253"/>
      <c r="F21" s="245">
        <f t="shared" ref="F21:F27" si="6">+SUM(D21:D21)</f>
        <v>0</v>
      </c>
      <c r="G21" s="246"/>
      <c r="H21" s="247">
        <f>+B21-F21</f>
        <v>0</v>
      </c>
      <c r="I21" s="247"/>
      <c r="J21" s="247">
        <f t="shared" si="5"/>
        <v>0</v>
      </c>
      <c r="K21" s="248"/>
      <c r="L21" s="254">
        <f>COUNTIF(Delay!$AM$7:$AM$91,'VO Summary - Internal Report'!A21)</f>
        <v>0</v>
      </c>
      <c r="M21" s="255">
        <v>0</v>
      </c>
      <c r="N21" s="271">
        <f t="shared" si="4"/>
        <v>0</v>
      </c>
    </row>
    <row r="22" spans="1:17" ht="15" x14ac:dyDescent="0.2">
      <c r="A22" s="221" t="s">
        <v>13</v>
      </c>
      <c r="B22" s="242"/>
      <c r="C22" s="252"/>
      <c r="D22" s="244"/>
      <c r="E22" s="253"/>
      <c r="F22" s="245">
        <f t="shared" ref="F22" si="7">+SUM(D22:D22)</f>
        <v>0</v>
      </c>
      <c r="G22" s="246"/>
      <c r="H22" s="247">
        <v>0</v>
      </c>
      <c r="I22" s="247"/>
      <c r="J22" s="247">
        <f t="shared" si="5"/>
        <v>0</v>
      </c>
      <c r="K22" s="248"/>
      <c r="L22" s="254">
        <f>COUNTIF(Delay!$AM$7:$AM$91,'VO Summary - Internal Report'!A22)</f>
        <v>0</v>
      </c>
      <c r="M22" s="255">
        <v>4</v>
      </c>
      <c r="N22" s="271">
        <f t="shared" si="4"/>
        <v>-4</v>
      </c>
    </row>
    <row r="23" spans="1:17" ht="15" x14ac:dyDescent="0.2">
      <c r="A23" s="221" t="s">
        <v>11</v>
      </c>
      <c r="B23" s="242"/>
      <c r="C23" s="252"/>
      <c r="D23" s="244"/>
      <c r="E23" s="253"/>
      <c r="F23" s="245">
        <f t="shared" si="6"/>
        <v>0</v>
      </c>
      <c r="G23" s="246"/>
      <c r="H23" s="247">
        <f>+B23-F23</f>
        <v>0</v>
      </c>
      <c r="I23" s="247"/>
      <c r="J23" s="247">
        <f t="shared" si="5"/>
        <v>0</v>
      </c>
      <c r="K23" s="248"/>
      <c r="L23" s="254">
        <f>COUNTIF(Delay!$AM$7:$AM$91,'VO Summary - Internal Report'!A23)</f>
        <v>0</v>
      </c>
      <c r="M23" s="255">
        <v>0</v>
      </c>
      <c r="N23" s="271">
        <f t="shared" si="4"/>
        <v>0</v>
      </c>
    </row>
    <row r="24" spans="1:17" ht="15" x14ac:dyDescent="0.2">
      <c r="A24" s="221" t="s">
        <v>63</v>
      </c>
      <c r="B24" s="242"/>
      <c r="C24" s="252"/>
      <c r="D24" s="244"/>
      <c r="E24" s="253"/>
      <c r="F24" s="245">
        <f t="shared" si="6"/>
        <v>0</v>
      </c>
      <c r="G24" s="246"/>
      <c r="H24" s="247">
        <f>+B24-F24</f>
        <v>0</v>
      </c>
      <c r="I24" s="247"/>
      <c r="J24" s="247">
        <f t="shared" si="5"/>
        <v>0</v>
      </c>
      <c r="K24" s="248"/>
      <c r="L24" s="254">
        <f>COUNTIF(Delay!$AM$7:$AM$91,'VO Summary - Internal Report'!A24)</f>
        <v>1</v>
      </c>
      <c r="M24" s="255">
        <v>2</v>
      </c>
      <c r="N24" s="271">
        <f>L24-M24</f>
        <v>-1</v>
      </c>
    </row>
    <row r="25" spans="1:17" ht="15" x14ac:dyDescent="0.2">
      <c r="A25" s="221" t="s">
        <v>54</v>
      </c>
      <c r="B25" s="242"/>
      <c r="C25" s="252"/>
      <c r="D25" s="244"/>
      <c r="E25" s="253"/>
      <c r="F25" s="245">
        <f t="shared" si="6"/>
        <v>0</v>
      </c>
      <c r="G25" s="246"/>
      <c r="H25" s="247">
        <f>+B25-F25</f>
        <v>0</v>
      </c>
      <c r="I25" s="247"/>
      <c r="J25" s="247">
        <f t="shared" si="5"/>
        <v>0</v>
      </c>
      <c r="K25" s="248"/>
      <c r="L25" s="254">
        <f>COUNTIF(Delay!$AM$7:$AM$91,'VO Summary - Internal Report'!A25)</f>
        <v>0</v>
      </c>
      <c r="M25" s="255">
        <v>0</v>
      </c>
      <c r="N25" s="271">
        <f t="shared" si="4"/>
        <v>0</v>
      </c>
    </row>
    <row r="26" spans="1:17" ht="15" x14ac:dyDescent="0.2">
      <c r="A26" s="221" t="s">
        <v>175</v>
      </c>
      <c r="B26" s="242"/>
      <c r="C26" s="252"/>
      <c r="D26" s="244"/>
      <c r="E26" s="253"/>
      <c r="F26" s="245">
        <f t="shared" si="6"/>
        <v>0</v>
      </c>
      <c r="G26" s="246"/>
      <c r="H26" s="247">
        <f>+B26-F26</f>
        <v>0</v>
      </c>
      <c r="I26" s="247"/>
      <c r="J26" s="247">
        <f t="shared" si="5"/>
        <v>0</v>
      </c>
      <c r="K26" s="248"/>
      <c r="L26" s="254">
        <f>COUNTIF(Delay!$AM$7:$AM$91,'VO Summary - Internal Report'!A26)</f>
        <v>1</v>
      </c>
      <c r="M26" s="255">
        <v>1</v>
      </c>
      <c r="N26" s="271">
        <f t="shared" si="4"/>
        <v>0</v>
      </c>
    </row>
    <row r="27" spans="1:17" ht="15" x14ac:dyDescent="0.2">
      <c r="A27" s="221" t="s">
        <v>64</v>
      </c>
      <c r="B27" s="242"/>
      <c r="C27" s="252"/>
      <c r="D27" s="244"/>
      <c r="E27" s="253"/>
      <c r="F27" s="245">
        <f t="shared" si="6"/>
        <v>0</v>
      </c>
      <c r="G27" s="246"/>
      <c r="H27" s="247">
        <f>+B27-F27</f>
        <v>0</v>
      </c>
      <c r="I27" s="247"/>
      <c r="J27" s="247">
        <f t="shared" si="5"/>
        <v>0</v>
      </c>
      <c r="K27" s="248"/>
      <c r="L27" s="254">
        <f>COUNTIF(Delay!$AM$7:$AM$91,'VO Summary - Internal Report'!A27)</f>
        <v>1</v>
      </c>
      <c r="M27" s="255">
        <v>9</v>
      </c>
      <c r="N27" s="271">
        <f t="shared" si="4"/>
        <v>-8</v>
      </c>
    </row>
    <row r="28" spans="1:17" s="204" customFormat="1" ht="21.75" customHeight="1" thickBot="1" x14ac:dyDescent="0.25">
      <c r="A28" s="258" t="s">
        <v>61</v>
      </c>
      <c r="B28" s="259">
        <f>SUM(B19:B27)</f>
        <v>25990196.309999999</v>
      </c>
      <c r="C28" s="272">
        <f>SUM(C19:C27)</f>
        <v>0</v>
      </c>
      <c r="D28" s="273">
        <f>SUM(D19:D27)</f>
        <v>0</v>
      </c>
      <c r="E28" s="273">
        <f>SUM(E19:E27)</f>
        <v>0</v>
      </c>
      <c r="F28" s="274">
        <f>SUM(F19:F27)</f>
        <v>0</v>
      </c>
      <c r="G28" s="275">
        <f>SUBTOTAL(9,G17:G27)</f>
        <v>1611000</v>
      </c>
      <c r="H28" s="275">
        <f>SUM(H19:H27)</f>
        <v>25990196.309999999</v>
      </c>
      <c r="I28" s="275">
        <f>SUM(I19:I27)</f>
        <v>11543112.300000004</v>
      </c>
      <c r="J28" s="276">
        <f>SUM(J19:J27)</f>
        <v>14447084.009999994</v>
      </c>
      <c r="K28" s="265"/>
      <c r="L28" s="266">
        <f>SUM(L19)</f>
        <v>1</v>
      </c>
      <c r="M28" s="266">
        <f>SUM(M19)</f>
        <v>53</v>
      </c>
      <c r="N28" s="266">
        <f>SUM(N19)</f>
        <v>-52</v>
      </c>
      <c r="O28" s="269"/>
      <c r="P28" s="270"/>
    </row>
    <row r="29" spans="1:17" s="204" customFormat="1" ht="15.75" thickTop="1" x14ac:dyDescent="0.25">
      <c r="A29" s="277"/>
      <c r="B29" s="278"/>
      <c r="C29" s="279"/>
      <c r="D29" s="280"/>
      <c r="E29" s="280"/>
      <c r="F29" s="281"/>
      <c r="G29" s="282"/>
      <c r="H29" s="283"/>
      <c r="I29" s="283"/>
      <c r="J29" s="283"/>
      <c r="K29" s="284"/>
      <c r="L29" s="285"/>
      <c r="M29" s="286"/>
      <c r="N29" s="287"/>
      <c r="P29" s="288"/>
      <c r="Q29" s="288"/>
    </row>
    <row r="30" spans="1:17" s="204" customFormat="1" ht="24" customHeight="1" thickBot="1" x14ac:dyDescent="0.25">
      <c r="A30" s="258" t="s">
        <v>1272</v>
      </c>
      <c r="B30" s="259">
        <f>B16+B28</f>
        <v>80794377.747843012</v>
      </c>
      <c r="C30" s="272">
        <f>C28+C16</f>
        <v>18025879.221829005</v>
      </c>
      <c r="D30" s="273">
        <f>D28+D16</f>
        <v>12626228.342666803</v>
      </c>
      <c r="E30" s="273">
        <f>E28+E16</f>
        <v>1043591.6800000001</v>
      </c>
      <c r="F30" s="274">
        <f>F28+F16</f>
        <v>31695699.244495809</v>
      </c>
      <c r="G30" s="275">
        <f>SUBTOTAL(9,G8:G15)</f>
        <v>0</v>
      </c>
      <c r="H30" s="275">
        <f>H28+H16</f>
        <v>49098678.503347203</v>
      </c>
      <c r="I30" s="289">
        <f>I28+I16</f>
        <v>22603249.380000003</v>
      </c>
      <c r="J30" s="276">
        <f>J28+J16</f>
        <v>26495429.123347193</v>
      </c>
      <c r="K30" s="290"/>
      <c r="L30" s="267" t="e">
        <f>L28+L16</f>
        <v>#REF!</v>
      </c>
      <c r="M30" s="267">
        <f>M28+M16</f>
        <v>354</v>
      </c>
      <c r="N30" s="291" t="e">
        <f>L30-M30</f>
        <v>#REF!</v>
      </c>
      <c r="P30" s="270"/>
    </row>
    <row r="31" spans="1:17" s="204" customFormat="1" ht="20.25" customHeight="1" thickTop="1" x14ac:dyDescent="0.2">
      <c r="A31" s="292"/>
      <c r="B31" s="293"/>
      <c r="C31" s="293"/>
      <c r="D31" s="293"/>
      <c r="E31" s="293"/>
      <c r="F31" s="293"/>
      <c r="G31" s="293"/>
      <c r="H31" s="293"/>
      <c r="I31" s="294">
        <f>+I30/H30</f>
        <v>0.46036370161080958</v>
      </c>
      <c r="J31" s="293"/>
      <c r="K31" s="293"/>
      <c r="L31" s="295"/>
      <c r="M31" s="295"/>
      <c r="N31" s="295"/>
      <c r="P31" s="270"/>
    </row>
    <row r="32" spans="1:17" s="296" customFormat="1" ht="20.25" customHeight="1" outlineLevel="1" x14ac:dyDescent="0.25">
      <c r="A32" s="292"/>
      <c r="B32" s="293"/>
      <c r="C32" s="293"/>
      <c r="D32" s="293"/>
      <c r="E32" s="293"/>
      <c r="F32" s="293"/>
      <c r="G32" s="293"/>
      <c r="H32" s="293"/>
      <c r="I32" s="294"/>
      <c r="J32" s="293"/>
      <c r="K32" s="293"/>
      <c r="L32" s="295"/>
      <c r="M32" s="295"/>
      <c r="N32" s="295"/>
      <c r="P32" s="297"/>
    </row>
    <row r="33" spans="1:17" s="296" customFormat="1" ht="21.75" outlineLevel="1" thickBot="1" x14ac:dyDescent="0.3">
      <c r="A33" s="298" t="s">
        <v>1271</v>
      </c>
      <c r="B33" s="293"/>
      <c r="C33" s="293"/>
      <c r="D33" s="293"/>
      <c r="E33" s="293"/>
      <c r="F33" s="293"/>
      <c r="G33" s="293"/>
      <c r="H33" s="293"/>
      <c r="I33" s="294"/>
      <c r="J33" s="293"/>
      <c r="K33" s="293"/>
      <c r="L33" s="295"/>
      <c r="M33" s="295"/>
      <c r="N33" s="295"/>
      <c r="P33" s="297"/>
    </row>
    <row r="34" spans="1:17" s="296" customFormat="1" ht="15" outlineLevel="1" x14ac:dyDescent="0.25">
      <c r="A34" s="299"/>
      <c r="B34" s="300"/>
      <c r="C34" s="301"/>
      <c r="D34" s="302"/>
      <c r="E34" s="302"/>
      <c r="F34" s="302"/>
      <c r="G34" s="302"/>
      <c r="H34" s="300"/>
      <c r="I34" s="300"/>
      <c r="J34" s="303"/>
      <c r="K34" s="303"/>
      <c r="L34" s="304"/>
      <c r="M34" s="304"/>
      <c r="N34" s="304"/>
      <c r="P34" s="297"/>
    </row>
    <row r="35" spans="1:17" s="296" customFormat="1" ht="15" outlineLevel="1" x14ac:dyDescent="0.25">
      <c r="A35" s="522" t="s">
        <v>1881</v>
      </c>
      <c r="B35" s="307">
        <v>2000000</v>
      </c>
      <c r="C35" s="303"/>
      <c r="D35" s="306"/>
      <c r="E35" s="306"/>
      <c r="F35" s="306">
        <v>0</v>
      </c>
      <c r="G35" s="306"/>
      <c r="H35" s="247">
        <v>2000000</v>
      </c>
      <c r="I35" s="307">
        <f t="shared" ref="I35" si="8">+H35</f>
        <v>2000000</v>
      </c>
      <c r="J35" s="303"/>
      <c r="K35" s="303"/>
      <c r="L35" s="304"/>
      <c r="M35" s="304"/>
      <c r="N35" s="304"/>
      <c r="P35" s="297"/>
    </row>
    <row r="36" spans="1:17" s="296" customFormat="1" ht="15" outlineLevel="1" x14ac:dyDescent="0.25">
      <c r="A36" s="522" t="s">
        <v>1578</v>
      </c>
      <c r="B36" s="307">
        <v>123000</v>
      </c>
      <c r="C36" s="303"/>
      <c r="D36" s="306"/>
      <c r="E36" s="306"/>
      <c r="F36" s="306"/>
      <c r="G36" s="306"/>
      <c r="H36" s="247">
        <v>123000</v>
      </c>
      <c r="I36" s="307">
        <f>+H36</f>
        <v>123000</v>
      </c>
      <c r="J36" s="303"/>
      <c r="K36" s="303"/>
      <c r="L36" s="304"/>
      <c r="M36" s="304"/>
      <c r="N36" s="304"/>
      <c r="P36" s="297"/>
    </row>
    <row r="37" spans="1:17" s="296" customFormat="1" ht="15" outlineLevel="1" x14ac:dyDescent="0.25">
      <c r="A37" s="305"/>
      <c r="B37" s="307"/>
      <c r="C37" s="303"/>
      <c r="D37" s="306"/>
      <c r="E37" s="306"/>
      <c r="F37" s="306"/>
      <c r="G37" s="306"/>
      <c r="H37" s="247"/>
      <c r="I37" s="307"/>
      <c r="J37" s="303"/>
      <c r="K37" s="303"/>
      <c r="L37" s="304"/>
      <c r="M37" s="304"/>
      <c r="N37" s="304"/>
      <c r="P37" s="297"/>
    </row>
    <row r="38" spans="1:17" s="296" customFormat="1" ht="21.75" customHeight="1" outlineLevel="1" thickBot="1" x14ac:dyDescent="0.3">
      <c r="A38" s="258" t="s">
        <v>1272</v>
      </c>
      <c r="B38" s="308">
        <f t="shared" ref="B38:I38" si="9">SUM(B35:B37)</f>
        <v>2123000</v>
      </c>
      <c r="C38" s="309">
        <f t="shared" si="9"/>
        <v>0</v>
      </c>
      <c r="D38" s="310">
        <f t="shared" si="9"/>
        <v>0</v>
      </c>
      <c r="E38" s="310">
        <f t="shared" si="9"/>
        <v>0</v>
      </c>
      <c r="F38" s="310">
        <f t="shared" si="9"/>
        <v>0</v>
      </c>
      <c r="G38" s="310">
        <f t="shared" si="9"/>
        <v>0</v>
      </c>
      <c r="H38" s="275">
        <f t="shared" si="9"/>
        <v>2123000</v>
      </c>
      <c r="I38" s="289">
        <f t="shared" si="9"/>
        <v>2123000</v>
      </c>
      <c r="J38" s="293"/>
      <c r="K38" s="293"/>
      <c r="L38" s="295"/>
      <c r="M38" s="295"/>
      <c r="N38" s="295"/>
      <c r="P38" s="297"/>
    </row>
    <row r="39" spans="1:17" s="296" customFormat="1" ht="16.5" outlineLevel="1" thickTop="1" thickBot="1" x14ac:dyDescent="0.3">
      <c r="A39" s="311"/>
      <c r="B39" s="293"/>
      <c r="C39" s="293"/>
      <c r="D39" s="293"/>
      <c r="E39" s="293"/>
      <c r="F39" s="293"/>
      <c r="G39" s="293"/>
      <c r="H39" s="293"/>
      <c r="I39" s="293"/>
      <c r="J39" s="293"/>
      <c r="K39" s="293"/>
      <c r="L39" s="295"/>
      <c r="M39" s="295"/>
      <c r="N39" s="295"/>
      <c r="P39" s="297"/>
    </row>
    <row r="40" spans="1:17" s="320" customFormat="1" ht="26.25" customHeight="1" outlineLevel="1" thickBot="1" x14ac:dyDescent="0.3">
      <c r="A40" s="312" t="s">
        <v>420</v>
      </c>
      <c r="B40" s="313">
        <f t="shared" ref="B40:I40" si="10">+B38+B30</f>
        <v>82917377.747843012</v>
      </c>
      <c r="C40" s="314">
        <f t="shared" si="10"/>
        <v>18025879.221829005</v>
      </c>
      <c r="D40" s="315">
        <f t="shared" si="10"/>
        <v>12626228.342666803</v>
      </c>
      <c r="E40" s="315">
        <f t="shared" si="10"/>
        <v>1043591.6800000001</v>
      </c>
      <c r="F40" s="315">
        <f t="shared" si="10"/>
        <v>31695699.244495809</v>
      </c>
      <c r="G40" s="316">
        <f t="shared" si="10"/>
        <v>0</v>
      </c>
      <c r="H40" s="313">
        <f t="shared" si="10"/>
        <v>51221678.503347203</v>
      </c>
      <c r="I40" s="317">
        <f t="shared" si="10"/>
        <v>24726249.380000003</v>
      </c>
      <c r="J40" s="318"/>
      <c r="K40" s="318"/>
      <c r="L40" s="319"/>
      <c r="M40" s="319"/>
      <c r="N40" s="319"/>
      <c r="P40" s="321"/>
      <c r="Q40" s="321"/>
    </row>
    <row r="41" spans="1:17" s="320" customFormat="1" ht="22.5" customHeight="1" outlineLevel="1" thickTop="1" x14ac:dyDescent="0.25">
      <c r="A41" s="321"/>
      <c r="B41" s="321"/>
      <c r="I41" s="322">
        <f>+I40/H40</f>
        <v>0.48273016625927645</v>
      </c>
      <c r="J41" s="296"/>
      <c r="K41" s="296"/>
      <c r="P41" s="323"/>
    </row>
    <row r="42" spans="1:17" ht="15" outlineLevel="1" x14ac:dyDescent="0.25">
      <c r="A42" s="220"/>
      <c r="B42" s="220"/>
    </row>
    <row r="43" spans="1:17" ht="15" outlineLevel="1" x14ac:dyDescent="0.25">
      <c r="A43" s="220"/>
      <c r="B43" s="220"/>
      <c r="C43" s="324"/>
      <c r="D43" s="324">
        <v>286008257</v>
      </c>
      <c r="E43" s="324">
        <v>286008257</v>
      </c>
      <c r="F43" s="325"/>
      <c r="G43" s="203" t="s">
        <v>1083</v>
      </c>
    </row>
    <row r="44" spans="1:17" ht="15" outlineLevel="1" x14ac:dyDescent="0.25">
      <c r="A44" s="220"/>
      <c r="B44" s="220"/>
      <c r="C44" s="324"/>
      <c r="D44" s="324"/>
      <c r="E44" s="324"/>
      <c r="F44" s="325"/>
    </row>
    <row r="45" spans="1:17" ht="15" outlineLevel="1" x14ac:dyDescent="0.25">
      <c r="A45" s="220"/>
      <c r="B45" s="220"/>
      <c r="C45" s="326"/>
      <c r="D45" s="326">
        <f>+SUM(D30:D43)</f>
        <v>311260713.68533361</v>
      </c>
      <c r="E45" s="326">
        <f>+SUM(E30:E43)</f>
        <v>288095440.36000001</v>
      </c>
      <c r="F45" s="327"/>
      <c r="G45" s="328" t="s">
        <v>1084</v>
      </c>
    </row>
    <row r="46" spans="1:17" outlineLevel="1" x14ac:dyDescent="0.2">
      <c r="C46" s="324"/>
      <c r="D46" s="324"/>
      <c r="E46" s="324"/>
      <c r="F46" s="325"/>
    </row>
    <row r="47" spans="1:17" ht="15" outlineLevel="1" x14ac:dyDescent="0.25">
      <c r="C47" s="326"/>
      <c r="D47" s="326">
        <v>297407090</v>
      </c>
      <c r="E47" s="326">
        <v>297407090</v>
      </c>
      <c r="F47" s="327"/>
      <c r="G47" s="328" t="s">
        <v>1085</v>
      </c>
    </row>
    <row r="48" spans="1:17" outlineLevel="1" x14ac:dyDescent="0.2">
      <c r="C48" s="324"/>
      <c r="D48" s="324"/>
      <c r="E48" s="324"/>
      <c r="F48" s="325"/>
    </row>
    <row r="49" spans="1:16" outlineLevel="1" x14ac:dyDescent="0.2">
      <c r="C49" s="324"/>
      <c r="D49" s="324">
        <f>+D47-D45</f>
        <v>-13853623.68533361</v>
      </c>
      <c r="E49" s="324">
        <f>+E47-E45</f>
        <v>9311649.6399999857</v>
      </c>
      <c r="F49" s="325"/>
      <c r="G49" s="203" t="s">
        <v>1086</v>
      </c>
    </row>
    <row r="50" spans="1:16" outlineLevel="1" x14ac:dyDescent="0.2">
      <c r="C50" s="329"/>
      <c r="D50" s="329"/>
      <c r="E50" s="329"/>
    </row>
    <row r="51" spans="1:16" outlineLevel="1" x14ac:dyDescent="0.2"/>
    <row r="52" spans="1:16" s="328" customFormat="1" ht="60" x14ac:dyDescent="0.25">
      <c r="A52" s="539" t="s">
        <v>1840</v>
      </c>
      <c r="B52" s="539" t="s">
        <v>38</v>
      </c>
      <c r="C52" s="539"/>
      <c r="D52" s="539"/>
      <c r="E52" s="539"/>
      <c r="F52" s="540" t="s">
        <v>1844</v>
      </c>
      <c r="G52" s="539"/>
      <c r="H52" s="539"/>
      <c r="I52" s="541" t="s">
        <v>1841</v>
      </c>
      <c r="J52" s="534"/>
      <c r="K52" s="534"/>
      <c r="L52" s="540" t="s">
        <v>1851</v>
      </c>
      <c r="P52" s="535"/>
    </row>
    <row r="53" spans="1:16" x14ac:dyDescent="0.2">
      <c r="A53" s="542" t="s">
        <v>1842</v>
      </c>
      <c r="B53" s="543">
        <f>+'Variation Register'!AF251</f>
        <v>4496767.6500000004</v>
      </c>
      <c r="C53" s="544"/>
      <c r="D53" s="544"/>
      <c r="E53" s="544"/>
      <c r="F53" s="544"/>
      <c r="G53" s="544"/>
      <c r="H53" s="544"/>
      <c r="I53" s="545">
        <v>2500000</v>
      </c>
      <c r="L53" s="556">
        <v>43799</v>
      </c>
    </row>
    <row r="54" spans="1:16" x14ac:dyDescent="0.2">
      <c r="A54" s="542" t="s">
        <v>1843</v>
      </c>
      <c r="B54" s="543">
        <f>+'Variation Register'!AF263+'Variation Register'!AF270+'Variation Register'!AF277</f>
        <v>9581011.4499999993</v>
      </c>
      <c r="C54" s="544"/>
      <c r="D54" s="544"/>
      <c r="E54" s="544"/>
      <c r="F54" s="544"/>
      <c r="G54" s="544"/>
      <c r="H54" s="544"/>
      <c r="I54" s="545">
        <v>1800000</v>
      </c>
      <c r="L54" s="557">
        <v>43862</v>
      </c>
    </row>
    <row r="55" spans="1:16" x14ac:dyDescent="0.2">
      <c r="A55" s="542" t="s">
        <v>1845</v>
      </c>
      <c r="B55" s="543">
        <f>+'Variation Register'!AF157</f>
        <v>1331901.5900000001</v>
      </c>
      <c r="C55" s="544"/>
      <c r="D55" s="544"/>
      <c r="E55" s="544"/>
      <c r="F55" s="545">
        <v>500000</v>
      </c>
      <c r="G55" s="544"/>
      <c r="H55" s="544"/>
      <c r="I55" s="545">
        <v>850000</v>
      </c>
      <c r="L55" s="557">
        <v>43739</v>
      </c>
    </row>
    <row r="56" spans="1:16" x14ac:dyDescent="0.2">
      <c r="A56" s="542" t="s">
        <v>1846</v>
      </c>
      <c r="B56" s="543">
        <f>+'Variation Register'!AF145</f>
        <v>1279838</v>
      </c>
      <c r="C56" s="544"/>
      <c r="D56" s="544"/>
      <c r="E56" s="544"/>
      <c r="F56" s="545">
        <v>456645</v>
      </c>
      <c r="G56" s="544"/>
      <c r="H56" s="544"/>
      <c r="I56" s="545">
        <f>+B56</f>
        <v>1279838</v>
      </c>
      <c r="L56" s="557">
        <v>43617</v>
      </c>
    </row>
    <row r="57" spans="1:16" x14ac:dyDescent="0.2">
      <c r="A57" s="542" t="s">
        <v>1847</v>
      </c>
      <c r="B57" s="543">
        <f>+'Variation Register'!AF283</f>
        <v>578069.62</v>
      </c>
      <c r="C57" s="544"/>
      <c r="D57" s="544"/>
      <c r="E57" s="544"/>
      <c r="F57" s="544"/>
      <c r="G57" s="544"/>
      <c r="H57" s="544"/>
      <c r="I57" s="545">
        <v>300000</v>
      </c>
      <c r="L57" s="557">
        <v>43891</v>
      </c>
    </row>
    <row r="58" spans="1:16" x14ac:dyDescent="0.2">
      <c r="A58" s="542" t="s">
        <v>1849</v>
      </c>
      <c r="B58" s="543">
        <v>303633.45</v>
      </c>
      <c r="C58" s="544"/>
      <c r="D58" s="544"/>
      <c r="E58" s="544"/>
      <c r="F58" s="545">
        <v>250000</v>
      </c>
      <c r="G58" s="544"/>
      <c r="H58" s="544"/>
      <c r="I58" s="545">
        <v>300000</v>
      </c>
      <c r="L58" s="557">
        <v>43831</v>
      </c>
    </row>
    <row r="59" spans="1:16" ht="15" thickBot="1" x14ac:dyDescent="0.25">
      <c r="A59" s="548"/>
      <c r="B59" s="548"/>
      <c r="C59" s="548"/>
      <c r="D59" s="548"/>
      <c r="E59" s="548"/>
      <c r="F59" s="548"/>
      <c r="G59" s="548"/>
      <c r="H59" s="548"/>
      <c r="I59" s="549"/>
      <c r="L59" s="548"/>
    </row>
    <row r="60" spans="1:16" s="328" customFormat="1" ht="15.75" thickBot="1" x14ac:dyDescent="0.3">
      <c r="A60" s="553" t="s">
        <v>1848</v>
      </c>
      <c r="B60" s="554">
        <f>SUM(B53:B59)</f>
        <v>17571221.759999998</v>
      </c>
      <c r="C60" s="554"/>
      <c r="D60" s="554"/>
      <c r="E60" s="554"/>
      <c r="F60" s="554">
        <f>SUM(F53:F59)</f>
        <v>1206645</v>
      </c>
      <c r="G60" s="554"/>
      <c r="H60" s="554"/>
      <c r="I60" s="555">
        <f>SUM(I53:I59)</f>
        <v>7029838</v>
      </c>
      <c r="J60" s="536"/>
      <c r="K60" s="536"/>
      <c r="L60" s="554"/>
      <c r="P60" s="535"/>
    </row>
    <row r="61" spans="1:16" x14ac:dyDescent="0.2">
      <c r="A61" s="550"/>
      <c r="B61" s="551"/>
      <c r="C61" s="551"/>
      <c r="D61" s="551"/>
      <c r="E61" s="551"/>
      <c r="F61" s="551"/>
      <c r="G61" s="551"/>
      <c r="H61" s="551"/>
      <c r="I61" s="552"/>
      <c r="J61" s="538"/>
      <c r="K61" s="538"/>
      <c r="L61" s="551"/>
    </row>
    <row r="62" spans="1:16" x14ac:dyDescent="0.2">
      <c r="A62" s="542" t="s">
        <v>1850</v>
      </c>
      <c r="B62" s="543">
        <v>25990196.310000002</v>
      </c>
      <c r="C62" s="546"/>
      <c r="D62" s="546"/>
      <c r="E62" s="546"/>
      <c r="F62" s="546">
        <v>0</v>
      </c>
      <c r="G62" s="546"/>
      <c r="H62" s="546"/>
      <c r="I62" s="547">
        <v>9000000</v>
      </c>
      <c r="J62" s="538"/>
      <c r="K62" s="538"/>
      <c r="L62" s="557">
        <v>43922</v>
      </c>
    </row>
    <row r="63" spans="1:16" x14ac:dyDescent="0.2">
      <c r="B63" s="537"/>
      <c r="C63" s="537"/>
      <c r="D63" s="537"/>
      <c r="E63" s="537"/>
      <c r="F63" s="537"/>
      <c r="G63" s="537"/>
      <c r="H63" s="537"/>
      <c r="I63" s="538"/>
      <c r="J63" s="538"/>
      <c r="K63" s="538"/>
    </row>
    <row r="69" spans="1:2" ht="15" x14ac:dyDescent="0.25">
      <c r="A69" s="220"/>
      <c r="B69" s="220"/>
    </row>
    <row r="70" spans="1:2" ht="15" x14ac:dyDescent="0.25">
      <c r="A70" s="220"/>
      <c r="B70" s="220"/>
    </row>
    <row r="71" spans="1:2" ht="15" x14ac:dyDescent="0.25">
      <c r="A71" s="220"/>
      <c r="B71" s="220"/>
    </row>
    <row r="72" spans="1:2" ht="15" x14ac:dyDescent="0.25">
      <c r="A72" s="220"/>
      <c r="B72" s="220"/>
    </row>
    <row r="73" spans="1:2" ht="15" x14ac:dyDescent="0.25">
      <c r="A73" s="220"/>
      <c r="B73" s="220"/>
    </row>
    <row r="74" spans="1:2" ht="15" x14ac:dyDescent="0.25">
      <c r="A74" s="220"/>
      <c r="B74" s="220"/>
    </row>
    <row r="75" spans="1:2" ht="15" x14ac:dyDescent="0.25">
      <c r="A75" s="220"/>
      <c r="B75" s="220"/>
    </row>
    <row r="76" spans="1:2" ht="15" x14ac:dyDescent="0.25">
      <c r="A76" s="220"/>
      <c r="B76" s="220"/>
    </row>
  </sheetData>
  <dataConsolidate/>
  <mergeCells count="11">
    <mergeCell ref="A3:B3"/>
    <mergeCell ref="L4:N4"/>
    <mergeCell ref="C4:F4"/>
    <mergeCell ref="B5:B6"/>
    <mergeCell ref="F5:F6"/>
    <mergeCell ref="A5:A6"/>
    <mergeCell ref="G5:G6"/>
    <mergeCell ref="H5:H6"/>
    <mergeCell ref="L5:L6"/>
    <mergeCell ref="M5:M6"/>
    <mergeCell ref="N5:N6"/>
  </mergeCells>
  <dataValidations disablePrompts="1" count="1">
    <dataValidation type="list" allowBlank="1" showInputMessage="1" showErrorMessage="1" sqref="A10:A11" xr:uid="{00000000-0002-0000-0000-000000000000}">
      <formula1>Variation_Type1</formula1>
    </dataValidation>
  </dataValidations>
  <pageMargins left="0.70866141732283472" right="0.70866141732283472" top="0.74803149606299213" bottom="0.74803149606299213" header="0.31496062992125984" footer="0.31496062992125984"/>
  <pageSetup paperSize="9" scale="58"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A1:F36"/>
  <sheetViews>
    <sheetView view="pageBreakPreview" zoomScale="85" zoomScaleNormal="100" zoomScaleSheetLayoutView="85" workbookViewId="0">
      <selection activeCell="A8" sqref="A8"/>
    </sheetView>
  </sheetViews>
  <sheetFormatPr defaultRowHeight="15" x14ac:dyDescent="0.25"/>
  <cols>
    <col min="1" max="1" width="75.28515625" style="25" customWidth="1"/>
    <col min="2" max="3" width="25.28515625" customWidth="1"/>
    <col min="4" max="4" width="75.28515625" style="25" customWidth="1"/>
    <col min="5" max="5" width="11.85546875" customWidth="1"/>
    <col min="6" max="6" width="20.7109375" style="25" customWidth="1"/>
  </cols>
  <sheetData>
    <row r="1" spans="1:6" s="180" customFormat="1" ht="18.75" x14ac:dyDescent="0.3">
      <c r="A1" s="700" t="s">
        <v>1062</v>
      </c>
      <c r="B1" s="700"/>
      <c r="C1" s="700"/>
      <c r="D1" s="700"/>
      <c r="E1" s="700"/>
      <c r="F1" s="700"/>
    </row>
    <row r="2" spans="1:6" s="180" customFormat="1" ht="18.75" x14ac:dyDescent="0.3">
      <c r="A2" s="187" t="s">
        <v>440</v>
      </c>
      <c r="B2" s="188" t="s">
        <v>1013</v>
      </c>
      <c r="C2" s="188" t="s">
        <v>1014</v>
      </c>
      <c r="D2" s="187" t="s">
        <v>1040</v>
      </c>
      <c r="E2" s="188" t="s">
        <v>1041</v>
      </c>
      <c r="F2" s="187" t="s">
        <v>1042</v>
      </c>
    </row>
    <row r="3" spans="1:6" s="181" customFormat="1" ht="30" x14ac:dyDescent="0.25">
      <c r="A3" s="185" t="s">
        <v>1015</v>
      </c>
      <c r="B3" s="184">
        <v>1647807</v>
      </c>
      <c r="C3" s="184">
        <v>1515982.44</v>
      </c>
      <c r="D3" s="185" t="s">
        <v>1073</v>
      </c>
      <c r="E3" s="186">
        <v>43800</v>
      </c>
      <c r="F3" s="185" t="s">
        <v>1055</v>
      </c>
    </row>
    <row r="4" spans="1:6" s="181" customFormat="1" ht="45" x14ac:dyDescent="0.25">
      <c r="A4" s="185" t="s">
        <v>1016</v>
      </c>
      <c r="B4" s="184">
        <v>2540435</v>
      </c>
      <c r="C4" s="184">
        <v>2337200.2000000002</v>
      </c>
      <c r="D4" s="185" t="s">
        <v>1081</v>
      </c>
      <c r="E4" s="186">
        <v>43800</v>
      </c>
      <c r="F4" s="185" t="s">
        <v>1055</v>
      </c>
    </row>
    <row r="5" spans="1:6" s="181" customFormat="1" ht="45" x14ac:dyDescent="0.25">
      <c r="A5" s="185" t="s">
        <v>1017</v>
      </c>
      <c r="B5" s="184">
        <v>861775</v>
      </c>
      <c r="C5" s="184">
        <v>792833</v>
      </c>
      <c r="D5" s="185" t="s">
        <v>1077</v>
      </c>
      <c r="E5" s="186">
        <v>43709</v>
      </c>
      <c r="F5" s="185" t="s">
        <v>1055</v>
      </c>
    </row>
    <row r="6" spans="1:6" s="181" customFormat="1" ht="45" x14ac:dyDescent="0.25">
      <c r="A6" s="185" t="s">
        <v>1018</v>
      </c>
      <c r="B6" s="184">
        <v>400000</v>
      </c>
      <c r="C6" s="184">
        <v>368000</v>
      </c>
      <c r="D6" s="185" t="s">
        <v>1076</v>
      </c>
      <c r="E6" s="186">
        <v>43709</v>
      </c>
      <c r="F6" s="185" t="s">
        <v>1055</v>
      </c>
    </row>
    <row r="7" spans="1:6" s="181" customFormat="1" x14ac:dyDescent="0.25">
      <c r="A7" s="185" t="s">
        <v>1063</v>
      </c>
      <c r="B7" s="184">
        <v>596000</v>
      </c>
      <c r="C7" s="184">
        <v>548320</v>
      </c>
      <c r="D7" s="185" t="s">
        <v>1043</v>
      </c>
      <c r="E7" s="186">
        <v>43709</v>
      </c>
      <c r="F7" s="185" t="s">
        <v>1056</v>
      </c>
    </row>
    <row r="8" spans="1:6" s="181" customFormat="1" ht="45" x14ac:dyDescent="0.25">
      <c r="A8" s="185" t="s">
        <v>1019</v>
      </c>
      <c r="B8" s="184">
        <v>500000</v>
      </c>
      <c r="C8" s="184">
        <v>460000</v>
      </c>
      <c r="D8" s="185" t="s">
        <v>1082</v>
      </c>
      <c r="E8" s="186">
        <v>43709</v>
      </c>
      <c r="F8" s="185" t="s">
        <v>1056</v>
      </c>
    </row>
    <row r="9" spans="1:6" s="181" customFormat="1" ht="30" x14ac:dyDescent="0.25">
      <c r="A9" s="185" t="s">
        <v>1020</v>
      </c>
      <c r="B9" s="184">
        <v>500000</v>
      </c>
      <c r="C9" s="184">
        <v>460000</v>
      </c>
      <c r="D9" s="185" t="s">
        <v>1044</v>
      </c>
      <c r="E9" s="186">
        <v>43709</v>
      </c>
      <c r="F9" s="185" t="s">
        <v>1055</v>
      </c>
    </row>
    <row r="10" spans="1:6" s="181" customFormat="1" ht="30" x14ac:dyDescent="0.25">
      <c r="A10" s="185" t="s">
        <v>1021</v>
      </c>
      <c r="B10" s="184">
        <v>500000</v>
      </c>
      <c r="C10" s="184">
        <v>460000</v>
      </c>
      <c r="D10" s="185" t="s">
        <v>1045</v>
      </c>
      <c r="E10" s="186">
        <v>43709</v>
      </c>
      <c r="F10" s="185" t="s">
        <v>1056</v>
      </c>
    </row>
    <row r="11" spans="1:6" s="181" customFormat="1" ht="45" x14ac:dyDescent="0.25">
      <c r="A11" s="185" t="s">
        <v>1022</v>
      </c>
      <c r="B11" s="184">
        <v>300000</v>
      </c>
      <c r="C11" s="184">
        <v>276000</v>
      </c>
      <c r="D11" s="185" t="s">
        <v>1064</v>
      </c>
      <c r="E11" s="186">
        <v>43709</v>
      </c>
      <c r="F11" s="185" t="s">
        <v>1056</v>
      </c>
    </row>
    <row r="12" spans="1:6" s="181" customFormat="1" x14ac:dyDescent="0.25">
      <c r="A12" s="185" t="s">
        <v>1023</v>
      </c>
      <c r="B12" s="184">
        <v>491023.97</v>
      </c>
      <c r="C12" s="184">
        <v>451742.05</v>
      </c>
      <c r="D12" s="185" t="s">
        <v>1043</v>
      </c>
      <c r="E12" s="186">
        <v>43678</v>
      </c>
      <c r="F12" s="185" t="s">
        <v>1056</v>
      </c>
    </row>
    <row r="13" spans="1:6" s="181" customFormat="1" ht="30" x14ac:dyDescent="0.25">
      <c r="A13" s="185" t="s">
        <v>1024</v>
      </c>
      <c r="B13" s="184">
        <v>396208</v>
      </c>
      <c r="C13" s="184">
        <v>364511.36</v>
      </c>
      <c r="D13" s="185" t="s">
        <v>1065</v>
      </c>
      <c r="E13" s="186">
        <v>43678</v>
      </c>
      <c r="F13" s="185" t="s">
        <v>1057</v>
      </c>
    </row>
    <row r="14" spans="1:6" s="181" customFormat="1" ht="30" x14ac:dyDescent="0.25">
      <c r="A14" s="185" t="s">
        <v>1066</v>
      </c>
      <c r="B14" s="184">
        <v>381602.08</v>
      </c>
      <c r="C14" s="184">
        <v>351073.91</v>
      </c>
      <c r="D14" s="185" t="s">
        <v>1067</v>
      </c>
      <c r="E14" s="184" t="s">
        <v>72</v>
      </c>
      <c r="F14" s="185" t="s">
        <v>1056</v>
      </c>
    </row>
    <row r="15" spans="1:6" s="181" customFormat="1" x14ac:dyDescent="0.25">
      <c r="A15" s="185" t="s">
        <v>1025</v>
      </c>
      <c r="B15" s="184">
        <v>182865</v>
      </c>
      <c r="C15" s="184">
        <v>168235.8</v>
      </c>
      <c r="D15" s="185" t="s">
        <v>1046</v>
      </c>
      <c r="E15" s="186">
        <v>43709</v>
      </c>
      <c r="F15" s="185" t="s">
        <v>1056</v>
      </c>
    </row>
    <row r="16" spans="1:6" s="181" customFormat="1" x14ac:dyDescent="0.25">
      <c r="A16" s="185" t="s">
        <v>1068</v>
      </c>
      <c r="B16" s="184">
        <v>148500</v>
      </c>
      <c r="C16" s="184">
        <v>136620</v>
      </c>
      <c r="D16" s="185" t="s">
        <v>1043</v>
      </c>
      <c r="E16" s="186">
        <v>43709</v>
      </c>
      <c r="F16" s="185" t="s">
        <v>1056</v>
      </c>
    </row>
    <row r="17" spans="1:6" s="181" customFormat="1" x14ac:dyDescent="0.25">
      <c r="A17" s="185" t="s">
        <v>782</v>
      </c>
      <c r="B17" s="184">
        <v>160143.24</v>
      </c>
      <c r="C17" s="184">
        <v>147331.78</v>
      </c>
      <c r="D17" s="185" t="s">
        <v>1043</v>
      </c>
      <c r="E17" s="186">
        <v>43647</v>
      </c>
      <c r="F17" s="185" t="s">
        <v>1056</v>
      </c>
    </row>
    <row r="18" spans="1:6" s="181" customFormat="1" x14ac:dyDescent="0.25">
      <c r="A18" s="185" t="s">
        <v>1026</v>
      </c>
      <c r="B18" s="184">
        <v>160589.82</v>
      </c>
      <c r="C18" s="184">
        <v>147742.63</v>
      </c>
      <c r="D18" s="185" t="s">
        <v>1043</v>
      </c>
      <c r="E18" s="186">
        <v>43678</v>
      </c>
      <c r="F18" s="185" t="s">
        <v>1056</v>
      </c>
    </row>
    <row r="19" spans="1:6" s="181" customFormat="1" x14ac:dyDescent="0.25">
      <c r="A19" s="185" t="s">
        <v>1027</v>
      </c>
      <c r="B19" s="184">
        <v>-141024</v>
      </c>
      <c r="C19" s="184">
        <v>-129742.08</v>
      </c>
      <c r="D19" s="185" t="s">
        <v>1043</v>
      </c>
      <c r="E19" s="186">
        <v>43709</v>
      </c>
      <c r="F19" s="185" t="s">
        <v>1056</v>
      </c>
    </row>
    <row r="20" spans="1:6" s="181" customFormat="1" ht="30" x14ac:dyDescent="0.25">
      <c r="A20" s="185" t="s">
        <v>1028</v>
      </c>
      <c r="B20" s="184"/>
      <c r="C20" s="184">
        <v>1895000</v>
      </c>
      <c r="D20" s="185" t="s">
        <v>1058</v>
      </c>
      <c r="E20" s="186">
        <v>44075</v>
      </c>
      <c r="F20" s="185" t="s">
        <v>1059</v>
      </c>
    </row>
    <row r="21" spans="1:6" s="181" customFormat="1" x14ac:dyDescent="0.25">
      <c r="A21" s="185" t="s">
        <v>1029</v>
      </c>
      <c r="B21" s="184"/>
      <c r="C21" s="184">
        <v>1000000</v>
      </c>
      <c r="D21" s="185" t="s">
        <v>1047</v>
      </c>
      <c r="E21" s="186">
        <v>43862</v>
      </c>
      <c r="F21" s="185" t="s">
        <v>1060</v>
      </c>
    </row>
    <row r="22" spans="1:6" s="181" customFormat="1" ht="30" x14ac:dyDescent="0.25">
      <c r="A22" s="185" t="s">
        <v>1069</v>
      </c>
      <c r="B22" s="184"/>
      <c r="C22" s="184">
        <v>679152</v>
      </c>
      <c r="D22" s="185" t="s">
        <v>1048</v>
      </c>
      <c r="E22" s="186">
        <v>43770</v>
      </c>
      <c r="F22" s="185" t="s">
        <v>1061</v>
      </c>
    </row>
    <row r="23" spans="1:6" s="181" customFormat="1" ht="30" x14ac:dyDescent="0.25">
      <c r="A23" s="185" t="s">
        <v>1030</v>
      </c>
      <c r="B23" s="184"/>
      <c r="C23" s="184">
        <v>577328.03</v>
      </c>
      <c r="D23" s="185" t="s">
        <v>1074</v>
      </c>
      <c r="E23" s="186">
        <v>43770</v>
      </c>
      <c r="F23" s="185" t="s">
        <v>1057</v>
      </c>
    </row>
    <row r="24" spans="1:6" s="181" customFormat="1" ht="45" x14ac:dyDescent="0.25">
      <c r="A24" s="185" t="s">
        <v>1031</v>
      </c>
      <c r="B24" s="184"/>
      <c r="C24" s="184">
        <v>490000</v>
      </c>
      <c r="D24" s="185" t="s">
        <v>1049</v>
      </c>
      <c r="E24" s="186">
        <v>43678</v>
      </c>
      <c r="F24" s="185" t="s">
        <v>1060</v>
      </c>
    </row>
    <row r="25" spans="1:6" s="181" customFormat="1" ht="45" x14ac:dyDescent="0.25">
      <c r="A25" s="185" t="s">
        <v>1032</v>
      </c>
      <c r="B25" s="184"/>
      <c r="C25" s="184">
        <v>450000</v>
      </c>
      <c r="D25" s="185" t="s">
        <v>1078</v>
      </c>
      <c r="E25" s="186">
        <v>43862</v>
      </c>
      <c r="F25" s="185" t="s">
        <v>1057</v>
      </c>
    </row>
    <row r="26" spans="1:6" s="181" customFormat="1" ht="30" x14ac:dyDescent="0.25">
      <c r="A26" s="185" t="s">
        <v>1070</v>
      </c>
      <c r="B26" s="184"/>
      <c r="C26" s="184">
        <v>400000</v>
      </c>
      <c r="D26" s="185" t="s">
        <v>1050</v>
      </c>
      <c r="E26" s="186">
        <v>43800</v>
      </c>
      <c r="F26" s="185" t="s">
        <v>1057</v>
      </c>
    </row>
    <row r="27" spans="1:6" s="181" customFormat="1" ht="30" x14ac:dyDescent="0.25">
      <c r="A27" s="185" t="s">
        <v>1033</v>
      </c>
      <c r="B27" s="184"/>
      <c r="C27" s="184">
        <v>350000</v>
      </c>
      <c r="D27" s="185" t="s">
        <v>1079</v>
      </c>
      <c r="E27" s="186">
        <v>43770</v>
      </c>
      <c r="F27" s="185" t="s">
        <v>1060</v>
      </c>
    </row>
    <row r="28" spans="1:6" s="181" customFormat="1" ht="30" x14ac:dyDescent="0.25">
      <c r="A28" s="185" t="s">
        <v>1034</v>
      </c>
      <c r="B28" s="184"/>
      <c r="C28" s="184">
        <v>300000</v>
      </c>
      <c r="D28" s="185" t="s">
        <v>1071</v>
      </c>
      <c r="E28" s="186">
        <v>43770</v>
      </c>
      <c r="F28" s="185" t="s">
        <v>1057</v>
      </c>
    </row>
    <row r="29" spans="1:6" s="181" customFormat="1" ht="30" x14ac:dyDescent="0.25">
      <c r="A29" s="185" t="s">
        <v>1035</v>
      </c>
      <c r="B29" s="184"/>
      <c r="C29" s="184">
        <v>300000</v>
      </c>
      <c r="D29" s="185" t="s">
        <v>1080</v>
      </c>
      <c r="E29" s="186">
        <v>44013</v>
      </c>
      <c r="F29" s="185" t="s">
        <v>1057</v>
      </c>
    </row>
    <row r="30" spans="1:6" s="181" customFormat="1" x14ac:dyDescent="0.25">
      <c r="A30" s="185" t="s">
        <v>1036</v>
      </c>
      <c r="B30" s="184"/>
      <c r="C30" s="184">
        <v>200000</v>
      </c>
      <c r="D30" s="185" t="s">
        <v>1051</v>
      </c>
      <c r="E30" s="186">
        <v>44075</v>
      </c>
      <c r="F30" s="185" t="s">
        <v>1056</v>
      </c>
    </row>
    <row r="31" spans="1:6" s="181" customFormat="1" ht="30" x14ac:dyDescent="0.25">
      <c r="A31" s="185" t="s">
        <v>1037</v>
      </c>
      <c r="B31" s="184"/>
      <c r="C31" s="184">
        <v>177000</v>
      </c>
      <c r="D31" s="185" t="s">
        <v>1072</v>
      </c>
      <c r="E31" s="186">
        <v>44013</v>
      </c>
      <c r="F31" s="185" t="s">
        <v>1056</v>
      </c>
    </row>
    <row r="32" spans="1:6" s="181" customFormat="1" x14ac:dyDescent="0.25">
      <c r="A32" s="185" t="s">
        <v>1052</v>
      </c>
      <c r="B32" s="184"/>
      <c r="C32" s="184">
        <v>100000</v>
      </c>
      <c r="D32" s="185" t="s">
        <v>1053</v>
      </c>
      <c r="E32" s="186">
        <v>43862</v>
      </c>
      <c r="F32" s="185" t="s">
        <v>1057</v>
      </c>
    </row>
    <row r="33" spans="1:6" s="181" customFormat="1" ht="30" x14ac:dyDescent="0.25">
      <c r="A33" s="185" t="s">
        <v>1038</v>
      </c>
      <c r="B33" s="184"/>
      <c r="C33" s="184">
        <v>50000</v>
      </c>
      <c r="D33" s="185" t="s">
        <v>1054</v>
      </c>
      <c r="E33" s="186">
        <v>43800</v>
      </c>
      <c r="F33" s="185" t="s">
        <v>1056</v>
      </c>
    </row>
    <row r="34" spans="1:6" s="181" customFormat="1" x14ac:dyDescent="0.25">
      <c r="A34" s="185" t="s">
        <v>1039</v>
      </c>
      <c r="B34" s="184"/>
      <c r="C34" s="184">
        <v>165164</v>
      </c>
      <c r="D34" s="185"/>
      <c r="E34" s="186">
        <v>43800</v>
      </c>
      <c r="F34" s="185"/>
    </row>
    <row r="35" spans="1:6" s="182" customFormat="1" x14ac:dyDescent="0.25">
      <c r="A35" s="183"/>
      <c r="D35" s="183"/>
      <c r="F35" s="183"/>
    </row>
    <row r="36" spans="1:6" s="192" customFormat="1" ht="18.75" x14ac:dyDescent="0.3">
      <c r="A36" s="189" t="s">
        <v>1075</v>
      </c>
      <c r="B36" s="190">
        <f>SUM(B3:B34)</f>
        <v>9625925.1099999994</v>
      </c>
      <c r="C36" s="190">
        <f>SUM(C3:C34)</f>
        <v>15989495.120000001</v>
      </c>
      <c r="D36" s="191"/>
      <c r="E36" s="190"/>
      <c r="F36" s="191"/>
    </row>
  </sheetData>
  <mergeCells count="1">
    <mergeCell ref="A1:F1"/>
  </mergeCells>
  <pageMargins left="0.70866141732283472" right="0.70866141732283472" top="0.74803149606299213" bottom="0.74803149606299213" header="0.31496062992125984" footer="0.31496062992125984"/>
  <pageSetup paperSize="9" scale="52"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E67D1-7402-464F-9F81-24B37886873F}">
  <sheetPr codeName="Sheet6">
    <pageSetUpPr fitToPage="1"/>
  </sheetPr>
  <dimension ref="A1:O34"/>
  <sheetViews>
    <sheetView view="pageBreakPreview" zoomScale="85" zoomScaleNormal="85" zoomScaleSheetLayoutView="85" workbookViewId="0">
      <pane ySplit="4" topLeftCell="A5" activePane="bottomLeft" state="frozen"/>
      <selection pane="bottomLeft" activeCell="E12" sqref="E12"/>
    </sheetView>
  </sheetViews>
  <sheetFormatPr defaultColWidth="9.140625" defaultRowHeight="15" x14ac:dyDescent="0.25"/>
  <cols>
    <col min="1" max="1" width="9.140625" style="578"/>
    <col min="2" max="2" width="18.42578125" style="578" bestFit="1" customWidth="1"/>
    <col min="3" max="3" width="38.42578125" customWidth="1"/>
    <col min="4" max="5" width="17.140625" customWidth="1"/>
    <col min="6" max="8" width="23" customWidth="1"/>
    <col min="9" max="9" width="78.7109375" customWidth="1"/>
    <col min="15" max="15" width="12.5703125" bestFit="1" customWidth="1"/>
  </cols>
  <sheetData>
    <row r="1" spans="1:15" x14ac:dyDescent="0.25">
      <c r="C1" s="623"/>
    </row>
    <row r="2" spans="1:15" s="579" customFormat="1" x14ac:dyDescent="0.25">
      <c r="A2" s="578"/>
      <c r="B2" s="578"/>
      <c r="C2" s="623" t="s">
        <v>26</v>
      </c>
    </row>
    <row r="3" spans="1:15" s="578" customFormat="1" x14ac:dyDescent="0.25">
      <c r="C3" s="623" t="s">
        <v>840</v>
      </c>
      <c r="I3" s="580" t="s">
        <v>1945</v>
      </c>
    </row>
    <row r="4" spans="1:15" ht="30" x14ac:dyDescent="0.25">
      <c r="C4" s="581"/>
      <c r="D4" s="582" t="s">
        <v>1946</v>
      </c>
      <c r="E4" s="583" t="s">
        <v>1947</v>
      </c>
      <c r="F4" s="584" t="s">
        <v>1948</v>
      </c>
      <c r="G4" s="581" t="s">
        <v>50</v>
      </c>
      <c r="H4" s="585" t="s">
        <v>1949</v>
      </c>
      <c r="I4" s="581" t="s">
        <v>281</v>
      </c>
      <c r="O4" s="586"/>
    </row>
    <row r="5" spans="1:15" ht="22.5" customHeight="1" x14ac:dyDescent="0.25">
      <c r="C5" s="587" t="s">
        <v>1950</v>
      </c>
      <c r="D5" s="588" t="e">
        <f>(SUMIFS('Variation Register'!AF:AF,'Variation Register'!#REF!,'VO Status - Client Summary'!$C$2))+'Variation Register'!AK3</f>
        <v>#REF!</v>
      </c>
      <c r="E5" s="588" t="s">
        <v>49</v>
      </c>
      <c r="F5" s="589" t="e">
        <f>D5</f>
        <v>#REF!</v>
      </c>
      <c r="G5" s="590" t="e">
        <f>(SUMIFS('Variation Register'!AK:AK,'Variation Register'!#REF!,'VO Status - Client Summary'!$C$2))+'Variation Register'!AK3</f>
        <v>#REF!</v>
      </c>
      <c r="H5" s="590">
        <v>0</v>
      </c>
      <c r="I5" s="587"/>
      <c r="L5" s="586"/>
      <c r="O5" s="586"/>
    </row>
    <row r="6" spans="1:15" ht="22.5" customHeight="1" x14ac:dyDescent="0.25">
      <c r="C6" s="587" t="s">
        <v>840</v>
      </c>
      <c r="D6" s="588" t="e">
        <f>+SUMIFS('Variation Register'!AF:AF,'Variation Register'!#REF!,'VO Status - Client Summary'!$C$3)</f>
        <v>#REF!</v>
      </c>
      <c r="E6" s="588" t="s">
        <v>49</v>
      </c>
      <c r="F6" s="589" t="e">
        <f>D6</f>
        <v>#REF!</v>
      </c>
      <c r="G6" s="590" t="e">
        <f>+SUMIFS('Variation Register'!AK:AK,'Variation Register'!#REF!,'VO Status - Client Summary'!$C$3)</f>
        <v>#REF!</v>
      </c>
      <c r="H6" s="590"/>
      <c r="I6" s="587" t="s">
        <v>1951</v>
      </c>
    </row>
    <row r="7" spans="1:15" ht="22.5" customHeight="1" x14ac:dyDescent="0.25">
      <c r="C7" s="587" t="s">
        <v>1952</v>
      </c>
      <c r="D7" s="588" t="e">
        <f>('Variation Register'!AF2-'Variation Register'!AF3+'Variation Register'!AK3)-'VO Status - Client Summary'!D5-'VO Status - Client Summary'!D6</f>
        <v>#REF!</v>
      </c>
      <c r="E7" s="588" t="s">
        <v>49</v>
      </c>
      <c r="F7" s="589" t="e">
        <f>D7</f>
        <v>#REF!</v>
      </c>
      <c r="G7" s="590">
        <v>0</v>
      </c>
      <c r="H7" s="590">
        <f>692588+250000+292816+614033.32+3130935+104363+15918.93+56733.92</f>
        <v>5157388.17</v>
      </c>
      <c r="I7" s="587" t="s">
        <v>1953</v>
      </c>
    </row>
    <row r="8" spans="1:15" ht="22.5" customHeight="1" thickBot="1" x14ac:dyDescent="0.3">
      <c r="C8" s="591" t="s">
        <v>1954</v>
      </c>
      <c r="D8" s="592">
        <f>'EOT Status - Summary'!H29</f>
        <v>25990196.309999999</v>
      </c>
      <c r="E8" s="592" t="s">
        <v>49</v>
      </c>
      <c r="F8" s="593">
        <f>D8</f>
        <v>25990196.309999999</v>
      </c>
      <c r="G8" s="594">
        <v>0</v>
      </c>
      <c r="H8" s="594">
        <v>0</v>
      </c>
      <c r="I8" s="591" t="s">
        <v>1955</v>
      </c>
    </row>
    <row r="9" spans="1:15" ht="22.5" customHeight="1" thickBot="1" x14ac:dyDescent="0.3">
      <c r="C9" s="595" t="s">
        <v>1956</v>
      </c>
      <c r="D9" s="596" t="e">
        <f>SUM(D5:D8)</f>
        <v>#REF!</v>
      </c>
      <c r="E9" s="596"/>
      <c r="F9" s="597" t="e">
        <f>SUM(F5:F8)</f>
        <v>#REF!</v>
      </c>
      <c r="G9" s="598" t="e">
        <f>SUM(G5:G7)</f>
        <v>#REF!</v>
      </c>
      <c r="H9" s="598">
        <f>SUM(H5:H7)</f>
        <v>5157388.17</v>
      </c>
      <c r="I9" s="595"/>
    </row>
    <row r="10" spans="1:15" s="578" customFormat="1" ht="22.5" customHeight="1" x14ac:dyDescent="0.25">
      <c r="C10" s="578" t="s">
        <v>622</v>
      </c>
      <c r="D10" s="599"/>
      <c r="E10" s="578" t="s">
        <v>1885</v>
      </c>
      <c r="G10" s="599"/>
      <c r="H10" s="599"/>
    </row>
    <row r="11" spans="1:15" s="578" customFormat="1" ht="22.5" customHeight="1" x14ac:dyDescent="0.25">
      <c r="C11" s="578" t="s">
        <v>621</v>
      </c>
      <c r="D11" s="599"/>
      <c r="E11" s="578" t="s">
        <v>1884</v>
      </c>
      <c r="F11" s="656" t="e">
        <f>D7+D8</f>
        <v>#REF!</v>
      </c>
      <c r="G11" s="656" t="e">
        <f>F11-F19</f>
        <v>#REF!</v>
      </c>
      <c r="H11" s="599"/>
    </row>
    <row r="12" spans="1:15" ht="60" x14ac:dyDescent="0.25">
      <c r="C12" s="581" t="s">
        <v>1957</v>
      </c>
      <c r="D12" s="600" t="s">
        <v>1946</v>
      </c>
      <c r="E12" s="583" t="s">
        <v>1958</v>
      </c>
      <c r="F12" s="584" t="s">
        <v>1948</v>
      </c>
      <c r="G12" s="601" t="s">
        <v>50</v>
      </c>
      <c r="H12" s="601" t="s">
        <v>1959</v>
      </c>
      <c r="I12" s="581" t="s">
        <v>281</v>
      </c>
    </row>
    <row r="13" spans="1:15" ht="45" customHeight="1" x14ac:dyDescent="0.25">
      <c r="B13" s="578" t="s">
        <v>1883</v>
      </c>
      <c r="C13" s="31" t="s">
        <v>1960</v>
      </c>
      <c r="D13" s="588">
        <f>SUMIFS('Variation Register'!AF:AF,'Variation Register'!O:O,$C$10,'Variation Register'!P:P,B13)</f>
        <v>7225273.8176668035</v>
      </c>
      <c r="E13" s="588">
        <f>SUMIFS('Variation Register'!AF:AF,'Variation Register'!O:O,$C$10,'Variation Register'!P:P,E11)</f>
        <v>-132535</v>
      </c>
      <c r="F13" s="589">
        <f>D13+E13</f>
        <v>7092738.8176668035</v>
      </c>
      <c r="G13" s="590">
        <v>0</v>
      </c>
      <c r="H13" s="590">
        <f>614033.32+15918.93+692588</f>
        <v>1322540.25</v>
      </c>
      <c r="I13" s="587"/>
    </row>
    <row r="14" spans="1:15" ht="60" x14ac:dyDescent="0.25">
      <c r="B14" s="578" t="s">
        <v>1886</v>
      </c>
      <c r="C14" s="31" t="s">
        <v>1961</v>
      </c>
      <c r="D14" s="588">
        <f>SUMIFS('Variation Register'!AF:AF,'Variation Register'!O:O,$C$10,'Variation Register'!P:P,B14)</f>
        <v>3244721.21</v>
      </c>
      <c r="E14" s="588">
        <f>SUMIFS('Variation Register'!AF:AF,'Variation Register'!O:O,$C$10,'Variation Register'!P:P,E10)</f>
        <v>3778640.52</v>
      </c>
      <c r="F14" s="589">
        <f>D14+E14</f>
        <v>7023361.7300000004</v>
      </c>
      <c r="G14" s="590">
        <v>0</v>
      </c>
      <c r="H14" s="590">
        <f>250000+3130935+104363+292816+56733.92</f>
        <v>3834847.92</v>
      </c>
      <c r="I14" s="31" t="s">
        <v>1962</v>
      </c>
    </row>
    <row r="15" spans="1:15" ht="32.25" customHeight="1" x14ac:dyDescent="0.25">
      <c r="C15" s="587" t="s">
        <v>1963</v>
      </c>
      <c r="D15" s="588" t="s">
        <v>1964</v>
      </c>
      <c r="E15" s="588"/>
      <c r="F15" s="589"/>
      <c r="G15" s="590" t="s">
        <v>1965</v>
      </c>
      <c r="H15" s="590" t="s">
        <v>49</v>
      </c>
      <c r="I15" s="31" t="s">
        <v>1966</v>
      </c>
    </row>
    <row r="16" spans="1:15" ht="22.5" customHeight="1" x14ac:dyDescent="0.25">
      <c r="C16" s="587" t="s">
        <v>1967</v>
      </c>
      <c r="D16" s="588">
        <f>'EOT Status - Summary'!H29</f>
        <v>25990196.309999999</v>
      </c>
      <c r="E16" s="588"/>
      <c r="F16" s="589">
        <f>D16+E16</f>
        <v>25990196.309999999</v>
      </c>
      <c r="G16" s="590"/>
      <c r="H16" s="590"/>
      <c r="I16" s="587" t="s">
        <v>1968</v>
      </c>
    </row>
    <row r="17" spans="2:9" ht="22.5" customHeight="1" x14ac:dyDescent="0.25">
      <c r="B17" s="578" t="s">
        <v>1969</v>
      </c>
      <c r="C17" s="602" t="s">
        <v>1970</v>
      </c>
      <c r="D17" s="588">
        <f>SUMIFS('Variation Register'!AF:AF,'Variation Register'!O:O,$C$10,'Variation Register'!P:P,B17)</f>
        <v>3749779.57</v>
      </c>
      <c r="E17" s="588"/>
      <c r="F17" s="603">
        <f>D17+E17</f>
        <v>3749779.57</v>
      </c>
      <c r="G17" s="604">
        <v>0</v>
      </c>
      <c r="H17" s="604">
        <v>0</v>
      </c>
      <c r="I17" s="602" t="s">
        <v>1971</v>
      </c>
    </row>
    <row r="18" spans="2:9" ht="30.75" thickBot="1" x14ac:dyDescent="0.3">
      <c r="B18" s="578" t="s">
        <v>1888</v>
      </c>
      <c r="C18" s="605" t="s">
        <v>1973</v>
      </c>
      <c r="D18" s="592">
        <f>SUMIFS('Variation Register'!AF:AF,'Variation Register'!O:O,$C$10,'Variation Register'!P:P,B18)</f>
        <v>9581011.4499999993</v>
      </c>
      <c r="E18" s="592"/>
      <c r="F18" s="606">
        <f>D18+E18</f>
        <v>9581011.4499999993</v>
      </c>
      <c r="G18" s="607">
        <v>0</v>
      </c>
      <c r="H18" s="607">
        <v>0</v>
      </c>
      <c r="I18" s="634" t="s">
        <v>1978</v>
      </c>
    </row>
    <row r="19" spans="2:9" ht="22.5" customHeight="1" thickBot="1" x14ac:dyDescent="0.3">
      <c r="C19" s="608" t="s">
        <v>1974</v>
      </c>
      <c r="D19" s="609">
        <f>D18+D17+D14+D13+D16</f>
        <v>49790982.357666805</v>
      </c>
      <c r="E19" s="609">
        <f>E18+E17+E14+E13+E16</f>
        <v>3646105.52</v>
      </c>
      <c r="F19" s="610">
        <f>F18+F17+F14+F13+F16</f>
        <v>53437087.877666801</v>
      </c>
      <c r="G19" s="611">
        <f>G18+G17+G14+G13</f>
        <v>0</v>
      </c>
      <c r="H19" s="611">
        <f>H18+H17+H14+H13</f>
        <v>5157388.17</v>
      </c>
      <c r="I19" s="612"/>
    </row>
    <row r="20" spans="2:9" s="578" customFormat="1" ht="22.5" customHeight="1" x14ac:dyDescent="0.25">
      <c r="C20" s="578" t="s">
        <v>622</v>
      </c>
      <c r="D20" s="599"/>
      <c r="E20" s="578" t="s">
        <v>1885</v>
      </c>
      <c r="G20" s="599"/>
      <c r="H20" s="599"/>
    </row>
    <row r="21" spans="2:9" s="578" customFormat="1" ht="22.5" customHeight="1" x14ac:dyDescent="0.25">
      <c r="C21" s="578" t="s">
        <v>621</v>
      </c>
      <c r="D21" s="599"/>
      <c r="E21" s="578" t="s">
        <v>1884</v>
      </c>
      <c r="G21" s="599"/>
      <c r="H21" s="599"/>
    </row>
    <row r="22" spans="2:9" ht="60" x14ac:dyDescent="0.25">
      <c r="C22" s="581" t="s">
        <v>1975</v>
      </c>
      <c r="D22" s="600" t="s">
        <v>1946</v>
      </c>
      <c r="E22" s="583" t="s">
        <v>1976</v>
      </c>
      <c r="F22" s="584" t="s">
        <v>1948</v>
      </c>
      <c r="G22" s="601" t="s">
        <v>50</v>
      </c>
      <c r="H22" s="601" t="s">
        <v>1959</v>
      </c>
      <c r="I22" s="581"/>
    </row>
    <row r="23" spans="2:9" ht="22.5" customHeight="1" x14ac:dyDescent="0.25">
      <c r="B23" s="578" t="s">
        <v>1883</v>
      </c>
      <c r="C23" s="587" t="s">
        <v>1977</v>
      </c>
      <c r="D23" s="588">
        <f>SUMIFS('Variation Register'!AF:AF,'Variation Register'!O:O,C21,'Variation Register'!P:P,B23)</f>
        <v>545896.04</v>
      </c>
      <c r="E23" s="588" t="e">
        <f>SUMIFS('[1]Variation Register'!AC:AC,'[1]Variation Register'!I:I,'VO Status - Client Summary'!$C$21,'[1]Variation Register'!J:J,'VO Status - Client Summary'!E20)</f>
        <v>#VALUE!</v>
      </c>
      <c r="F23" s="589" t="e">
        <f>D23+E23</f>
        <v>#VALUE!</v>
      </c>
      <c r="G23" s="590">
        <v>0</v>
      </c>
      <c r="H23" s="590">
        <v>0</v>
      </c>
      <c r="I23" s="587"/>
    </row>
    <row r="24" spans="2:9" ht="22.5" customHeight="1" x14ac:dyDescent="0.25">
      <c r="B24" s="578" t="s">
        <v>1886</v>
      </c>
      <c r="C24" s="587" t="s">
        <v>1961</v>
      </c>
      <c r="D24" s="588">
        <f>SUMIFS('Variation Register'!AF:AF,'Variation Register'!O:O,C21,'Variation Register'!P:P,'[4]VO Status - Summary'!B24)</f>
        <v>0</v>
      </c>
      <c r="E24" s="588" t="e">
        <f>SUMIFS('[1]Variation Register'!AC:AC,'[1]Variation Register'!I:I,'VO Status - Client Summary'!$C$21,'[1]Variation Register'!J:J,'VO Status - Client Summary'!E22)</f>
        <v>#VALUE!</v>
      </c>
      <c r="F24" s="589" t="e">
        <f>D24+E24</f>
        <v>#VALUE!</v>
      </c>
      <c r="G24" s="590">
        <v>0</v>
      </c>
      <c r="H24" s="590">
        <v>0</v>
      </c>
      <c r="I24" s="587"/>
    </row>
    <row r="25" spans="2:9" ht="22.5" customHeight="1" x14ac:dyDescent="0.25">
      <c r="C25" s="587" t="s">
        <v>1963</v>
      </c>
      <c r="D25" s="588"/>
      <c r="E25" s="588"/>
      <c r="F25" s="589"/>
      <c r="G25" s="590"/>
      <c r="H25" s="590">
        <v>0</v>
      </c>
      <c r="I25" s="587"/>
    </row>
    <row r="26" spans="2:9" ht="22.5" customHeight="1" x14ac:dyDescent="0.25">
      <c r="C26" s="587" t="s">
        <v>1967</v>
      </c>
      <c r="D26" s="588"/>
      <c r="E26" s="588"/>
      <c r="F26" s="589">
        <f>D26+E26</f>
        <v>0</v>
      </c>
      <c r="G26" s="590"/>
      <c r="H26" s="590">
        <v>0</v>
      </c>
      <c r="I26" s="587"/>
    </row>
    <row r="27" spans="2:9" ht="22.5" customHeight="1" x14ac:dyDescent="0.25">
      <c r="B27" s="578" t="s">
        <v>1969</v>
      </c>
      <c r="C27" s="602" t="s">
        <v>1970</v>
      </c>
      <c r="D27" s="588">
        <v>0</v>
      </c>
      <c r="E27" s="588"/>
      <c r="F27" s="589">
        <f>D27+E27</f>
        <v>0</v>
      </c>
      <c r="G27" s="604">
        <v>0</v>
      </c>
      <c r="H27" s="604">
        <v>0</v>
      </c>
      <c r="I27" s="587"/>
    </row>
    <row r="28" spans="2:9" ht="33" customHeight="1" thickBot="1" x14ac:dyDescent="0.3">
      <c r="B28" s="578" t="s">
        <v>1972</v>
      </c>
      <c r="C28" s="613" t="s">
        <v>1973</v>
      </c>
      <c r="D28" s="614">
        <v>0</v>
      </c>
      <c r="E28" s="614"/>
      <c r="F28" s="615">
        <f>D28+E28</f>
        <v>0</v>
      </c>
      <c r="G28" s="616">
        <v>0</v>
      </c>
      <c r="H28" s="616">
        <v>0</v>
      </c>
      <c r="I28" s="617"/>
    </row>
    <row r="29" spans="2:9" ht="22.5" customHeight="1" thickBot="1" x14ac:dyDescent="0.3">
      <c r="C29" s="618" t="s">
        <v>1979</v>
      </c>
      <c r="D29" s="619">
        <f>D28+D27+D24+D23+D26</f>
        <v>545896.04</v>
      </c>
      <c r="E29" s="619" t="e">
        <f>E28+E27+E24+E23+E26</f>
        <v>#VALUE!</v>
      </c>
      <c r="F29" s="620" t="e">
        <f>F28+F27+F24+F23+F26</f>
        <v>#VALUE!</v>
      </c>
      <c r="G29" s="621">
        <f t="shared" ref="G29:H29" si="0">G28+G27+G24+G23</f>
        <v>0</v>
      </c>
      <c r="H29" s="621">
        <f t="shared" si="0"/>
        <v>0</v>
      </c>
      <c r="I29" s="622"/>
    </row>
    <row r="30" spans="2:9" ht="22.5" customHeight="1" x14ac:dyDescent="0.25">
      <c r="C30" s="623"/>
      <c r="D30" s="624"/>
      <c r="E30" s="624"/>
      <c r="F30" s="625"/>
      <c r="G30" s="626"/>
      <c r="H30" s="626"/>
    </row>
    <row r="31" spans="2:9" ht="22.5" customHeight="1" x14ac:dyDescent="0.25">
      <c r="C31" s="627" t="s">
        <v>1980</v>
      </c>
      <c r="D31" s="628">
        <f>D29+D19</f>
        <v>50336878.397666804</v>
      </c>
      <c r="E31" s="628" t="e">
        <f>E29+E19</f>
        <v>#VALUE!</v>
      </c>
      <c r="F31" s="629" t="e">
        <f>F29+F19</f>
        <v>#VALUE!</v>
      </c>
      <c r="G31" s="630">
        <f>G29+G19</f>
        <v>0</v>
      </c>
      <c r="H31" s="630">
        <f>H29+H19</f>
        <v>5157388.17</v>
      </c>
      <c r="I31" s="627"/>
    </row>
    <row r="34" spans="4:6" x14ac:dyDescent="0.25">
      <c r="D34" s="631"/>
      <c r="E34" s="631"/>
      <c r="F34" s="631"/>
    </row>
  </sheetData>
  <pageMargins left="0.70866141732283472" right="0.70866141732283472" top="0.74803149606299213" bottom="0.74803149606299213" header="0.31496062992125984" footer="0.31496062992125984"/>
  <pageSetup paperSize="9" scale="58"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4C97C-E4EF-4231-9A5F-3B7159EBE561}">
  <sheetPr codeName="Sheet7"/>
  <dimension ref="B3:M30"/>
  <sheetViews>
    <sheetView zoomScaleNormal="100" workbookViewId="0">
      <pane xSplit="2" ySplit="3" topLeftCell="D4" activePane="bottomRight" state="frozen"/>
      <selection pane="topRight" activeCell="C1" sqref="C1"/>
      <selection pane="bottomLeft" activeCell="A4" sqref="A4"/>
      <selection pane="bottomRight" activeCell="M22" sqref="M22"/>
    </sheetView>
  </sheetViews>
  <sheetFormatPr defaultColWidth="9.140625" defaultRowHeight="15" x14ac:dyDescent="0.25"/>
  <cols>
    <col min="2" max="2" width="24" customWidth="1"/>
    <col min="3" max="3" width="14.5703125" customWidth="1"/>
    <col min="4" max="6" width="13.28515625" customWidth="1"/>
    <col min="7" max="7" width="12.28515625" customWidth="1"/>
    <col min="8" max="8" width="15" bestFit="1" customWidth="1"/>
    <col min="9" max="9" width="9.7109375" bestFit="1" customWidth="1"/>
    <col min="10" max="10" width="13.85546875" customWidth="1"/>
    <col min="11" max="12" width="18.85546875" customWidth="1"/>
    <col min="13" max="13" width="23" bestFit="1" customWidth="1"/>
    <col min="14" max="14" width="4" customWidth="1"/>
  </cols>
  <sheetData>
    <row r="3" spans="2:13" ht="45" x14ac:dyDescent="0.25">
      <c r="B3" s="40" t="s">
        <v>1981</v>
      </c>
      <c r="C3" s="40" t="s">
        <v>1982</v>
      </c>
      <c r="D3" s="40" t="s">
        <v>1983</v>
      </c>
      <c r="E3" s="40" t="s">
        <v>1984</v>
      </c>
      <c r="F3" s="40" t="s">
        <v>1985</v>
      </c>
      <c r="G3" s="40" t="s">
        <v>1882</v>
      </c>
      <c r="H3" s="40" t="s">
        <v>1986</v>
      </c>
      <c r="I3" s="40" t="s">
        <v>1987</v>
      </c>
      <c r="J3" s="40" t="s">
        <v>1988</v>
      </c>
      <c r="K3" s="40" t="s">
        <v>1989</v>
      </c>
      <c r="L3" s="632" t="s">
        <v>1990</v>
      </c>
      <c r="M3" s="632" t="s">
        <v>281</v>
      </c>
    </row>
    <row r="4" spans="2:13" x14ac:dyDescent="0.25">
      <c r="B4" s="587" t="s">
        <v>1991</v>
      </c>
      <c r="C4" s="587" t="s">
        <v>740</v>
      </c>
      <c r="D4" s="587" t="s">
        <v>740</v>
      </c>
      <c r="E4" s="587">
        <v>0</v>
      </c>
      <c r="F4" s="587" t="s">
        <v>49</v>
      </c>
      <c r="G4" s="587" t="s">
        <v>49</v>
      </c>
      <c r="H4" s="19" t="s">
        <v>49</v>
      </c>
      <c r="I4" s="19" t="s">
        <v>49</v>
      </c>
      <c r="J4" s="587" t="s">
        <v>49</v>
      </c>
      <c r="K4" s="587" t="s">
        <v>49</v>
      </c>
      <c r="L4" s="587"/>
      <c r="M4" s="587" t="s">
        <v>1992</v>
      </c>
    </row>
    <row r="5" spans="2:13" x14ac:dyDescent="0.25">
      <c r="B5" s="587" t="s">
        <v>1993</v>
      </c>
      <c r="C5" s="587" t="s">
        <v>740</v>
      </c>
      <c r="D5" s="587" t="s">
        <v>740</v>
      </c>
      <c r="E5" s="587">
        <v>0</v>
      </c>
      <c r="F5" s="587" t="s">
        <v>49</v>
      </c>
      <c r="G5" s="587" t="s">
        <v>49</v>
      </c>
      <c r="H5" s="19" t="s">
        <v>49</v>
      </c>
      <c r="I5" s="19" t="s">
        <v>49</v>
      </c>
      <c r="J5" s="587" t="s">
        <v>49</v>
      </c>
      <c r="K5" s="587" t="s">
        <v>49</v>
      </c>
      <c r="L5" s="587"/>
      <c r="M5" s="587" t="s">
        <v>1994</v>
      </c>
    </row>
    <row r="6" spans="2:13" x14ac:dyDescent="0.25">
      <c r="B6" s="587" t="s">
        <v>1995</v>
      </c>
      <c r="C6" s="587" t="s">
        <v>731</v>
      </c>
      <c r="D6" s="587" t="s">
        <v>731</v>
      </c>
      <c r="E6" s="587">
        <v>27</v>
      </c>
      <c r="F6" s="587" t="s">
        <v>622</v>
      </c>
      <c r="G6" s="587" t="s">
        <v>1883</v>
      </c>
      <c r="H6" s="19" t="s">
        <v>49</v>
      </c>
      <c r="I6" s="19" t="s">
        <v>49</v>
      </c>
      <c r="J6" s="587" t="s">
        <v>49</v>
      </c>
      <c r="K6" s="587" t="s">
        <v>49</v>
      </c>
      <c r="L6" s="587"/>
      <c r="M6" s="587" t="s">
        <v>1996</v>
      </c>
    </row>
    <row r="7" spans="2:13" x14ac:dyDescent="0.25">
      <c r="B7" s="587" t="s">
        <v>1997</v>
      </c>
      <c r="C7" s="587" t="s">
        <v>740</v>
      </c>
      <c r="D7" s="587" t="s">
        <v>740</v>
      </c>
      <c r="E7" s="587">
        <v>0</v>
      </c>
      <c r="F7" s="587" t="s">
        <v>49</v>
      </c>
      <c r="G7" s="587" t="s">
        <v>49</v>
      </c>
      <c r="H7" s="19" t="s">
        <v>49</v>
      </c>
      <c r="I7" s="19" t="s">
        <v>49</v>
      </c>
      <c r="J7" s="587" t="s">
        <v>49</v>
      </c>
      <c r="K7" s="587" t="s">
        <v>49</v>
      </c>
      <c r="L7" s="587"/>
      <c r="M7" s="587" t="s">
        <v>1996</v>
      </c>
    </row>
    <row r="8" spans="2:13" x14ac:dyDescent="0.25">
      <c r="B8" s="587" t="s">
        <v>1998</v>
      </c>
      <c r="C8" s="587" t="s">
        <v>731</v>
      </c>
      <c r="D8" s="587" t="s">
        <v>731</v>
      </c>
      <c r="E8" s="587">
        <v>181</v>
      </c>
      <c r="F8" s="587" t="s">
        <v>622</v>
      </c>
      <c r="G8" s="587" t="s">
        <v>1883</v>
      </c>
      <c r="H8" s="19">
        <v>243334.95</v>
      </c>
      <c r="I8" s="19">
        <v>0</v>
      </c>
      <c r="J8" s="587" t="s">
        <v>1886</v>
      </c>
      <c r="K8" s="587" t="s">
        <v>622</v>
      </c>
      <c r="L8" s="587"/>
      <c r="M8" s="587" t="s">
        <v>1999</v>
      </c>
    </row>
    <row r="9" spans="2:13" x14ac:dyDescent="0.25">
      <c r="B9" s="587" t="s">
        <v>2000</v>
      </c>
      <c r="C9" s="587" t="s">
        <v>731</v>
      </c>
      <c r="D9" s="587" t="s">
        <v>731</v>
      </c>
      <c r="E9" s="587">
        <v>52</v>
      </c>
      <c r="F9" s="587" t="s">
        <v>622</v>
      </c>
      <c r="G9" s="587" t="s">
        <v>1883</v>
      </c>
      <c r="H9" s="19" t="s">
        <v>49</v>
      </c>
      <c r="I9" s="19" t="s">
        <v>49</v>
      </c>
      <c r="J9" s="587" t="s">
        <v>49</v>
      </c>
      <c r="K9" s="587" t="s">
        <v>49</v>
      </c>
      <c r="L9" s="587"/>
      <c r="M9" s="587" t="s">
        <v>2001</v>
      </c>
    </row>
    <row r="10" spans="2:13" x14ac:dyDescent="0.25">
      <c r="B10" s="587" t="s">
        <v>2002</v>
      </c>
      <c r="C10" s="587" t="s">
        <v>731</v>
      </c>
      <c r="D10" s="587" t="s">
        <v>731</v>
      </c>
      <c r="E10" s="587">
        <v>181</v>
      </c>
      <c r="F10" s="587" t="s">
        <v>622</v>
      </c>
      <c r="G10" s="587" t="s">
        <v>1883</v>
      </c>
      <c r="H10" s="19">
        <v>5518459.8600000003</v>
      </c>
      <c r="I10" s="19">
        <v>0</v>
      </c>
      <c r="J10" s="587" t="s">
        <v>1886</v>
      </c>
      <c r="K10" s="587" t="s">
        <v>622</v>
      </c>
      <c r="L10" s="587"/>
      <c r="M10" s="587"/>
    </row>
    <row r="11" spans="2:13" x14ac:dyDescent="0.25">
      <c r="B11" s="587" t="s">
        <v>2003</v>
      </c>
      <c r="C11" s="587" t="s">
        <v>731</v>
      </c>
      <c r="D11" s="587" t="s">
        <v>731</v>
      </c>
      <c r="E11" s="587">
        <v>164</v>
      </c>
      <c r="F11" s="587" t="s">
        <v>622</v>
      </c>
      <c r="G11" s="587" t="s">
        <v>1883</v>
      </c>
      <c r="H11" s="19">
        <v>18218437.260000002</v>
      </c>
      <c r="I11" s="19">
        <v>0</v>
      </c>
      <c r="J11" s="587" t="s">
        <v>1886</v>
      </c>
      <c r="K11" s="587" t="s">
        <v>622</v>
      </c>
      <c r="L11" s="587"/>
      <c r="M11" s="587" t="s">
        <v>2004</v>
      </c>
    </row>
    <row r="12" spans="2:13" x14ac:dyDescent="0.25">
      <c r="B12" s="587" t="s">
        <v>2005</v>
      </c>
      <c r="C12" s="587" t="s">
        <v>740</v>
      </c>
      <c r="D12" s="587" t="s">
        <v>740</v>
      </c>
      <c r="E12" s="587">
        <v>0</v>
      </c>
      <c r="F12" s="587" t="s">
        <v>49</v>
      </c>
      <c r="G12" s="587" t="s">
        <v>49</v>
      </c>
      <c r="H12" s="19" t="s">
        <v>49</v>
      </c>
      <c r="I12" s="19" t="s">
        <v>49</v>
      </c>
      <c r="J12" s="587" t="s">
        <v>49</v>
      </c>
      <c r="K12" s="587" t="s">
        <v>49</v>
      </c>
      <c r="L12" s="587"/>
      <c r="M12" s="587" t="s">
        <v>2006</v>
      </c>
    </row>
    <row r="13" spans="2:13" x14ac:dyDescent="0.25">
      <c r="B13" s="587" t="s">
        <v>1245</v>
      </c>
      <c r="C13" s="587" t="s">
        <v>731</v>
      </c>
      <c r="D13" s="587" t="s">
        <v>731</v>
      </c>
      <c r="E13" s="587">
        <f>99+15</f>
        <v>114</v>
      </c>
      <c r="F13" s="587" t="s">
        <v>622</v>
      </c>
      <c r="G13" s="587" t="s">
        <v>1883</v>
      </c>
      <c r="H13" s="19">
        <v>2009964.24</v>
      </c>
      <c r="I13" s="19">
        <v>0</v>
      </c>
      <c r="J13" s="587" t="s">
        <v>1886</v>
      </c>
      <c r="K13" s="587" t="s">
        <v>622</v>
      </c>
      <c r="L13" s="587" t="s">
        <v>731</v>
      </c>
      <c r="M13" s="587"/>
    </row>
    <row r="14" spans="2:13" x14ac:dyDescent="0.25">
      <c r="B14" s="587" t="s">
        <v>1335</v>
      </c>
      <c r="C14" s="587" t="s">
        <v>731</v>
      </c>
      <c r="D14" s="587" t="s">
        <v>731</v>
      </c>
      <c r="E14" s="587">
        <v>136</v>
      </c>
      <c r="F14" s="587" t="s">
        <v>622</v>
      </c>
      <c r="G14" s="587" t="s">
        <v>1886</v>
      </c>
      <c r="H14" s="19" t="s">
        <v>25</v>
      </c>
      <c r="I14" s="19" t="s">
        <v>25</v>
      </c>
      <c r="J14" s="587" t="s">
        <v>49</v>
      </c>
      <c r="K14" s="587" t="s">
        <v>621</v>
      </c>
      <c r="L14" s="587"/>
      <c r="M14" s="587"/>
    </row>
    <row r="15" spans="2:13" x14ac:dyDescent="0.25">
      <c r="B15" s="587" t="s">
        <v>1433</v>
      </c>
      <c r="C15" s="587" t="s">
        <v>731</v>
      </c>
      <c r="D15" s="587" t="s">
        <v>740</v>
      </c>
      <c r="E15" s="587"/>
      <c r="F15" s="587" t="s">
        <v>621</v>
      </c>
      <c r="G15" s="587" t="s">
        <v>49</v>
      </c>
      <c r="H15" s="19"/>
      <c r="I15" s="19"/>
      <c r="J15" s="587" t="s">
        <v>49</v>
      </c>
      <c r="K15" s="587" t="s">
        <v>621</v>
      </c>
      <c r="L15" s="587" t="s">
        <v>731</v>
      </c>
      <c r="M15" s="587"/>
    </row>
    <row r="16" spans="2:13" x14ac:dyDescent="0.25">
      <c r="B16" s="587" t="s">
        <v>2007</v>
      </c>
      <c r="C16" s="587" t="s">
        <v>731</v>
      </c>
      <c r="D16" s="587" t="s">
        <v>731</v>
      </c>
      <c r="E16" s="587">
        <v>110</v>
      </c>
      <c r="F16" s="587" t="s">
        <v>622</v>
      </c>
      <c r="G16" s="587" t="s">
        <v>1883</v>
      </c>
      <c r="H16" s="19" t="s">
        <v>25</v>
      </c>
      <c r="I16" s="19" t="s">
        <v>25</v>
      </c>
      <c r="J16" s="587" t="s">
        <v>49</v>
      </c>
      <c r="K16" s="587" t="s">
        <v>621</v>
      </c>
      <c r="L16" s="587"/>
      <c r="M16" s="587"/>
    </row>
    <row r="17" spans="2:13" x14ac:dyDescent="0.25">
      <c r="B17" s="587" t="s">
        <v>2008</v>
      </c>
      <c r="C17" s="587" t="s">
        <v>731</v>
      </c>
      <c r="D17" s="587" t="s">
        <v>731</v>
      </c>
      <c r="E17" s="587">
        <v>218</v>
      </c>
      <c r="F17" s="587" t="s">
        <v>622</v>
      </c>
      <c r="G17" s="587" t="s">
        <v>1883</v>
      </c>
      <c r="H17" s="19" t="s">
        <v>25</v>
      </c>
      <c r="I17" s="19" t="s">
        <v>25</v>
      </c>
      <c r="J17" s="587" t="s">
        <v>49</v>
      </c>
      <c r="K17" s="587" t="s">
        <v>621</v>
      </c>
      <c r="L17" s="587"/>
      <c r="M17" s="587"/>
    </row>
    <row r="18" spans="2:13" x14ac:dyDescent="0.25">
      <c r="B18" s="587" t="s">
        <v>2009</v>
      </c>
      <c r="C18" s="587" t="s">
        <v>731</v>
      </c>
      <c r="D18" s="587" t="s">
        <v>740</v>
      </c>
      <c r="E18" s="587"/>
      <c r="F18" s="587" t="s">
        <v>621</v>
      </c>
      <c r="G18" s="587" t="s">
        <v>49</v>
      </c>
      <c r="H18" s="19"/>
      <c r="I18" s="19"/>
      <c r="J18" s="587" t="s">
        <v>49</v>
      </c>
      <c r="K18" s="587" t="s">
        <v>621</v>
      </c>
      <c r="L18" s="587"/>
      <c r="M18" s="587"/>
    </row>
    <row r="19" spans="2:13" x14ac:dyDescent="0.25">
      <c r="B19" s="587" t="s">
        <v>1624</v>
      </c>
      <c r="C19" s="587" t="s">
        <v>731</v>
      </c>
      <c r="D19" s="587" t="s">
        <v>731</v>
      </c>
      <c r="E19" s="587">
        <v>51</v>
      </c>
      <c r="F19" s="587" t="s">
        <v>622</v>
      </c>
      <c r="G19" s="587" t="s">
        <v>1883</v>
      </c>
      <c r="H19" s="19" t="s">
        <v>25</v>
      </c>
      <c r="I19" s="19" t="s">
        <v>25</v>
      </c>
      <c r="J19" s="587" t="s">
        <v>49</v>
      </c>
      <c r="K19" s="587" t="s">
        <v>621</v>
      </c>
      <c r="L19" s="587"/>
      <c r="M19" s="587" t="s">
        <v>2010</v>
      </c>
    </row>
    <row r="20" spans="2:13" x14ac:dyDescent="0.25">
      <c r="B20" s="587" t="s">
        <v>2011</v>
      </c>
      <c r="C20" s="587" t="s">
        <v>740</v>
      </c>
      <c r="D20" s="587" t="s">
        <v>740</v>
      </c>
      <c r="E20" s="587">
        <v>0</v>
      </c>
      <c r="F20" s="587" t="s">
        <v>49</v>
      </c>
      <c r="G20" s="587" t="s">
        <v>49</v>
      </c>
      <c r="H20" s="19" t="s">
        <v>49</v>
      </c>
      <c r="I20" s="19" t="s">
        <v>49</v>
      </c>
      <c r="J20" s="587" t="s">
        <v>49</v>
      </c>
      <c r="K20" s="587" t="s">
        <v>49</v>
      </c>
      <c r="L20" s="587"/>
      <c r="M20" s="587" t="s">
        <v>2012</v>
      </c>
    </row>
    <row r="21" spans="2:13" x14ac:dyDescent="0.25">
      <c r="B21" s="587" t="s">
        <v>2013</v>
      </c>
      <c r="C21" s="587" t="s">
        <v>740</v>
      </c>
      <c r="D21" s="587" t="s">
        <v>740</v>
      </c>
      <c r="E21" s="587"/>
      <c r="F21" s="587" t="s">
        <v>621</v>
      </c>
      <c r="G21" s="587" t="s">
        <v>49</v>
      </c>
      <c r="H21" s="19"/>
      <c r="I21" s="19"/>
      <c r="J21" s="587" t="s">
        <v>49</v>
      </c>
      <c r="K21" s="587" t="s">
        <v>621</v>
      </c>
      <c r="L21" s="587"/>
      <c r="M21" s="587" t="s">
        <v>2014</v>
      </c>
    </row>
    <row r="22" spans="2:13" x14ac:dyDescent="0.25">
      <c r="B22" s="587" t="s">
        <v>2015</v>
      </c>
      <c r="C22" s="587" t="s">
        <v>731</v>
      </c>
      <c r="D22" s="587" t="s">
        <v>731</v>
      </c>
      <c r="E22" s="587">
        <f>139+7</f>
        <v>146</v>
      </c>
      <c r="F22" s="587" t="s">
        <v>622</v>
      </c>
      <c r="G22" s="587" t="s">
        <v>1883</v>
      </c>
      <c r="H22" s="19" t="s">
        <v>25</v>
      </c>
      <c r="I22" s="19" t="s">
        <v>25</v>
      </c>
      <c r="J22" s="587" t="s">
        <v>49</v>
      </c>
      <c r="K22" s="587" t="s">
        <v>621</v>
      </c>
      <c r="L22" s="587" t="s">
        <v>731</v>
      </c>
      <c r="M22" s="587"/>
    </row>
    <row r="23" spans="2:13" x14ac:dyDescent="0.25">
      <c r="B23" s="587" t="s">
        <v>2016</v>
      </c>
      <c r="C23" s="587" t="s">
        <v>731</v>
      </c>
      <c r="D23" s="587" t="s">
        <v>731</v>
      </c>
      <c r="E23" s="587">
        <v>75</v>
      </c>
      <c r="F23" s="587" t="s">
        <v>622</v>
      </c>
      <c r="G23" s="587" t="s">
        <v>1886</v>
      </c>
      <c r="H23" s="19" t="s">
        <v>25</v>
      </c>
      <c r="I23" s="19" t="s">
        <v>25</v>
      </c>
      <c r="J23" s="587" t="s">
        <v>49</v>
      </c>
      <c r="K23" s="587" t="s">
        <v>621</v>
      </c>
      <c r="L23" s="587"/>
      <c r="M23" s="587"/>
    </row>
    <row r="24" spans="2:13" x14ac:dyDescent="0.25">
      <c r="B24" s="587" t="s">
        <v>2017</v>
      </c>
      <c r="C24" s="587" t="s">
        <v>731</v>
      </c>
      <c r="D24" s="587" t="s">
        <v>731</v>
      </c>
      <c r="E24" s="587">
        <f>161+25</f>
        <v>186</v>
      </c>
      <c r="F24" s="587" t="s">
        <v>622</v>
      </c>
      <c r="G24" s="587" t="s">
        <v>1883</v>
      </c>
      <c r="H24" s="19" t="s">
        <v>25</v>
      </c>
      <c r="I24" s="19" t="s">
        <v>25</v>
      </c>
      <c r="J24" s="587" t="s">
        <v>49</v>
      </c>
      <c r="K24" s="587" t="s">
        <v>621</v>
      </c>
      <c r="L24" s="587" t="s">
        <v>731</v>
      </c>
      <c r="M24" s="587"/>
    </row>
    <row r="25" spans="2:13" x14ac:dyDescent="0.25">
      <c r="B25" s="587" t="s">
        <v>2018</v>
      </c>
      <c r="C25" s="587" t="s">
        <v>731</v>
      </c>
      <c r="D25" s="587" t="s">
        <v>731</v>
      </c>
      <c r="E25" s="587">
        <v>127</v>
      </c>
      <c r="F25" s="587" t="s">
        <v>622</v>
      </c>
      <c r="G25" s="587" t="s">
        <v>1886</v>
      </c>
      <c r="H25" s="19" t="s">
        <v>25</v>
      </c>
      <c r="I25" s="19" t="s">
        <v>25</v>
      </c>
      <c r="J25" s="587" t="s">
        <v>49</v>
      </c>
      <c r="K25" s="587" t="s">
        <v>621</v>
      </c>
      <c r="L25" s="587"/>
      <c r="M25" s="587"/>
    </row>
    <row r="26" spans="2:13" x14ac:dyDescent="0.25">
      <c r="B26" s="587" t="s">
        <v>2019</v>
      </c>
      <c r="C26" s="587" t="s">
        <v>731</v>
      </c>
      <c r="D26" s="587" t="s">
        <v>731</v>
      </c>
      <c r="E26" s="587">
        <v>6</v>
      </c>
      <c r="F26" s="587" t="s">
        <v>622</v>
      </c>
      <c r="G26" s="587" t="s">
        <v>1886</v>
      </c>
      <c r="H26" s="19" t="s">
        <v>25</v>
      </c>
      <c r="I26" s="19" t="s">
        <v>25</v>
      </c>
      <c r="J26" s="587" t="s">
        <v>49</v>
      </c>
      <c r="K26" s="587" t="s">
        <v>621</v>
      </c>
      <c r="L26" s="587" t="s">
        <v>731</v>
      </c>
      <c r="M26" s="587"/>
    </row>
    <row r="27" spans="2:13" x14ac:dyDescent="0.25">
      <c r="B27" s="587" t="s">
        <v>2020</v>
      </c>
      <c r="C27" s="587" t="s">
        <v>731</v>
      </c>
      <c r="D27" s="587" t="s">
        <v>731</v>
      </c>
      <c r="E27" s="587">
        <v>6</v>
      </c>
      <c r="F27" s="587" t="s">
        <v>622</v>
      </c>
      <c r="G27" s="587" t="s">
        <v>1886</v>
      </c>
      <c r="H27" s="19" t="s">
        <v>25</v>
      </c>
      <c r="I27" s="19" t="s">
        <v>25</v>
      </c>
      <c r="J27" s="587" t="s">
        <v>49</v>
      </c>
      <c r="K27" s="587" t="s">
        <v>621</v>
      </c>
      <c r="L27" s="587" t="s">
        <v>731</v>
      </c>
      <c r="M27" s="587"/>
    </row>
    <row r="29" spans="2:13" x14ac:dyDescent="0.25">
      <c r="E29" s="633"/>
      <c r="H29" s="19">
        <f>SUM(H4:H27)</f>
        <v>25990196.309999999</v>
      </c>
      <c r="I29" s="19">
        <f>SUM(I4:I27)</f>
        <v>0</v>
      </c>
      <c r="J29" s="572"/>
    </row>
    <row r="30" spans="2:13" x14ac:dyDescent="0.25">
      <c r="E30" s="633"/>
    </row>
  </sheetData>
  <autoFilter ref="B3:N27" xr:uid="{90857AF1-A3E5-4997-AAD3-DCF1BFADF0A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C4DD"/>
    <pageSetUpPr fitToPage="1"/>
  </sheetPr>
  <dimension ref="A1:BG84"/>
  <sheetViews>
    <sheetView view="pageBreakPreview" zoomScale="70" zoomScaleNormal="70" zoomScaleSheetLayoutView="70" zoomScalePageLayoutView="70" workbookViewId="0">
      <pane xSplit="8" ySplit="6" topLeftCell="J20" activePane="bottomRight" state="frozen"/>
      <selection activeCell="T27" sqref="T27"/>
      <selection pane="topRight" activeCell="T27" sqref="T27"/>
      <selection pane="bottomLeft" activeCell="T27" sqref="T27"/>
      <selection pane="bottomRight" activeCell="G3" sqref="G3"/>
    </sheetView>
  </sheetViews>
  <sheetFormatPr defaultColWidth="9.140625" defaultRowHeight="12.75" outlineLevelCol="1" x14ac:dyDescent="0.25"/>
  <cols>
    <col min="1" max="1" width="13.42578125" style="86" customWidth="1"/>
    <col min="2" max="3" width="20.7109375" style="86" hidden="1" customWidth="1" outlineLevel="1"/>
    <col min="4" max="4" width="22.28515625" style="86" hidden="1" customWidth="1" outlineLevel="1"/>
    <col min="5" max="5" width="15.42578125" style="86" hidden="1" customWidth="1" outlineLevel="1"/>
    <col min="6" max="6" width="23.5703125" style="86" hidden="1" customWidth="1" outlineLevel="1"/>
    <col min="7" max="7" width="35.28515625" style="86" customWidth="1" collapsed="1"/>
    <col min="8" max="8" width="39.5703125" style="86" customWidth="1"/>
    <col min="9" max="9" width="19.5703125" style="86" customWidth="1" outlineLevel="1"/>
    <col min="10" max="10" width="19.140625" style="94" customWidth="1" outlineLevel="1"/>
    <col min="11" max="11" width="18.7109375" style="94" customWidth="1" outlineLevel="1"/>
    <col min="12" max="12" width="18.85546875" style="94" customWidth="1" outlineLevel="1"/>
    <col min="13" max="13" width="22.28515625" style="94" customWidth="1" outlineLevel="1"/>
    <col min="14" max="14" width="19.7109375" style="94" customWidth="1" outlineLevel="1"/>
    <col min="15" max="15" width="16.85546875" style="94" customWidth="1" outlineLevel="1"/>
    <col min="16" max="16" width="18.42578125" style="94" customWidth="1" outlineLevel="1"/>
    <col min="17" max="17" width="21.140625" style="86" customWidth="1" outlineLevel="1"/>
    <col min="18" max="18" width="25.7109375" style="86" customWidth="1" outlineLevel="1"/>
    <col min="19" max="19" width="28.42578125" style="86" customWidth="1" outlineLevel="1"/>
    <col min="20" max="21" width="17.28515625" style="86" customWidth="1" outlineLevel="1"/>
    <col min="22" max="22" width="18" style="86" customWidth="1" outlineLevel="1"/>
    <col min="23" max="23" width="29.7109375" style="86" customWidth="1" outlineLevel="1"/>
    <col min="24" max="24" width="18" style="86" customWidth="1" outlineLevel="1"/>
    <col min="25" max="25" width="20.85546875" style="86" customWidth="1" outlineLevel="1"/>
    <col min="26" max="26" width="23.28515625" style="86" customWidth="1" outlineLevel="1"/>
    <col min="27" max="27" width="17.140625" style="86" customWidth="1" outlineLevel="1"/>
    <col min="28" max="28" width="22.28515625" style="86" customWidth="1" outlineLevel="1"/>
    <col min="29" max="29" width="23.7109375" style="86" customWidth="1" outlineLevel="1"/>
    <col min="30" max="30" width="14.5703125" style="86" customWidth="1" outlineLevel="1"/>
    <col min="31" max="34" width="20.5703125" style="86" customWidth="1" outlineLevel="1"/>
    <col min="35" max="36" width="20.85546875" style="86" customWidth="1" outlineLevel="1"/>
    <col min="37" max="37" width="22.28515625" style="86" customWidth="1"/>
    <col min="38" max="38" width="24.5703125" style="86" customWidth="1"/>
    <col min="39" max="39" width="14.140625" style="86" customWidth="1"/>
    <col min="40" max="40" width="18.42578125" style="86" customWidth="1"/>
    <col min="41" max="41" width="21.28515625" style="86" customWidth="1"/>
    <col min="42" max="42" width="17.85546875" style="86" customWidth="1"/>
    <col min="43" max="43" width="22.7109375" style="86" customWidth="1"/>
    <col min="44" max="44" width="24.85546875" style="86" bestFit="1" customWidth="1"/>
    <col min="45" max="45" width="13.140625" style="94" customWidth="1"/>
    <col min="46" max="46" width="27.85546875" style="94" bestFit="1" customWidth="1"/>
    <col min="47" max="47" width="24" style="94" bestFit="1" customWidth="1"/>
    <col min="48" max="48" width="29.7109375" style="94" bestFit="1" customWidth="1"/>
    <col min="49" max="49" width="22.85546875" style="94" bestFit="1" customWidth="1"/>
    <col min="50" max="50" width="33.42578125" style="94" bestFit="1" customWidth="1"/>
    <col min="51" max="52" width="18.42578125" style="94" customWidth="1"/>
    <col min="53" max="53" width="47.5703125" style="86" customWidth="1" outlineLevel="1"/>
    <col min="54" max="55" width="12.85546875" style="86" customWidth="1" outlineLevel="1"/>
    <col min="56" max="56" width="75" style="94" customWidth="1"/>
    <col min="57" max="57" width="20.42578125" style="86" customWidth="1"/>
    <col min="58" max="58" width="4.85546875" style="86" customWidth="1"/>
    <col min="59" max="59" width="28.7109375" style="86" bestFit="1" customWidth="1"/>
    <col min="60" max="62" width="9.140625" style="86"/>
    <col min="63" max="63" width="15.140625" style="86" bestFit="1" customWidth="1"/>
    <col min="64" max="64" width="11.28515625" style="86" bestFit="1" customWidth="1"/>
    <col min="65" max="16384" width="9.140625" style="86"/>
  </cols>
  <sheetData>
    <row r="1" spans="1:59" ht="24.6" customHeight="1" x14ac:dyDescent="0.4">
      <c r="C1" s="87" t="s">
        <v>65</v>
      </c>
      <c r="D1" s="87"/>
      <c r="E1" s="87"/>
      <c r="F1" s="87"/>
      <c r="G1" s="88"/>
      <c r="H1" s="89"/>
      <c r="I1" s="705"/>
      <c r="J1" s="705"/>
      <c r="K1" s="658" t="s">
        <v>98</v>
      </c>
      <c r="L1" s="91"/>
      <c r="M1" s="91"/>
      <c r="N1" s="90"/>
      <c r="O1" s="90"/>
      <c r="P1" s="92"/>
      <c r="Q1" s="93"/>
      <c r="R1" s="93"/>
      <c r="S1" s="93"/>
      <c r="T1" s="93"/>
      <c r="U1" s="93"/>
      <c r="BC1" s="95"/>
      <c r="BD1" s="96"/>
    </row>
    <row r="2" spans="1:59" ht="18" x14ac:dyDescent="0.25">
      <c r="C2" s="97" t="str">
        <f>'Variation Register'!D4</f>
        <v>W01022 South Flank MAC</v>
      </c>
      <c r="D2" s="97"/>
      <c r="E2" s="97"/>
      <c r="F2" s="97"/>
      <c r="G2" s="98"/>
      <c r="H2" s="99"/>
      <c r="I2" s="705"/>
      <c r="J2" s="705"/>
      <c r="K2" s="100"/>
      <c r="L2" s="100"/>
      <c r="M2" s="100"/>
      <c r="V2" s="101"/>
      <c r="W2" s="101"/>
      <c r="X2" s="101"/>
      <c r="Y2" s="101"/>
      <c r="Z2" s="101"/>
      <c r="AA2" s="101"/>
      <c r="AB2" s="101"/>
      <c r="AC2" s="101"/>
      <c r="AD2" s="101"/>
      <c r="AE2" s="101"/>
      <c r="AF2" s="101"/>
      <c r="AG2" s="101"/>
      <c r="AH2" s="101"/>
      <c r="AI2" s="101"/>
      <c r="AJ2" s="101"/>
      <c r="AK2" s="101"/>
      <c r="AN2" s="102"/>
      <c r="AO2" s="102"/>
      <c r="AP2" s="102"/>
      <c r="AQ2" s="102"/>
      <c r="BC2" s="95"/>
      <c r="BD2" s="96"/>
      <c r="BG2" s="103"/>
    </row>
    <row r="3" spans="1:59" ht="15.75" x14ac:dyDescent="0.25">
      <c r="C3" s="703">
        <f ca="1">TODAY()</f>
        <v>45194</v>
      </c>
      <c r="D3" s="703"/>
      <c r="E3" s="104"/>
      <c r="F3" s="105"/>
      <c r="G3" s="105"/>
      <c r="H3" s="105"/>
      <c r="I3" s="705"/>
      <c r="J3" s="705"/>
      <c r="K3" s="100"/>
      <c r="L3" s="100"/>
      <c r="M3" s="100"/>
      <c r="N3" s="106"/>
      <c r="O3" s="106"/>
      <c r="P3" s="106"/>
      <c r="V3" s="107"/>
      <c r="W3" s="107"/>
      <c r="X3" s="107"/>
      <c r="Y3" s="107"/>
      <c r="Z3" s="107"/>
      <c r="AA3" s="107"/>
      <c r="AB3" s="107"/>
      <c r="AC3" s="107"/>
      <c r="AD3" s="107"/>
      <c r="AE3" s="107"/>
      <c r="AF3" s="107"/>
      <c r="AG3" s="107"/>
      <c r="AH3" s="107"/>
      <c r="AI3" s="107"/>
      <c r="AJ3" s="107"/>
      <c r="AK3" s="179" t="s">
        <v>38</v>
      </c>
      <c r="AL3" s="107"/>
      <c r="AM3" s="107"/>
      <c r="AN3" s="107"/>
      <c r="AO3" s="107"/>
      <c r="AP3" s="107"/>
      <c r="AQ3" s="107"/>
      <c r="AR3" s="107"/>
      <c r="AS3" s="109" t="s">
        <v>15</v>
      </c>
      <c r="BC3" s="108"/>
      <c r="BD3" s="96"/>
    </row>
    <row r="4" spans="1:59" ht="15" x14ac:dyDescent="0.25">
      <c r="AK4" s="178">
        <f>SUM(AK6:AK34)</f>
        <v>25990196.309999999</v>
      </c>
      <c r="AS4" s="86"/>
      <c r="AT4" s="177" t="s">
        <v>1001</v>
      </c>
      <c r="AU4" s="173"/>
      <c r="AV4" s="173" t="s">
        <v>998</v>
      </c>
      <c r="AW4" s="174"/>
      <c r="AX4" s="175" t="s">
        <v>999</v>
      </c>
      <c r="AY4" s="176"/>
      <c r="AZ4" s="109"/>
      <c r="BB4" s="110"/>
    </row>
    <row r="5" spans="1:59" s="103" customFormat="1" ht="15.75" thickBot="1" x14ac:dyDescent="0.3">
      <c r="A5" s="704" t="s">
        <v>7</v>
      </c>
      <c r="B5" s="704"/>
      <c r="C5" s="704"/>
      <c r="D5" s="704"/>
      <c r="E5" s="704"/>
      <c r="F5" s="704"/>
      <c r="G5" s="704"/>
      <c r="H5" s="704"/>
      <c r="I5" s="704"/>
      <c r="J5" s="704"/>
      <c r="K5" s="704"/>
      <c r="L5" s="704"/>
      <c r="M5" s="704"/>
      <c r="N5" s="704"/>
      <c r="O5" s="704"/>
      <c r="P5" s="704"/>
      <c r="Q5" s="704"/>
      <c r="R5" s="657"/>
      <c r="S5" s="706" t="s">
        <v>8</v>
      </c>
      <c r="T5" s="701"/>
      <c r="U5" s="701"/>
      <c r="V5" s="701"/>
      <c r="W5" s="707" t="s">
        <v>2049</v>
      </c>
      <c r="X5" s="707"/>
      <c r="Y5" s="708"/>
      <c r="Z5" s="708"/>
      <c r="AA5" s="708"/>
      <c r="AB5" s="708"/>
      <c r="AC5" s="708"/>
      <c r="AD5" s="708"/>
      <c r="AE5" s="708"/>
      <c r="AF5" s="701"/>
      <c r="AG5" s="701"/>
      <c r="AH5" s="701"/>
      <c r="AI5" s="701"/>
      <c r="AJ5" s="701"/>
      <c r="AK5" s="701"/>
      <c r="AL5" s="701"/>
      <c r="AM5" s="702"/>
      <c r="AN5" s="170"/>
      <c r="AO5" s="170"/>
      <c r="AP5" s="661"/>
      <c r="AQ5" s="661"/>
      <c r="AR5" s="171">
        <f>SUM(AR7:AR24)</f>
        <v>0</v>
      </c>
      <c r="AS5" s="170"/>
      <c r="AT5" s="172">
        <f t="shared" ref="AT5:AZ5" si="0">SUM(AT7:AT24)</f>
        <v>0</v>
      </c>
      <c r="AU5" s="172">
        <f t="shared" si="0"/>
        <v>0</v>
      </c>
      <c r="AV5" s="172">
        <f t="shared" si="0"/>
        <v>11543112.300000004</v>
      </c>
      <c r="AW5" s="172">
        <f t="shared" si="0"/>
        <v>11543112.300000004</v>
      </c>
      <c r="AX5" s="172">
        <f t="shared" si="0"/>
        <v>0</v>
      </c>
      <c r="AY5" s="172">
        <f t="shared" si="0"/>
        <v>11543112.300000004</v>
      </c>
      <c r="AZ5" s="172">
        <f t="shared" si="0"/>
        <v>0</v>
      </c>
      <c r="BA5" s="111" t="s">
        <v>5</v>
      </c>
      <c r="BB5" s="112"/>
      <c r="BC5" s="112"/>
    </row>
    <row r="6" spans="1:59" ht="86.25" thickBot="1" x14ac:dyDescent="0.3">
      <c r="A6" s="660" t="s">
        <v>69</v>
      </c>
      <c r="B6" s="113" t="s">
        <v>105</v>
      </c>
      <c r="C6" s="113" t="s">
        <v>185</v>
      </c>
      <c r="D6" s="660" t="s">
        <v>117</v>
      </c>
      <c r="E6" s="114" t="s">
        <v>186</v>
      </c>
      <c r="F6" s="660" t="s">
        <v>2052</v>
      </c>
      <c r="G6" s="660" t="s">
        <v>0</v>
      </c>
      <c r="H6" s="660" t="s">
        <v>1</v>
      </c>
      <c r="I6" s="662" t="s">
        <v>2053</v>
      </c>
      <c r="J6" s="662" t="s">
        <v>2057</v>
      </c>
      <c r="K6" s="116" t="s">
        <v>187</v>
      </c>
      <c r="L6" s="662" t="s">
        <v>2046</v>
      </c>
      <c r="M6" s="662" t="s">
        <v>2047</v>
      </c>
      <c r="N6" s="662" t="s">
        <v>2056</v>
      </c>
      <c r="O6" s="662" t="s">
        <v>117</v>
      </c>
      <c r="P6" s="662" t="s">
        <v>2048</v>
      </c>
      <c r="Q6" s="662" t="s">
        <v>2034</v>
      </c>
      <c r="R6" s="662" t="s">
        <v>2042</v>
      </c>
      <c r="S6" s="14" t="s">
        <v>2041</v>
      </c>
      <c r="T6" s="14" t="s">
        <v>117</v>
      </c>
      <c r="U6" s="14" t="s">
        <v>2036</v>
      </c>
      <c r="V6" s="117" t="s">
        <v>188</v>
      </c>
      <c r="W6" s="663" t="s">
        <v>2058</v>
      </c>
      <c r="X6" s="663" t="s">
        <v>117</v>
      </c>
      <c r="Y6" s="663" t="s">
        <v>2050</v>
      </c>
      <c r="Z6" s="663" t="s">
        <v>2051</v>
      </c>
      <c r="AA6" s="663" t="s">
        <v>117</v>
      </c>
      <c r="AB6" s="663" t="s">
        <v>2050</v>
      </c>
      <c r="AC6" s="663" t="s">
        <v>2051</v>
      </c>
      <c r="AD6" s="663" t="s">
        <v>117</v>
      </c>
      <c r="AE6" s="663" t="s">
        <v>2050</v>
      </c>
      <c r="AF6" s="196" t="s">
        <v>911</v>
      </c>
      <c r="AG6" s="196" t="s">
        <v>620</v>
      </c>
      <c r="AH6" s="196" t="s">
        <v>730</v>
      </c>
      <c r="AI6" s="196" t="s">
        <v>1310</v>
      </c>
      <c r="AJ6" s="196" t="s">
        <v>1311</v>
      </c>
      <c r="AK6" s="115" t="s">
        <v>56</v>
      </c>
      <c r="AL6" s="115" t="s">
        <v>53</v>
      </c>
      <c r="AM6" s="115" t="s">
        <v>9</v>
      </c>
      <c r="AN6" s="117" t="s">
        <v>189</v>
      </c>
      <c r="AO6" s="14" t="s">
        <v>2043</v>
      </c>
      <c r="AP6" s="117" t="s">
        <v>2044</v>
      </c>
      <c r="AQ6" s="117" t="s">
        <v>2045</v>
      </c>
      <c r="AR6" s="117" t="s">
        <v>50</v>
      </c>
      <c r="AS6" s="159" t="s">
        <v>190</v>
      </c>
      <c r="AT6" s="166" t="s">
        <v>955</v>
      </c>
      <c r="AU6" s="167" t="s">
        <v>956</v>
      </c>
      <c r="AV6" s="167" t="s">
        <v>957</v>
      </c>
      <c r="AW6" s="167" t="s">
        <v>958</v>
      </c>
      <c r="AX6" s="524" t="s">
        <v>1635</v>
      </c>
      <c r="AY6" s="168" t="s">
        <v>959</v>
      </c>
      <c r="AZ6" s="169" t="s">
        <v>995</v>
      </c>
      <c r="BA6" s="160" t="s">
        <v>2</v>
      </c>
      <c r="BB6" s="118" t="s">
        <v>6</v>
      </c>
      <c r="BC6" s="118" t="s">
        <v>3</v>
      </c>
      <c r="BD6" s="118" t="s">
        <v>281</v>
      </c>
    </row>
    <row r="7" spans="1:59" ht="89.25" x14ac:dyDescent="0.25">
      <c r="A7" s="119" t="s">
        <v>70</v>
      </c>
      <c r="B7" s="119" t="s">
        <v>104</v>
      </c>
      <c r="C7" s="119" t="s">
        <v>113</v>
      </c>
      <c r="D7" s="119" t="s">
        <v>154</v>
      </c>
      <c r="E7" s="119"/>
      <c r="F7" s="119" t="s">
        <v>49</v>
      </c>
      <c r="G7" s="120" t="s">
        <v>121</v>
      </c>
      <c r="H7" s="120" t="s">
        <v>122</v>
      </c>
      <c r="I7" s="666" t="s">
        <v>92</v>
      </c>
      <c r="J7" s="664">
        <v>43983</v>
      </c>
      <c r="K7" s="667">
        <v>14</v>
      </c>
      <c r="L7" s="668" t="s">
        <v>103</v>
      </c>
      <c r="M7" s="667">
        <v>0</v>
      </c>
      <c r="N7" s="664">
        <f t="shared" ref="N7:N17" si="1">+WORKDAY(J7,5)</f>
        <v>43990</v>
      </c>
      <c r="O7" s="664"/>
      <c r="P7" s="664">
        <v>43258</v>
      </c>
      <c r="Q7" s="664">
        <f t="shared" ref="Q7:Q17" si="2">+WORKDAY(P7,3)</f>
        <v>43263</v>
      </c>
      <c r="R7" s="664">
        <v>43983</v>
      </c>
      <c r="S7" s="664">
        <f>+WORKDAY(R7,10)</f>
        <v>43997</v>
      </c>
      <c r="T7" s="664"/>
      <c r="U7" s="673">
        <v>43992</v>
      </c>
      <c r="V7" s="665" t="s">
        <v>72</v>
      </c>
      <c r="W7" s="664">
        <f t="shared" ref="W7:W9" si="3">+WORKDAY(P7,10)</f>
        <v>43272</v>
      </c>
      <c r="X7" s="664"/>
      <c r="Y7" s="673">
        <v>44003</v>
      </c>
      <c r="Z7" s="664">
        <f>+WORKDAY(W7,10)</f>
        <v>43286</v>
      </c>
      <c r="AA7" s="664"/>
      <c r="AB7" s="665"/>
      <c r="AC7" s="664">
        <f>+WORKDAY(Z7,10)</f>
        <v>43300</v>
      </c>
      <c r="AD7" s="665"/>
      <c r="AE7" s="665"/>
      <c r="AF7" s="665"/>
      <c r="AG7" s="665"/>
      <c r="AH7" s="665"/>
      <c r="AI7" s="665">
        <v>0</v>
      </c>
      <c r="AJ7" s="665"/>
      <c r="AK7" s="669">
        <f t="shared" ref="AK7:AK8" si="4">+SUM(AI7:AJ7)</f>
        <v>0</v>
      </c>
      <c r="AL7" s="670"/>
      <c r="AM7" s="671" t="s">
        <v>175</v>
      </c>
      <c r="AN7" s="123"/>
      <c r="AO7" s="123" t="s">
        <v>25</v>
      </c>
      <c r="AP7" s="123"/>
      <c r="AQ7" s="123"/>
      <c r="AR7" s="125">
        <v>0</v>
      </c>
      <c r="AS7" s="154" t="s">
        <v>71</v>
      </c>
      <c r="AT7" s="161"/>
      <c r="AU7" s="162"/>
      <c r="AV7" s="163"/>
      <c r="AW7" s="164">
        <f t="shared" ref="AW7:AW17" si="5">AU7+AV7</f>
        <v>0</v>
      </c>
      <c r="AX7" s="165"/>
      <c r="AY7" s="164"/>
      <c r="AZ7" s="164"/>
      <c r="BA7" s="156" t="s">
        <v>176</v>
      </c>
      <c r="BB7" s="119" t="s">
        <v>99</v>
      </c>
      <c r="BC7" s="121"/>
      <c r="BD7" s="127"/>
    </row>
    <row r="8" spans="1:59" ht="51" x14ac:dyDescent="0.25">
      <c r="A8" s="119" t="s">
        <v>151</v>
      </c>
      <c r="B8" s="119" t="s">
        <v>152</v>
      </c>
      <c r="C8" s="119" t="s">
        <v>153</v>
      </c>
      <c r="D8" s="119" t="s">
        <v>155</v>
      </c>
      <c r="E8" s="119"/>
      <c r="F8" s="119" t="s">
        <v>49</v>
      </c>
      <c r="G8" s="120" t="s">
        <v>156</v>
      </c>
      <c r="H8" s="120" t="s">
        <v>323</v>
      </c>
      <c r="I8" s="120" t="s">
        <v>87</v>
      </c>
      <c r="J8" s="121">
        <v>43984</v>
      </c>
      <c r="K8" s="122">
        <v>29</v>
      </c>
      <c r="L8" s="128" t="s">
        <v>157</v>
      </c>
      <c r="M8" s="128">
        <v>0</v>
      </c>
      <c r="N8" s="121">
        <f t="shared" si="1"/>
        <v>43991</v>
      </c>
      <c r="O8" s="121"/>
      <c r="P8" s="121">
        <v>43991</v>
      </c>
      <c r="Q8" s="121">
        <f t="shared" si="2"/>
        <v>43994</v>
      </c>
      <c r="R8" s="121">
        <v>43987</v>
      </c>
      <c r="S8" s="121">
        <f t="shared" ref="S8:S31" si="6">+WORKDAY(R8,10)</f>
        <v>44001</v>
      </c>
      <c r="T8" s="121"/>
      <c r="U8" s="121">
        <v>44001</v>
      </c>
      <c r="V8" s="123">
        <v>20</v>
      </c>
      <c r="W8" s="121"/>
      <c r="X8" s="121"/>
      <c r="Y8" s="123"/>
      <c r="Z8" s="123"/>
      <c r="AA8" s="123"/>
      <c r="AB8" s="123"/>
      <c r="AC8" s="123"/>
      <c r="AD8" s="123"/>
      <c r="AE8" s="123"/>
      <c r="AF8" s="123"/>
      <c r="AG8" s="123"/>
      <c r="AH8" s="123"/>
      <c r="AI8" s="125" t="s">
        <v>330</v>
      </c>
      <c r="AJ8" s="123"/>
      <c r="AK8" s="197">
        <f t="shared" si="4"/>
        <v>0</v>
      </c>
      <c r="AL8" s="129"/>
      <c r="AM8" s="124" t="s">
        <v>63</v>
      </c>
      <c r="AN8" s="123"/>
      <c r="AO8" s="123" t="s">
        <v>25</v>
      </c>
      <c r="AP8" s="123"/>
      <c r="AQ8" s="123"/>
      <c r="AR8" s="125" t="s">
        <v>124</v>
      </c>
      <c r="AS8" s="154"/>
      <c r="AT8" s="155"/>
      <c r="AU8" s="153"/>
      <c r="AV8" s="126"/>
      <c r="AW8" s="154">
        <f t="shared" si="5"/>
        <v>0</v>
      </c>
      <c r="AX8" s="158"/>
      <c r="AY8" s="154"/>
      <c r="AZ8" s="154"/>
      <c r="BA8" s="157" t="s">
        <v>184</v>
      </c>
      <c r="BB8" s="131" t="s">
        <v>99</v>
      </c>
      <c r="BC8" s="121"/>
      <c r="BD8" s="127"/>
    </row>
    <row r="9" spans="1:59" ht="63.75" x14ac:dyDescent="0.25">
      <c r="A9" s="119" t="s">
        <v>243</v>
      </c>
      <c r="B9" s="119" t="s">
        <v>244</v>
      </c>
      <c r="C9" s="119"/>
      <c r="D9" s="119" t="s">
        <v>242</v>
      </c>
      <c r="E9" s="119"/>
      <c r="F9" s="119" t="s">
        <v>49</v>
      </c>
      <c r="G9" s="120" t="s">
        <v>241</v>
      </c>
      <c r="H9" s="120" t="s">
        <v>245</v>
      </c>
      <c r="I9" s="120" t="s">
        <v>92</v>
      </c>
      <c r="J9" s="121">
        <v>43985</v>
      </c>
      <c r="K9" s="121" t="s">
        <v>25</v>
      </c>
      <c r="L9" s="122" t="s">
        <v>247</v>
      </c>
      <c r="M9" s="128" t="s">
        <v>25</v>
      </c>
      <c r="N9" s="121">
        <f t="shared" si="1"/>
        <v>43992</v>
      </c>
      <c r="O9" s="121"/>
      <c r="P9" s="121">
        <v>43991</v>
      </c>
      <c r="Q9" s="121">
        <f t="shared" si="2"/>
        <v>43994</v>
      </c>
      <c r="R9" s="121">
        <v>43985</v>
      </c>
      <c r="S9" s="121">
        <f t="shared" si="6"/>
        <v>43999</v>
      </c>
      <c r="T9" s="121"/>
      <c r="U9" s="121">
        <v>43998</v>
      </c>
      <c r="V9" s="15" t="s">
        <v>72</v>
      </c>
      <c r="W9" s="121">
        <f t="shared" si="3"/>
        <v>44005</v>
      </c>
      <c r="X9" s="123"/>
      <c r="Y9" s="123"/>
      <c r="Z9" s="123"/>
      <c r="AA9" s="123"/>
      <c r="AB9" s="123"/>
      <c r="AC9" s="123"/>
      <c r="AD9" s="123"/>
      <c r="AE9" s="123"/>
      <c r="AF9" s="123"/>
      <c r="AG9" s="123"/>
      <c r="AH9" s="123"/>
      <c r="AI9" s="126" t="s">
        <v>124</v>
      </c>
      <c r="AJ9" s="197"/>
      <c r="AK9" s="197">
        <f t="shared" ref="AK9:AK21" si="7">+SUM(AI9:AJ9)</f>
        <v>0</v>
      </c>
      <c r="AL9" s="129"/>
      <c r="AM9" s="150" t="s">
        <v>64</v>
      </c>
      <c r="AN9" s="123"/>
      <c r="AO9" s="123"/>
      <c r="AP9" s="123"/>
      <c r="AQ9" s="123"/>
      <c r="AR9" s="125"/>
      <c r="AS9" s="154"/>
      <c r="AT9" s="155"/>
      <c r="AU9" s="153"/>
      <c r="AV9" s="126"/>
      <c r="AW9" s="154">
        <f t="shared" si="5"/>
        <v>0</v>
      </c>
      <c r="AX9" s="158"/>
      <c r="AY9" s="154"/>
      <c r="AZ9" s="154"/>
      <c r="BA9" s="157" t="s">
        <v>333</v>
      </c>
      <c r="BB9" s="131" t="s">
        <v>99</v>
      </c>
      <c r="BC9" s="121"/>
      <c r="BD9" s="120"/>
    </row>
    <row r="10" spans="1:59" ht="38.25" x14ac:dyDescent="0.25">
      <c r="A10" s="119" t="s">
        <v>486</v>
      </c>
      <c r="B10" s="119" t="s">
        <v>487</v>
      </c>
      <c r="C10" s="119"/>
      <c r="D10" s="119" t="s">
        <v>488</v>
      </c>
      <c r="E10" s="119"/>
      <c r="F10" s="119" t="s">
        <v>49</v>
      </c>
      <c r="G10" s="120" t="s">
        <v>489</v>
      </c>
      <c r="H10" s="120" t="s">
        <v>490</v>
      </c>
      <c r="I10" s="120" t="s">
        <v>87</v>
      </c>
      <c r="J10" s="121">
        <v>43986</v>
      </c>
      <c r="K10" s="121" t="s">
        <v>25</v>
      </c>
      <c r="L10" s="122" t="s">
        <v>645</v>
      </c>
      <c r="M10" s="128" t="s">
        <v>25</v>
      </c>
      <c r="N10" s="121">
        <f t="shared" si="1"/>
        <v>43993</v>
      </c>
      <c r="O10" s="121"/>
      <c r="P10" s="121">
        <v>43992</v>
      </c>
      <c r="Q10" s="121">
        <f t="shared" si="2"/>
        <v>43997</v>
      </c>
      <c r="R10" s="121">
        <v>43992</v>
      </c>
      <c r="S10" s="121">
        <f t="shared" si="6"/>
        <v>44006</v>
      </c>
      <c r="T10" s="121"/>
      <c r="U10" s="121"/>
      <c r="V10" s="123"/>
      <c r="W10" s="123"/>
      <c r="X10" s="123"/>
      <c r="Y10" s="123"/>
      <c r="Z10" s="123"/>
      <c r="AA10" s="123"/>
      <c r="AB10" s="123"/>
      <c r="AC10" s="123"/>
      <c r="AD10" s="123"/>
      <c r="AE10" s="123"/>
      <c r="AF10" s="123"/>
      <c r="AG10" s="123"/>
      <c r="AH10" s="123"/>
      <c r="AI10" s="126" t="s">
        <v>124</v>
      </c>
      <c r="AJ10" s="197"/>
      <c r="AK10" s="197">
        <f t="shared" si="7"/>
        <v>0</v>
      </c>
      <c r="AL10" s="129"/>
      <c r="AM10" s="124" t="s">
        <v>144</v>
      </c>
      <c r="AN10" s="123"/>
      <c r="AO10" s="123"/>
      <c r="AP10" s="123"/>
      <c r="AQ10" s="123"/>
      <c r="AR10" s="125"/>
      <c r="AS10" s="154"/>
      <c r="AT10" s="155"/>
      <c r="AU10" s="153"/>
      <c r="AV10" s="126"/>
      <c r="AW10" s="154">
        <f t="shared" si="5"/>
        <v>0</v>
      </c>
      <c r="AX10" s="158"/>
      <c r="AY10" s="154"/>
      <c r="AZ10" s="154"/>
      <c r="BA10" s="157" t="s">
        <v>791</v>
      </c>
      <c r="BB10" s="131" t="s">
        <v>402</v>
      </c>
      <c r="BC10" s="121"/>
      <c r="BD10" s="120"/>
    </row>
    <row r="11" spans="1:59" ht="25.5" x14ac:dyDescent="0.25">
      <c r="A11" s="119" t="s">
        <v>527</v>
      </c>
      <c r="B11" s="119" t="s">
        <v>518</v>
      </c>
      <c r="C11" s="119"/>
      <c r="D11" s="119" t="s">
        <v>519</v>
      </c>
      <c r="E11" s="119"/>
      <c r="F11" s="119" t="s">
        <v>49</v>
      </c>
      <c r="G11" s="120" t="s">
        <v>520</v>
      </c>
      <c r="H11" s="120" t="s">
        <v>521</v>
      </c>
      <c r="I11" s="120" t="s">
        <v>87</v>
      </c>
      <c r="J11" s="121">
        <v>43987</v>
      </c>
      <c r="K11" s="121" t="s">
        <v>25</v>
      </c>
      <c r="L11" s="122" t="s">
        <v>25</v>
      </c>
      <c r="M11" s="128" t="s">
        <v>25</v>
      </c>
      <c r="N11" s="121">
        <f t="shared" si="1"/>
        <v>43994</v>
      </c>
      <c r="O11" s="121"/>
      <c r="P11" s="121">
        <v>43992</v>
      </c>
      <c r="Q11" s="121">
        <f t="shared" si="2"/>
        <v>43997</v>
      </c>
      <c r="R11" s="121">
        <v>43989</v>
      </c>
      <c r="S11" s="121">
        <f t="shared" si="6"/>
        <v>44001</v>
      </c>
      <c r="T11" s="121"/>
      <c r="U11" s="121">
        <v>44001</v>
      </c>
      <c r="V11" s="123">
        <v>4</v>
      </c>
      <c r="W11" s="123"/>
      <c r="X11" s="123"/>
      <c r="Y11" s="123"/>
      <c r="Z11" s="123"/>
      <c r="AA11" s="123"/>
      <c r="AB11" s="123"/>
      <c r="AC11" s="123"/>
      <c r="AD11" s="123"/>
      <c r="AE11" s="123"/>
      <c r="AF11" s="123"/>
      <c r="AG11" s="123"/>
      <c r="AH11" s="123"/>
      <c r="AI11" s="126" t="s">
        <v>124</v>
      </c>
      <c r="AJ11" s="197"/>
      <c r="AK11" s="197">
        <f t="shared" si="7"/>
        <v>0</v>
      </c>
      <c r="AL11" s="129"/>
      <c r="AM11" s="124" t="s">
        <v>144</v>
      </c>
      <c r="AN11" s="123"/>
      <c r="AO11" s="123"/>
      <c r="AP11" s="123"/>
      <c r="AQ11" s="123"/>
      <c r="AR11" s="125"/>
      <c r="AS11" s="154"/>
      <c r="AT11" s="155"/>
      <c r="AU11" s="153"/>
      <c r="AV11" s="126"/>
      <c r="AW11" s="154">
        <f t="shared" si="5"/>
        <v>0</v>
      </c>
      <c r="AX11" s="158"/>
      <c r="AY11" s="154"/>
      <c r="AZ11" s="154"/>
      <c r="BA11" s="157"/>
      <c r="BB11" s="131" t="s">
        <v>402</v>
      </c>
      <c r="BC11" s="121"/>
      <c r="BD11" s="120"/>
    </row>
    <row r="12" spans="1:59" ht="25.5" x14ac:dyDescent="0.25">
      <c r="A12" s="119" t="s">
        <v>550</v>
      </c>
      <c r="B12" s="119" t="s">
        <v>551</v>
      </c>
      <c r="C12" s="119"/>
      <c r="D12" s="119" t="s">
        <v>552</v>
      </c>
      <c r="E12" s="119"/>
      <c r="F12" s="119" t="s">
        <v>49</v>
      </c>
      <c r="G12" s="120" t="s">
        <v>553</v>
      </c>
      <c r="H12" s="120" t="s">
        <v>554</v>
      </c>
      <c r="I12" s="120" t="s">
        <v>92</v>
      </c>
      <c r="J12" s="121">
        <v>43988</v>
      </c>
      <c r="K12" s="121" t="s">
        <v>25</v>
      </c>
      <c r="L12" s="122">
        <v>4</v>
      </c>
      <c r="M12" s="128" t="s">
        <v>25</v>
      </c>
      <c r="N12" s="121">
        <f t="shared" si="1"/>
        <v>43994</v>
      </c>
      <c r="O12" s="121"/>
      <c r="P12" s="121">
        <v>43993</v>
      </c>
      <c r="Q12" s="121">
        <f t="shared" si="2"/>
        <v>43998</v>
      </c>
      <c r="R12" s="121">
        <v>43988</v>
      </c>
      <c r="S12" s="121">
        <f t="shared" si="6"/>
        <v>44001</v>
      </c>
      <c r="T12" s="121"/>
      <c r="U12" s="121">
        <v>44000</v>
      </c>
      <c r="V12" s="123">
        <v>7</v>
      </c>
      <c r="W12" s="123"/>
      <c r="X12" s="123"/>
      <c r="Y12" s="123"/>
      <c r="Z12" s="123"/>
      <c r="AA12" s="123"/>
      <c r="AB12" s="123"/>
      <c r="AC12" s="123"/>
      <c r="AD12" s="123"/>
      <c r="AE12" s="123"/>
      <c r="AF12" s="123"/>
      <c r="AG12" s="123"/>
      <c r="AH12" s="123"/>
      <c r="AI12" s="126" t="s">
        <v>124</v>
      </c>
      <c r="AJ12" s="197"/>
      <c r="AK12" s="197">
        <f t="shared" si="7"/>
        <v>0</v>
      </c>
      <c r="AL12" s="129"/>
      <c r="AM12" s="124" t="s">
        <v>144</v>
      </c>
      <c r="AN12" s="123"/>
      <c r="AO12" s="123"/>
      <c r="AP12" s="123"/>
      <c r="AQ12" s="123"/>
      <c r="AR12" s="125"/>
      <c r="AS12" s="154"/>
      <c r="AT12" s="155"/>
      <c r="AU12" s="153"/>
      <c r="AV12" s="126"/>
      <c r="AW12" s="154">
        <f t="shared" si="5"/>
        <v>0</v>
      </c>
      <c r="AX12" s="158"/>
      <c r="AY12" s="154"/>
      <c r="AZ12" s="154"/>
      <c r="BA12" s="157"/>
      <c r="BB12" s="131" t="s">
        <v>402</v>
      </c>
      <c r="BC12" s="121"/>
      <c r="BD12" s="120"/>
    </row>
    <row r="13" spans="1:59" ht="38.25" x14ac:dyDescent="0.25">
      <c r="A13" s="119" t="s">
        <v>674</v>
      </c>
      <c r="B13" s="119" t="s">
        <v>675</v>
      </c>
      <c r="C13" s="119"/>
      <c r="D13" s="119" t="s">
        <v>676</v>
      </c>
      <c r="E13" s="119"/>
      <c r="F13" s="119" t="s">
        <v>49</v>
      </c>
      <c r="G13" s="120" t="s">
        <v>677</v>
      </c>
      <c r="H13" s="120" t="s">
        <v>680</v>
      </c>
      <c r="I13" s="120" t="s">
        <v>92</v>
      </c>
      <c r="J13" s="121">
        <v>43989</v>
      </c>
      <c r="K13" s="121" t="s">
        <v>25</v>
      </c>
      <c r="L13" s="122">
        <v>3</v>
      </c>
      <c r="M13" s="128" t="s">
        <v>25</v>
      </c>
      <c r="N13" s="121">
        <f t="shared" si="1"/>
        <v>43994</v>
      </c>
      <c r="O13" s="121"/>
      <c r="P13" s="121">
        <v>43994</v>
      </c>
      <c r="Q13" s="121">
        <f t="shared" si="2"/>
        <v>43999</v>
      </c>
      <c r="R13" s="121">
        <v>43989</v>
      </c>
      <c r="S13" s="121">
        <f t="shared" si="6"/>
        <v>44001</v>
      </c>
      <c r="T13" s="121"/>
      <c r="U13" s="121">
        <v>44001</v>
      </c>
      <c r="V13" s="123">
        <v>37</v>
      </c>
      <c r="W13" s="123"/>
      <c r="X13" s="123"/>
      <c r="Y13" s="123"/>
      <c r="Z13" s="123"/>
      <c r="AA13" s="123"/>
      <c r="AB13" s="123"/>
      <c r="AC13" s="123"/>
      <c r="AD13" s="123"/>
      <c r="AE13" s="123"/>
      <c r="AF13" s="123"/>
      <c r="AG13" s="123"/>
      <c r="AH13" s="123"/>
      <c r="AI13" s="126" t="s">
        <v>124</v>
      </c>
      <c r="AJ13" s="197"/>
      <c r="AK13" s="197">
        <f t="shared" si="7"/>
        <v>0</v>
      </c>
      <c r="AL13" s="129"/>
      <c r="AM13" s="124" t="s">
        <v>144</v>
      </c>
      <c r="AN13" s="123"/>
      <c r="AO13" s="123"/>
      <c r="AP13" s="123"/>
      <c r="AQ13" s="123"/>
      <c r="AR13" s="125"/>
      <c r="AS13" s="154"/>
      <c r="AT13" s="155"/>
      <c r="AU13" s="153"/>
      <c r="AV13" s="126"/>
      <c r="AW13" s="154">
        <f t="shared" si="5"/>
        <v>0</v>
      </c>
      <c r="AX13" s="158"/>
      <c r="AY13" s="154"/>
      <c r="AZ13" s="154"/>
      <c r="BA13" s="157" t="s">
        <v>792</v>
      </c>
      <c r="BB13" s="131" t="s">
        <v>402</v>
      </c>
      <c r="BC13" s="121"/>
      <c r="BD13" s="120"/>
    </row>
    <row r="14" spans="1:59" ht="38.25" x14ac:dyDescent="0.25">
      <c r="A14" s="119" t="s">
        <v>678</v>
      </c>
      <c r="B14" s="119" t="s">
        <v>682</v>
      </c>
      <c r="C14" s="119"/>
      <c r="D14" s="119" t="s">
        <v>679</v>
      </c>
      <c r="E14" s="119"/>
      <c r="F14" s="119" t="s">
        <v>49</v>
      </c>
      <c r="G14" s="120" t="s">
        <v>681</v>
      </c>
      <c r="H14" s="120" t="s">
        <v>683</v>
      </c>
      <c r="I14" s="120" t="s">
        <v>92</v>
      </c>
      <c r="J14" s="121">
        <v>43990</v>
      </c>
      <c r="K14" s="121" t="s">
        <v>25</v>
      </c>
      <c r="L14" s="122" t="s">
        <v>752</v>
      </c>
      <c r="M14" s="128" t="s">
        <v>25</v>
      </c>
      <c r="N14" s="121">
        <f t="shared" si="1"/>
        <v>43997</v>
      </c>
      <c r="O14" s="121"/>
      <c r="P14" s="121">
        <v>43996</v>
      </c>
      <c r="Q14" s="121">
        <f t="shared" si="2"/>
        <v>43999</v>
      </c>
      <c r="R14" s="121">
        <v>43990</v>
      </c>
      <c r="S14" s="121">
        <f t="shared" si="6"/>
        <v>44004</v>
      </c>
      <c r="T14" s="121"/>
      <c r="U14" s="121">
        <v>44004</v>
      </c>
      <c r="V14" s="123">
        <v>180</v>
      </c>
      <c r="W14" s="123"/>
      <c r="X14" s="123"/>
      <c r="Y14" s="123"/>
      <c r="Z14" s="123"/>
      <c r="AA14" s="123"/>
      <c r="AB14" s="123"/>
      <c r="AC14" s="123"/>
      <c r="AD14" s="123"/>
      <c r="AE14" s="123"/>
      <c r="AF14" s="123"/>
      <c r="AG14" s="123"/>
      <c r="AH14" s="123"/>
      <c r="AI14" s="126" t="s">
        <v>124</v>
      </c>
      <c r="AJ14" s="197"/>
      <c r="AK14" s="197">
        <f t="shared" si="7"/>
        <v>0</v>
      </c>
      <c r="AL14" s="129"/>
      <c r="AM14" s="124" t="s">
        <v>144</v>
      </c>
      <c r="AN14" s="123"/>
      <c r="AO14" s="123"/>
      <c r="AP14" s="123"/>
      <c r="AQ14" s="123"/>
      <c r="AR14" s="125"/>
      <c r="AS14" s="154"/>
      <c r="AT14" s="155"/>
      <c r="AU14" s="153"/>
      <c r="AV14" s="126"/>
      <c r="AW14" s="154">
        <f t="shared" si="5"/>
        <v>0</v>
      </c>
      <c r="AX14" s="158"/>
      <c r="AY14" s="154"/>
      <c r="AZ14" s="154"/>
      <c r="BA14" s="157" t="s">
        <v>792</v>
      </c>
      <c r="BB14" s="131" t="s">
        <v>402</v>
      </c>
      <c r="BC14" s="121"/>
      <c r="BD14" s="120"/>
    </row>
    <row r="15" spans="1:59" ht="25.5" x14ac:dyDescent="0.25">
      <c r="A15" s="119" t="s">
        <v>748</v>
      </c>
      <c r="B15" s="119" t="s">
        <v>749</v>
      </c>
      <c r="C15" s="119"/>
      <c r="D15" s="119" t="s">
        <v>750</v>
      </c>
      <c r="E15" s="119"/>
      <c r="F15" s="119" t="s">
        <v>49</v>
      </c>
      <c r="G15" s="120" t="s">
        <v>751</v>
      </c>
      <c r="H15" s="120" t="s">
        <v>753</v>
      </c>
      <c r="I15" s="120" t="s">
        <v>92</v>
      </c>
      <c r="J15" s="121">
        <v>43991</v>
      </c>
      <c r="K15" s="121" t="s">
        <v>25</v>
      </c>
      <c r="L15" s="122">
        <v>8</v>
      </c>
      <c r="M15" s="128" t="s">
        <v>25</v>
      </c>
      <c r="N15" s="121">
        <f t="shared" si="1"/>
        <v>43998</v>
      </c>
      <c r="O15" s="121"/>
      <c r="P15" s="121">
        <v>43992</v>
      </c>
      <c r="Q15" s="121">
        <f t="shared" si="2"/>
        <v>43997</v>
      </c>
      <c r="R15" s="121">
        <v>43991</v>
      </c>
      <c r="S15" s="121">
        <f t="shared" si="6"/>
        <v>44005</v>
      </c>
      <c r="T15" s="121"/>
      <c r="U15" s="121"/>
      <c r="V15" s="123"/>
      <c r="W15" s="123"/>
      <c r="X15" s="123"/>
      <c r="Y15" s="123"/>
      <c r="Z15" s="123"/>
      <c r="AA15" s="123"/>
      <c r="AB15" s="123"/>
      <c r="AC15" s="123"/>
      <c r="AD15" s="123"/>
      <c r="AE15" s="123"/>
      <c r="AF15" s="123"/>
      <c r="AG15" s="123"/>
      <c r="AH15" s="123"/>
      <c r="AI15" s="126" t="s">
        <v>124</v>
      </c>
      <c r="AJ15" s="197"/>
      <c r="AK15" s="197">
        <f t="shared" si="7"/>
        <v>0</v>
      </c>
      <c r="AL15" s="129"/>
      <c r="AM15" s="124" t="s">
        <v>144</v>
      </c>
      <c r="AN15" s="123"/>
      <c r="AO15" s="123"/>
      <c r="AP15" s="123"/>
      <c r="AQ15" s="123"/>
      <c r="AR15" s="125"/>
      <c r="AS15" s="154"/>
      <c r="AT15" s="155"/>
      <c r="AU15" s="153"/>
      <c r="AV15" s="126"/>
      <c r="AW15" s="154">
        <f t="shared" si="5"/>
        <v>0</v>
      </c>
      <c r="AX15" s="158"/>
      <c r="AY15" s="154"/>
      <c r="AZ15" s="154"/>
      <c r="BA15" s="157"/>
      <c r="BB15" s="131" t="s">
        <v>402</v>
      </c>
      <c r="BC15" s="121"/>
      <c r="BD15" s="120"/>
    </row>
    <row r="16" spans="1:59" ht="25.5" x14ac:dyDescent="0.25">
      <c r="A16" s="119" t="s">
        <v>786</v>
      </c>
      <c r="B16" s="119" t="s">
        <v>789</v>
      </c>
      <c r="C16" s="119"/>
      <c r="D16" s="119" t="s">
        <v>787</v>
      </c>
      <c r="E16" s="119"/>
      <c r="F16" s="119" t="s">
        <v>49</v>
      </c>
      <c r="G16" s="120" t="s">
        <v>788</v>
      </c>
      <c r="H16" s="120" t="s">
        <v>790</v>
      </c>
      <c r="I16" s="120" t="s">
        <v>92</v>
      </c>
      <c r="J16" s="121">
        <v>43992</v>
      </c>
      <c r="K16" s="121" t="s">
        <v>25</v>
      </c>
      <c r="L16" s="122" t="s">
        <v>25</v>
      </c>
      <c r="M16" s="128" t="s">
        <v>25</v>
      </c>
      <c r="N16" s="121">
        <f t="shared" si="1"/>
        <v>43999</v>
      </c>
      <c r="O16" s="121"/>
      <c r="P16" s="121">
        <v>43999</v>
      </c>
      <c r="Q16" s="121">
        <f t="shared" si="2"/>
        <v>44004</v>
      </c>
      <c r="R16" s="121">
        <v>43992</v>
      </c>
      <c r="S16" s="121">
        <f t="shared" si="6"/>
        <v>44006</v>
      </c>
      <c r="T16" s="121"/>
      <c r="U16" s="121"/>
      <c r="V16" s="123"/>
      <c r="W16" s="123"/>
      <c r="X16" s="123"/>
      <c r="Y16" s="123"/>
      <c r="Z16" s="123"/>
      <c r="AA16" s="123"/>
      <c r="AB16" s="123"/>
      <c r="AC16" s="123"/>
      <c r="AD16" s="123"/>
      <c r="AE16" s="123"/>
      <c r="AF16" s="123"/>
      <c r="AG16" s="123"/>
      <c r="AH16" s="123"/>
      <c r="AI16" s="126" t="s">
        <v>124</v>
      </c>
      <c r="AJ16" s="197"/>
      <c r="AK16" s="197">
        <f t="shared" si="7"/>
        <v>0</v>
      </c>
      <c r="AL16" s="129"/>
      <c r="AM16" s="124" t="s">
        <v>144</v>
      </c>
      <c r="AN16" s="123"/>
      <c r="AO16" s="123"/>
      <c r="AP16" s="123"/>
      <c r="AQ16" s="123"/>
      <c r="AR16" s="125"/>
      <c r="AS16" s="154"/>
      <c r="AT16" s="155"/>
      <c r="AU16" s="153"/>
      <c r="AV16" s="126"/>
      <c r="AW16" s="154">
        <f t="shared" si="5"/>
        <v>0</v>
      </c>
      <c r="AX16" s="158"/>
      <c r="AY16" s="154"/>
      <c r="AZ16" s="154"/>
      <c r="BA16" s="157"/>
      <c r="BB16" s="131" t="s">
        <v>402</v>
      </c>
      <c r="BC16" s="121"/>
      <c r="BD16" s="120"/>
    </row>
    <row r="17" spans="1:56" ht="63.75" x14ac:dyDescent="0.25">
      <c r="A17" s="8" t="s">
        <v>883</v>
      </c>
      <c r="B17" s="8" t="s">
        <v>884</v>
      </c>
      <c r="C17" s="119"/>
      <c r="D17" s="8" t="s">
        <v>885</v>
      </c>
      <c r="E17" s="119"/>
      <c r="F17" s="119" t="s">
        <v>49</v>
      </c>
      <c r="G17" s="9" t="s">
        <v>658</v>
      </c>
      <c r="H17" s="9" t="s">
        <v>886</v>
      </c>
      <c r="I17" s="9" t="s">
        <v>92</v>
      </c>
      <c r="J17" s="121">
        <v>43993</v>
      </c>
      <c r="K17" s="121" t="s">
        <v>25</v>
      </c>
      <c r="L17" s="122" t="s">
        <v>25</v>
      </c>
      <c r="M17" s="128" t="s">
        <v>25</v>
      </c>
      <c r="N17" s="121">
        <f t="shared" si="1"/>
        <v>44000</v>
      </c>
      <c r="O17" s="121"/>
      <c r="P17" s="121">
        <v>43999</v>
      </c>
      <c r="Q17" s="121">
        <f t="shared" si="2"/>
        <v>44004</v>
      </c>
      <c r="R17" s="121">
        <v>43993</v>
      </c>
      <c r="S17" s="121">
        <f t="shared" si="6"/>
        <v>44007</v>
      </c>
      <c r="T17" s="121"/>
      <c r="U17" s="121"/>
      <c r="V17" s="123"/>
      <c r="W17" s="123"/>
      <c r="X17" s="123"/>
      <c r="Y17" s="123"/>
      <c r="Z17" s="123"/>
      <c r="AA17" s="123"/>
      <c r="AB17" s="123"/>
      <c r="AC17" s="123"/>
      <c r="AD17" s="123"/>
      <c r="AE17" s="123"/>
      <c r="AF17" s="123"/>
      <c r="AG17" s="123"/>
      <c r="AH17" s="123"/>
      <c r="AI17" s="126" t="s">
        <v>124</v>
      </c>
      <c r="AJ17" s="197"/>
      <c r="AK17" s="197">
        <f t="shared" si="7"/>
        <v>0</v>
      </c>
      <c r="AL17" s="129"/>
      <c r="AM17" s="124" t="s">
        <v>144</v>
      </c>
      <c r="AN17" s="123"/>
      <c r="AO17" s="123"/>
      <c r="AP17" s="123"/>
      <c r="AQ17" s="123"/>
      <c r="AR17" s="125"/>
      <c r="AS17" s="154"/>
      <c r="AT17" s="155"/>
      <c r="AU17" s="153"/>
      <c r="AV17" s="126"/>
      <c r="AW17" s="154">
        <f t="shared" si="5"/>
        <v>0</v>
      </c>
      <c r="AX17" s="158"/>
      <c r="AY17" s="154"/>
      <c r="AZ17" s="154"/>
      <c r="BA17" s="157"/>
      <c r="BB17" s="131" t="s">
        <v>402</v>
      </c>
      <c r="BC17" s="121"/>
      <c r="BD17" s="120"/>
    </row>
    <row r="18" spans="1:56" ht="25.5" x14ac:dyDescent="0.25">
      <c r="A18" s="8" t="s">
        <v>947</v>
      </c>
      <c r="B18" s="8" t="s">
        <v>952</v>
      </c>
      <c r="C18" s="119"/>
      <c r="D18" s="8" t="s">
        <v>945</v>
      </c>
      <c r="E18" s="119"/>
      <c r="F18" s="119" t="s">
        <v>49</v>
      </c>
      <c r="G18" s="9" t="s">
        <v>949</v>
      </c>
      <c r="H18" s="9" t="s">
        <v>953</v>
      </c>
      <c r="I18" s="120" t="s">
        <v>87</v>
      </c>
      <c r="J18" s="121">
        <v>43994</v>
      </c>
      <c r="K18" s="122">
        <v>161</v>
      </c>
      <c r="L18" s="152">
        <v>22</v>
      </c>
      <c r="M18" s="128" t="s">
        <v>25</v>
      </c>
      <c r="N18" s="121">
        <f t="shared" ref="N18:N27" si="8">+WORKDAY(J18,5)</f>
        <v>44001</v>
      </c>
      <c r="O18" s="121"/>
      <c r="P18" s="121">
        <v>44000</v>
      </c>
      <c r="Q18" s="121">
        <f t="shared" ref="Q18:Q27" si="9">+WORKDAY(P18,3)</f>
        <v>44005</v>
      </c>
      <c r="R18" s="121">
        <v>44006</v>
      </c>
      <c r="S18" s="121">
        <f t="shared" si="6"/>
        <v>44020</v>
      </c>
      <c r="T18" s="121"/>
      <c r="U18" s="121"/>
      <c r="V18" s="123"/>
      <c r="W18" s="123"/>
      <c r="X18" s="123"/>
      <c r="Y18" s="123"/>
      <c r="Z18" s="123"/>
      <c r="AA18" s="123"/>
      <c r="AB18" s="123"/>
      <c r="AC18" s="123"/>
      <c r="AD18" s="123"/>
      <c r="AE18" s="123"/>
      <c r="AF18" s="123"/>
      <c r="AG18" s="123"/>
      <c r="AH18" s="123"/>
      <c r="AI18" s="126" t="s">
        <v>124</v>
      </c>
      <c r="AJ18" s="197"/>
      <c r="AK18" s="197">
        <f t="shared" si="7"/>
        <v>0</v>
      </c>
      <c r="AL18" s="129"/>
      <c r="AM18" s="124" t="s">
        <v>144</v>
      </c>
      <c r="AN18" s="123"/>
      <c r="AO18" s="123"/>
      <c r="AP18" s="123"/>
      <c r="AQ18" s="123"/>
      <c r="AR18" s="125"/>
      <c r="AS18" s="154"/>
      <c r="AT18" s="155"/>
      <c r="AU18" s="153"/>
      <c r="AV18" s="126"/>
      <c r="AW18" s="154">
        <f t="shared" ref="AW18:AW27" si="10">AU18+AV18</f>
        <v>0</v>
      </c>
      <c r="AX18" s="158"/>
      <c r="AY18" s="154"/>
      <c r="AZ18" s="154"/>
      <c r="BA18" s="157"/>
      <c r="BB18" s="131" t="s">
        <v>402</v>
      </c>
      <c r="BC18" s="121"/>
      <c r="BD18" s="120"/>
    </row>
    <row r="19" spans="1:56" ht="25.5" x14ac:dyDescent="0.25">
      <c r="A19" s="8" t="s">
        <v>948</v>
      </c>
      <c r="B19" s="8" t="s">
        <v>951</v>
      </c>
      <c r="C19" s="119"/>
      <c r="D19" s="8" t="s">
        <v>946</v>
      </c>
      <c r="E19" s="119"/>
      <c r="F19" s="119" t="s">
        <v>49</v>
      </c>
      <c r="G19" s="9" t="s">
        <v>950</v>
      </c>
      <c r="H19" s="9" t="s">
        <v>954</v>
      </c>
      <c r="I19" s="9" t="s">
        <v>92</v>
      </c>
      <c r="J19" s="121">
        <v>43995</v>
      </c>
      <c r="K19" s="121" t="s">
        <v>25</v>
      </c>
      <c r="L19" s="152">
        <v>8</v>
      </c>
      <c r="M19" s="128" t="s">
        <v>25</v>
      </c>
      <c r="N19" s="121">
        <f t="shared" si="8"/>
        <v>44001</v>
      </c>
      <c r="O19" s="121"/>
      <c r="P19" s="121">
        <v>43999</v>
      </c>
      <c r="Q19" s="121">
        <f t="shared" si="9"/>
        <v>44004</v>
      </c>
      <c r="R19" s="121">
        <v>43995</v>
      </c>
      <c r="S19" s="121">
        <f t="shared" si="6"/>
        <v>44008</v>
      </c>
      <c r="T19" s="121"/>
      <c r="U19" s="121"/>
      <c r="V19" s="123"/>
      <c r="W19" s="123"/>
      <c r="X19" s="123"/>
      <c r="Y19" s="123"/>
      <c r="Z19" s="123"/>
      <c r="AA19" s="123"/>
      <c r="AB19" s="123"/>
      <c r="AC19" s="123"/>
      <c r="AD19" s="123"/>
      <c r="AE19" s="123"/>
      <c r="AF19" s="123"/>
      <c r="AG19" s="123"/>
      <c r="AH19" s="123"/>
      <c r="AI19" s="126" t="s">
        <v>124</v>
      </c>
      <c r="AJ19" s="197"/>
      <c r="AK19" s="197">
        <f t="shared" si="7"/>
        <v>0</v>
      </c>
      <c r="AL19" s="129"/>
      <c r="AM19" s="124" t="s">
        <v>144</v>
      </c>
      <c r="AN19" s="123"/>
      <c r="AO19" s="123"/>
      <c r="AP19" s="123"/>
      <c r="AQ19" s="123"/>
      <c r="AR19" s="125"/>
      <c r="AS19" s="154"/>
      <c r="AT19" s="155"/>
      <c r="AU19" s="153"/>
      <c r="AV19" s="126"/>
      <c r="AW19" s="154">
        <f t="shared" si="10"/>
        <v>0</v>
      </c>
      <c r="AX19" s="158"/>
      <c r="AY19" s="154"/>
      <c r="AZ19" s="154"/>
      <c r="BA19" s="157"/>
      <c r="BB19" s="131" t="s">
        <v>402</v>
      </c>
      <c r="BC19" s="121"/>
      <c r="BD19" s="120"/>
    </row>
    <row r="20" spans="1:56" ht="63.75" x14ac:dyDescent="0.25">
      <c r="A20" s="8" t="s">
        <v>1223</v>
      </c>
      <c r="B20" s="8" t="s">
        <v>1224</v>
      </c>
      <c r="C20" s="8"/>
      <c r="D20" s="8" t="s">
        <v>1225</v>
      </c>
      <c r="E20" s="8"/>
      <c r="F20" s="8" t="s">
        <v>49</v>
      </c>
      <c r="G20" s="9" t="s">
        <v>1226</v>
      </c>
      <c r="H20" s="9" t="s">
        <v>1227</v>
      </c>
      <c r="I20" s="9" t="s">
        <v>87</v>
      </c>
      <c r="J20" s="121">
        <v>43996</v>
      </c>
      <c r="K20" s="10" t="s">
        <v>25</v>
      </c>
      <c r="L20" s="152" t="s">
        <v>25</v>
      </c>
      <c r="M20" s="151" t="s">
        <v>25</v>
      </c>
      <c r="N20" s="10">
        <f t="shared" si="8"/>
        <v>44001</v>
      </c>
      <c r="O20" s="10"/>
      <c r="P20" s="121">
        <v>44001</v>
      </c>
      <c r="Q20" s="121">
        <f t="shared" si="9"/>
        <v>44006</v>
      </c>
      <c r="R20" s="121">
        <v>43996</v>
      </c>
      <c r="S20" s="121">
        <f t="shared" si="6"/>
        <v>44008</v>
      </c>
      <c r="T20" s="121"/>
      <c r="U20" s="121"/>
      <c r="V20" s="15"/>
      <c r="W20" s="15"/>
      <c r="X20" s="15"/>
      <c r="Y20" s="15"/>
      <c r="Z20" s="15"/>
      <c r="AA20" s="15"/>
      <c r="AB20" s="15"/>
      <c r="AC20" s="15"/>
      <c r="AD20" s="15"/>
      <c r="AE20" s="15"/>
      <c r="AF20" s="15"/>
      <c r="AG20" s="15"/>
      <c r="AH20" s="15"/>
      <c r="AI20" s="19" t="s">
        <v>124</v>
      </c>
      <c r="AJ20" s="197"/>
      <c r="AK20" s="197">
        <f t="shared" si="7"/>
        <v>0</v>
      </c>
      <c r="AL20" s="129"/>
      <c r="AM20" s="124" t="s">
        <v>144</v>
      </c>
      <c r="AN20" s="15"/>
      <c r="AO20" s="15"/>
      <c r="AP20" s="15"/>
      <c r="AQ20" s="15"/>
      <c r="AR20" s="16"/>
      <c r="AS20" s="193"/>
      <c r="AT20" s="194"/>
      <c r="AU20" s="195"/>
      <c r="AV20" s="19"/>
      <c r="AW20" s="193">
        <f t="shared" si="10"/>
        <v>0</v>
      </c>
      <c r="AX20" s="158"/>
      <c r="AY20" s="154"/>
      <c r="AZ20" s="154"/>
      <c r="BA20" s="157"/>
      <c r="BB20" s="131"/>
      <c r="BC20" s="121"/>
      <c r="BD20" s="120"/>
    </row>
    <row r="21" spans="1:56" ht="25.5" x14ac:dyDescent="0.25">
      <c r="A21" s="8" t="s">
        <v>1228</v>
      </c>
      <c r="B21" s="8" t="s">
        <v>1229</v>
      </c>
      <c r="C21" s="8"/>
      <c r="D21" s="8" t="s">
        <v>1230</v>
      </c>
      <c r="E21" s="8"/>
      <c r="F21" s="8" t="s">
        <v>49</v>
      </c>
      <c r="G21" s="9" t="s">
        <v>1231</v>
      </c>
      <c r="H21" s="9" t="s">
        <v>1232</v>
      </c>
      <c r="I21" s="9" t="s">
        <v>87</v>
      </c>
      <c r="J21" s="121">
        <v>43997</v>
      </c>
      <c r="K21" s="10" t="s">
        <v>25</v>
      </c>
      <c r="L21" s="152">
        <v>6</v>
      </c>
      <c r="M21" s="151" t="s">
        <v>25</v>
      </c>
      <c r="N21" s="10">
        <f t="shared" si="8"/>
        <v>44004</v>
      </c>
      <c r="O21" s="10"/>
      <c r="P21" s="121">
        <v>44004</v>
      </c>
      <c r="Q21" s="121">
        <f t="shared" si="9"/>
        <v>44007</v>
      </c>
      <c r="R21" s="121">
        <v>44003</v>
      </c>
      <c r="S21" s="121">
        <f t="shared" si="6"/>
        <v>44015</v>
      </c>
      <c r="T21" s="121"/>
      <c r="U21" s="121"/>
      <c r="V21" s="15"/>
      <c r="W21" s="15"/>
      <c r="X21" s="15"/>
      <c r="Y21" s="15"/>
      <c r="Z21" s="15"/>
      <c r="AA21" s="15"/>
      <c r="AB21" s="15"/>
      <c r="AC21" s="15"/>
      <c r="AD21" s="15"/>
      <c r="AE21" s="15"/>
      <c r="AF21" s="15"/>
      <c r="AG21" s="15"/>
      <c r="AH21" s="15"/>
      <c r="AI21" s="19">
        <v>243334.95</v>
      </c>
      <c r="AJ21" s="197"/>
      <c r="AK21" s="197">
        <f t="shared" si="7"/>
        <v>243334.95</v>
      </c>
      <c r="AL21" s="129"/>
      <c r="AM21" s="124" t="s">
        <v>144</v>
      </c>
      <c r="AN21" s="15"/>
      <c r="AO21" s="15"/>
      <c r="AP21" s="15"/>
      <c r="AQ21" s="15"/>
      <c r="AR21" s="16"/>
      <c r="AS21" s="193"/>
      <c r="AT21" s="194"/>
      <c r="AU21" s="195"/>
      <c r="AV21" s="19">
        <f>+(11543112.3/SUM($AK$21:$AK$24))*AK21</f>
        <v>108073.16038948709</v>
      </c>
      <c r="AW21" s="193">
        <f t="shared" si="10"/>
        <v>108073.16038948709</v>
      </c>
      <c r="AX21" s="158"/>
      <c r="AY21" s="154">
        <f>+AV21</f>
        <v>108073.16038948709</v>
      </c>
      <c r="AZ21" s="154"/>
      <c r="BA21" s="157" t="s">
        <v>792</v>
      </c>
      <c r="BB21" s="131"/>
      <c r="BC21" s="121"/>
      <c r="BD21" s="120"/>
    </row>
    <row r="22" spans="1:56" ht="25.5" x14ac:dyDescent="0.25">
      <c r="A22" s="8" t="s">
        <v>1233</v>
      </c>
      <c r="B22" s="8" t="s">
        <v>1234</v>
      </c>
      <c r="C22" s="8"/>
      <c r="D22" s="8" t="s">
        <v>1235</v>
      </c>
      <c r="E22" s="8"/>
      <c r="F22" s="8" t="s">
        <v>49</v>
      </c>
      <c r="G22" s="9" t="s">
        <v>1236</v>
      </c>
      <c r="H22" s="9" t="s">
        <v>1237</v>
      </c>
      <c r="I22" s="9" t="s">
        <v>87</v>
      </c>
      <c r="J22" s="121">
        <v>43998</v>
      </c>
      <c r="K22" s="10" t="s">
        <v>25</v>
      </c>
      <c r="L22" s="152">
        <v>8</v>
      </c>
      <c r="M22" s="151" t="s">
        <v>25</v>
      </c>
      <c r="N22" s="10">
        <f t="shared" si="8"/>
        <v>44005</v>
      </c>
      <c r="O22" s="10"/>
      <c r="P22" s="121"/>
      <c r="Q22" s="121">
        <f t="shared" si="9"/>
        <v>4</v>
      </c>
      <c r="R22" s="121">
        <v>44001</v>
      </c>
      <c r="S22" s="121">
        <f t="shared" si="6"/>
        <v>44015</v>
      </c>
      <c r="T22" s="121"/>
      <c r="U22" s="121"/>
      <c r="V22" s="15"/>
      <c r="W22" s="15"/>
      <c r="X22" s="15"/>
      <c r="Y22" s="15"/>
      <c r="Z22" s="15"/>
      <c r="AA22" s="15"/>
      <c r="AB22" s="15"/>
      <c r="AC22" s="15"/>
      <c r="AD22" s="15"/>
      <c r="AE22" s="15"/>
      <c r="AF22" s="15"/>
      <c r="AG22" s="15"/>
      <c r="AH22" s="15"/>
      <c r="AI22" s="19">
        <v>5518459.8600000003</v>
      </c>
      <c r="AJ22" s="197"/>
      <c r="AK22" s="197">
        <f t="shared" ref="AK22:AK29" si="11">+SUM(AI22:AJ22)</f>
        <v>5518459.8600000003</v>
      </c>
      <c r="AL22" s="129"/>
      <c r="AM22" s="124" t="s">
        <v>144</v>
      </c>
      <c r="AN22" s="15"/>
      <c r="AO22" s="15"/>
      <c r="AP22" s="15"/>
      <c r="AQ22" s="15"/>
      <c r="AR22" s="16"/>
      <c r="AS22" s="193"/>
      <c r="AT22" s="194"/>
      <c r="AU22" s="195"/>
      <c r="AV22" s="19">
        <f>+(11543112.3/SUM($AK$21:$AK$24))*AK22</f>
        <v>2450931.9255319736</v>
      </c>
      <c r="AW22" s="193">
        <f t="shared" si="10"/>
        <v>2450931.9255319736</v>
      </c>
      <c r="AX22" s="158"/>
      <c r="AY22" s="154">
        <f>+AV22</f>
        <v>2450931.9255319736</v>
      </c>
      <c r="AZ22" s="154"/>
      <c r="BA22" s="157" t="s">
        <v>792</v>
      </c>
      <c r="BB22" s="131"/>
      <c r="BC22" s="121"/>
      <c r="BD22" s="120"/>
    </row>
    <row r="23" spans="1:56" ht="25.5" x14ac:dyDescent="0.25">
      <c r="A23" s="8" t="s">
        <v>1228</v>
      </c>
      <c r="B23" s="8" t="s">
        <v>1238</v>
      </c>
      <c r="C23" s="8"/>
      <c r="D23" s="8" t="s">
        <v>1239</v>
      </c>
      <c r="E23" s="8"/>
      <c r="F23" s="8" t="s">
        <v>49</v>
      </c>
      <c r="G23" s="9" t="s">
        <v>1240</v>
      </c>
      <c r="H23" s="9" t="s">
        <v>1241</v>
      </c>
      <c r="I23" s="9" t="s">
        <v>87</v>
      </c>
      <c r="J23" s="121">
        <v>43999</v>
      </c>
      <c r="K23" s="10" t="s">
        <v>25</v>
      </c>
      <c r="L23" s="152">
        <v>9</v>
      </c>
      <c r="M23" s="151" t="s">
        <v>25</v>
      </c>
      <c r="N23" s="10">
        <f t="shared" si="8"/>
        <v>44006</v>
      </c>
      <c r="O23" s="10"/>
      <c r="P23" s="121">
        <v>44005</v>
      </c>
      <c r="Q23" s="121">
        <f t="shared" si="9"/>
        <v>44008</v>
      </c>
      <c r="R23" s="121">
        <v>44003</v>
      </c>
      <c r="S23" s="121">
        <f t="shared" si="6"/>
        <v>44015</v>
      </c>
      <c r="T23" s="121"/>
      <c r="U23" s="121"/>
      <c r="V23" s="15"/>
      <c r="W23" s="15"/>
      <c r="X23" s="15"/>
      <c r="Y23" s="15"/>
      <c r="Z23" s="15"/>
      <c r="AA23" s="15"/>
      <c r="AB23" s="15"/>
      <c r="AC23" s="15"/>
      <c r="AD23" s="15"/>
      <c r="AE23" s="15"/>
      <c r="AF23" s="15"/>
      <c r="AG23" s="15"/>
      <c r="AH23" s="15"/>
      <c r="AI23" s="19">
        <v>18218437.260000002</v>
      </c>
      <c r="AJ23" s="197"/>
      <c r="AK23" s="197">
        <f t="shared" si="11"/>
        <v>18218437.260000002</v>
      </c>
      <c r="AL23" s="129"/>
      <c r="AM23" s="124" t="s">
        <v>144</v>
      </c>
      <c r="AN23" s="15"/>
      <c r="AO23" s="15"/>
      <c r="AP23" s="15"/>
      <c r="AQ23" s="15"/>
      <c r="AR23" s="16"/>
      <c r="AS23" s="193"/>
      <c r="AT23" s="194"/>
      <c r="AU23" s="195"/>
      <c r="AV23" s="19">
        <f>+(11543112.3/SUM($AK$21:$AK$24))*AK23</f>
        <v>8091415.1133891279</v>
      </c>
      <c r="AW23" s="193">
        <f t="shared" si="10"/>
        <v>8091415.1133891279</v>
      </c>
      <c r="AX23" s="158"/>
      <c r="AY23" s="154">
        <f>+AV23</f>
        <v>8091415.1133891279</v>
      </c>
      <c r="AZ23" s="154"/>
      <c r="BA23" s="157" t="s">
        <v>792</v>
      </c>
      <c r="BB23" s="131"/>
      <c r="BC23" s="121"/>
      <c r="BD23" s="120"/>
    </row>
    <row r="24" spans="1:56" ht="25.5" x14ac:dyDescent="0.25">
      <c r="A24" s="8" t="s">
        <v>1242</v>
      </c>
      <c r="B24" s="8" t="s">
        <v>1243</v>
      </c>
      <c r="C24" s="8"/>
      <c r="D24" s="8" t="s">
        <v>1244</v>
      </c>
      <c r="E24" s="8"/>
      <c r="F24" s="8" t="s">
        <v>49</v>
      </c>
      <c r="G24" s="9" t="s">
        <v>1245</v>
      </c>
      <c r="H24" s="9" t="s">
        <v>1246</v>
      </c>
      <c r="I24" s="9" t="s">
        <v>87</v>
      </c>
      <c r="J24" s="121">
        <v>44000</v>
      </c>
      <c r="K24" s="10" t="s">
        <v>25</v>
      </c>
      <c r="L24" s="152">
        <v>11</v>
      </c>
      <c r="M24" s="151" t="s">
        <v>25</v>
      </c>
      <c r="N24" s="10">
        <f t="shared" si="8"/>
        <v>44007</v>
      </c>
      <c r="O24" s="10"/>
      <c r="P24" s="121">
        <v>44007</v>
      </c>
      <c r="Q24" s="121">
        <f t="shared" si="9"/>
        <v>44012</v>
      </c>
      <c r="R24" s="121">
        <v>44000</v>
      </c>
      <c r="S24" s="121">
        <f t="shared" si="6"/>
        <v>44014</v>
      </c>
      <c r="T24" s="121"/>
      <c r="U24" s="121"/>
      <c r="V24" s="15"/>
      <c r="W24" s="15"/>
      <c r="X24" s="15"/>
      <c r="Y24" s="15"/>
      <c r="Z24" s="15"/>
      <c r="AA24" s="15"/>
      <c r="AB24" s="15"/>
      <c r="AC24" s="15"/>
      <c r="AD24" s="15"/>
      <c r="AE24" s="15"/>
      <c r="AF24" s="15"/>
      <c r="AG24" s="15"/>
      <c r="AH24" s="15"/>
      <c r="AI24" s="19">
        <v>2009964.24</v>
      </c>
      <c r="AJ24" s="197"/>
      <c r="AK24" s="197">
        <f t="shared" si="11"/>
        <v>2009964.24</v>
      </c>
      <c r="AL24" s="129"/>
      <c r="AM24" s="124" t="s">
        <v>144</v>
      </c>
      <c r="AN24" s="15"/>
      <c r="AO24" s="15"/>
      <c r="AP24" s="15"/>
      <c r="AQ24" s="15"/>
      <c r="AR24" s="16"/>
      <c r="AS24" s="193"/>
      <c r="AT24" s="194"/>
      <c r="AU24" s="195"/>
      <c r="AV24" s="19">
        <f>+(11543112.3/SUM($AK$21:$AK$24))*AK24</f>
        <v>892692.10068941396</v>
      </c>
      <c r="AW24" s="193">
        <f t="shared" si="10"/>
        <v>892692.10068941396</v>
      </c>
      <c r="AX24" s="158"/>
      <c r="AY24" s="154">
        <f>+AV24</f>
        <v>892692.10068941396</v>
      </c>
      <c r="AZ24" s="154"/>
      <c r="BA24" s="157" t="s">
        <v>792</v>
      </c>
      <c r="BB24" s="131"/>
      <c r="BC24" s="121"/>
      <c r="BD24" s="120"/>
    </row>
    <row r="25" spans="1:56" ht="114.75" x14ac:dyDescent="0.25">
      <c r="A25" s="8" t="s">
        <v>1727</v>
      </c>
      <c r="B25" s="8" t="s">
        <v>1730</v>
      </c>
      <c r="C25" s="8"/>
      <c r="D25" s="8" t="s">
        <v>1728</v>
      </c>
      <c r="E25" s="8"/>
      <c r="F25" s="8" t="s">
        <v>49</v>
      </c>
      <c r="G25" s="9" t="s">
        <v>1729</v>
      </c>
      <c r="H25" s="9" t="s">
        <v>1731</v>
      </c>
      <c r="I25" s="9" t="s">
        <v>86</v>
      </c>
      <c r="J25" s="121">
        <v>44001</v>
      </c>
      <c r="K25" s="151" t="s">
        <v>25</v>
      </c>
      <c r="L25" s="152" t="s">
        <v>25</v>
      </c>
      <c r="M25" s="151" t="s">
        <v>25</v>
      </c>
      <c r="N25" s="10">
        <f t="shared" si="8"/>
        <v>44008</v>
      </c>
      <c r="O25" s="10"/>
      <c r="P25" s="121">
        <v>44001</v>
      </c>
      <c r="Q25" s="121">
        <f t="shared" si="9"/>
        <v>44006</v>
      </c>
      <c r="R25" s="121">
        <v>44001</v>
      </c>
      <c r="S25" s="121">
        <f t="shared" si="6"/>
        <v>44015</v>
      </c>
      <c r="T25" s="121"/>
      <c r="U25" s="121"/>
      <c r="V25" s="15"/>
      <c r="W25" s="15"/>
      <c r="X25" s="15"/>
      <c r="Y25" s="15"/>
      <c r="Z25" s="15"/>
      <c r="AA25" s="15"/>
      <c r="AB25" s="15"/>
      <c r="AC25" s="15"/>
      <c r="AD25" s="15"/>
      <c r="AE25" s="15"/>
      <c r="AF25" s="15"/>
      <c r="AG25" s="15"/>
      <c r="AH25" s="15"/>
      <c r="AI25" s="19" t="s">
        <v>124</v>
      </c>
      <c r="AJ25" s="197"/>
      <c r="AK25" s="197">
        <f t="shared" si="11"/>
        <v>0</v>
      </c>
      <c r="AL25" s="129"/>
      <c r="AM25" s="150" t="s">
        <v>144</v>
      </c>
      <c r="AN25" s="15"/>
      <c r="AO25" s="15"/>
      <c r="AP25" s="15"/>
      <c r="AQ25" s="15"/>
      <c r="AR25" s="16"/>
      <c r="AS25" s="19"/>
      <c r="AT25" s="19"/>
      <c r="AU25" s="19"/>
      <c r="AV25" s="19"/>
      <c r="AW25" s="154">
        <f t="shared" si="10"/>
        <v>0</v>
      </c>
      <c r="AX25" s="195"/>
      <c r="AY25" s="193"/>
      <c r="AZ25" s="193"/>
      <c r="BA25" s="157"/>
      <c r="BB25" s="200"/>
      <c r="BC25" s="10"/>
      <c r="BD25" s="120"/>
    </row>
    <row r="26" spans="1:56" ht="89.25" x14ac:dyDescent="0.25">
      <c r="A26" s="8" t="s">
        <v>1734</v>
      </c>
      <c r="B26" s="8" t="s">
        <v>1735</v>
      </c>
      <c r="C26" s="8"/>
      <c r="D26" s="8" t="s">
        <v>1733</v>
      </c>
      <c r="E26" s="8"/>
      <c r="F26" s="8" t="s">
        <v>49</v>
      </c>
      <c r="G26" s="9" t="s">
        <v>1732</v>
      </c>
      <c r="H26" s="9" t="s">
        <v>1737</v>
      </c>
      <c r="I26" s="9" t="s">
        <v>92</v>
      </c>
      <c r="J26" s="121">
        <v>44002</v>
      </c>
      <c r="K26" s="151" t="s">
        <v>25</v>
      </c>
      <c r="L26" s="152" t="s">
        <v>1736</v>
      </c>
      <c r="M26" s="151" t="s">
        <v>25</v>
      </c>
      <c r="N26" s="10">
        <f t="shared" si="8"/>
        <v>44008</v>
      </c>
      <c r="O26" s="10"/>
      <c r="P26" s="121">
        <v>44007</v>
      </c>
      <c r="Q26" s="121">
        <f t="shared" si="9"/>
        <v>44012</v>
      </c>
      <c r="R26" s="121">
        <v>44002</v>
      </c>
      <c r="S26" s="121">
        <f t="shared" si="6"/>
        <v>44015</v>
      </c>
      <c r="T26" s="121"/>
      <c r="U26" s="121"/>
      <c r="V26" s="15"/>
      <c r="W26" s="15"/>
      <c r="X26" s="15"/>
      <c r="Y26" s="15"/>
      <c r="Z26" s="15"/>
      <c r="AA26" s="15"/>
      <c r="AB26" s="15"/>
      <c r="AC26" s="15"/>
      <c r="AD26" s="15"/>
      <c r="AE26" s="15"/>
      <c r="AF26" s="15"/>
      <c r="AG26" s="15"/>
      <c r="AH26" s="15"/>
      <c r="AI26" s="19" t="s">
        <v>124</v>
      </c>
      <c r="AJ26" s="197"/>
      <c r="AK26" s="197">
        <f t="shared" si="11"/>
        <v>0</v>
      </c>
      <c r="AL26" s="129"/>
      <c r="AM26" s="150" t="s">
        <v>144</v>
      </c>
      <c r="AN26" s="15"/>
      <c r="AO26" s="15"/>
      <c r="AP26" s="15"/>
      <c r="AQ26" s="15"/>
      <c r="AR26" s="16"/>
      <c r="AS26" s="19"/>
      <c r="AT26" s="19"/>
      <c r="AU26" s="19"/>
      <c r="AV26" s="19"/>
      <c r="AW26" s="154">
        <f t="shared" si="10"/>
        <v>0</v>
      </c>
      <c r="AX26" s="195"/>
      <c r="AY26" s="193"/>
      <c r="AZ26" s="193"/>
      <c r="BA26" s="157"/>
      <c r="BB26" s="200"/>
      <c r="BC26" s="10"/>
      <c r="BD26" s="120"/>
    </row>
    <row r="27" spans="1:56" ht="89.25" x14ac:dyDescent="0.25">
      <c r="A27" s="8" t="s">
        <v>1801</v>
      </c>
      <c r="B27" s="8" t="s">
        <v>1870</v>
      </c>
      <c r="C27" s="8"/>
      <c r="D27" s="8" t="s">
        <v>1799</v>
      </c>
      <c r="E27" s="8"/>
      <c r="F27" s="8" t="s">
        <v>49</v>
      </c>
      <c r="G27" s="9" t="s">
        <v>1803</v>
      </c>
      <c r="H27" s="9" t="s">
        <v>1804</v>
      </c>
      <c r="I27" s="9" t="s">
        <v>92</v>
      </c>
      <c r="J27" s="121">
        <v>44003</v>
      </c>
      <c r="K27" s="151" t="s">
        <v>25</v>
      </c>
      <c r="L27" s="152">
        <v>21</v>
      </c>
      <c r="M27" s="151" t="s">
        <v>25</v>
      </c>
      <c r="N27" s="10">
        <f t="shared" si="8"/>
        <v>44008</v>
      </c>
      <c r="O27" s="10"/>
      <c r="P27" s="121">
        <v>44007</v>
      </c>
      <c r="Q27" s="121">
        <f t="shared" si="9"/>
        <v>44012</v>
      </c>
      <c r="R27" s="121">
        <v>44003</v>
      </c>
      <c r="S27" s="121">
        <f t="shared" si="6"/>
        <v>44015</v>
      </c>
      <c r="T27" s="121"/>
      <c r="U27" s="121"/>
      <c r="V27" s="15"/>
      <c r="W27" s="15"/>
      <c r="X27" s="15"/>
      <c r="Y27" s="15"/>
      <c r="Z27" s="15"/>
      <c r="AA27" s="15"/>
      <c r="AB27" s="15"/>
      <c r="AC27" s="15"/>
      <c r="AD27" s="15"/>
      <c r="AE27" s="15"/>
      <c r="AF27" s="15"/>
      <c r="AG27" s="15"/>
      <c r="AH27" s="15"/>
      <c r="AI27" s="19" t="s">
        <v>124</v>
      </c>
      <c r="AJ27" s="197"/>
      <c r="AK27" s="197">
        <f t="shared" si="11"/>
        <v>0</v>
      </c>
      <c r="AL27" s="129"/>
      <c r="AM27" s="150" t="s">
        <v>144</v>
      </c>
      <c r="AN27" s="15"/>
      <c r="AO27" s="15"/>
      <c r="AP27" s="15"/>
      <c r="AQ27" s="15"/>
      <c r="AR27" s="16"/>
      <c r="AS27" s="19"/>
      <c r="AT27" s="19"/>
      <c r="AU27" s="19"/>
      <c r="AV27" s="19"/>
      <c r="AW27" s="154">
        <f t="shared" si="10"/>
        <v>0</v>
      </c>
      <c r="AX27" s="195"/>
      <c r="AY27" s="193"/>
      <c r="AZ27" s="193"/>
      <c r="BA27" s="157"/>
      <c r="BB27" s="200"/>
      <c r="BC27" s="10"/>
      <c r="BD27" s="120"/>
    </row>
    <row r="28" spans="1:56" ht="89.25" x14ac:dyDescent="0.25">
      <c r="A28" s="8" t="s">
        <v>1802</v>
      </c>
      <c r="B28" s="8" t="s">
        <v>1805</v>
      </c>
      <c r="C28" s="8"/>
      <c r="D28" s="8" t="s">
        <v>1800</v>
      </c>
      <c r="E28" s="8"/>
      <c r="F28" s="8" t="s">
        <v>49</v>
      </c>
      <c r="G28" s="9" t="s">
        <v>1792</v>
      </c>
      <c r="H28" s="9" t="s">
        <v>1806</v>
      </c>
      <c r="I28" s="9" t="s">
        <v>92</v>
      </c>
      <c r="J28" s="121">
        <v>44004</v>
      </c>
      <c r="K28" s="151" t="s">
        <v>25</v>
      </c>
      <c r="L28" s="152" t="s">
        <v>1920</v>
      </c>
      <c r="M28" s="151" t="s">
        <v>25</v>
      </c>
      <c r="N28" s="10">
        <f t="shared" ref="N28:N30" si="12">+WORKDAY(J28,5)</f>
        <v>44011</v>
      </c>
      <c r="O28" s="10"/>
      <c r="P28" s="121">
        <v>44011</v>
      </c>
      <c r="Q28" s="121">
        <f t="shared" ref="Q28:Q31" si="13">+WORKDAY(P28,3)</f>
        <v>44014</v>
      </c>
      <c r="R28" s="121">
        <v>44004</v>
      </c>
      <c r="S28" s="121">
        <f t="shared" si="6"/>
        <v>44018</v>
      </c>
      <c r="T28" s="121"/>
      <c r="U28" s="121"/>
      <c r="V28" s="15"/>
      <c r="W28" s="15"/>
      <c r="X28" s="15"/>
      <c r="Y28" s="15"/>
      <c r="Z28" s="15"/>
      <c r="AA28" s="15"/>
      <c r="AB28" s="15"/>
      <c r="AC28" s="15"/>
      <c r="AD28" s="15"/>
      <c r="AE28" s="15"/>
      <c r="AF28" s="15"/>
      <c r="AG28" s="15"/>
      <c r="AH28" s="15"/>
      <c r="AI28" s="19" t="s">
        <v>124</v>
      </c>
      <c r="AJ28" s="197"/>
      <c r="AK28" s="197">
        <f t="shared" si="11"/>
        <v>0</v>
      </c>
      <c r="AL28" s="129"/>
      <c r="AM28" s="150" t="s">
        <v>144</v>
      </c>
      <c r="AN28" s="15"/>
      <c r="AO28" s="15"/>
      <c r="AP28" s="15"/>
      <c r="AQ28" s="15"/>
      <c r="AR28" s="16"/>
      <c r="AS28" s="19"/>
      <c r="AT28" s="19"/>
      <c r="AU28" s="19"/>
      <c r="AV28" s="19"/>
      <c r="AW28" s="154">
        <f t="shared" ref="AW28:AW31" si="14">AU28+AV28</f>
        <v>0</v>
      </c>
      <c r="AX28" s="195"/>
      <c r="AY28" s="193"/>
      <c r="AZ28" s="193"/>
      <c r="BA28" s="157"/>
      <c r="BB28" s="200"/>
      <c r="BC28" s="10"/>
      <c r="BD28" s="120"/>
    </row>
    <row r="29" spans="1:56" ht="38.25" x14ac:dyDescent="0.25">
      <c r="A29" s="8" t="s">
        <v>1835</v>
      </c>
      <c r="B29" s="8" t="s">
        <v>1836</v>
      </c>
      <c r="C29" s="8"/>
      <c r="D29" s="8" t="s">
        <v>1837</v>
      </c>
      <c r="E29" s="8"/>
      <c r="F29" s="8" t="s">
        <v>49</v>
      </c>
      <c r="G29" s="9" t="s">
        <v>1838</v>
      </c>
      <c r="H29" s="9" t="s">
        <v>1833</v>
      </c>
      <c r="I29" s="9" t="s">
        <v>92</v>
      </c>
      <c r="J29" s="121">
        <v>44005</v>
      </c>
      <c r="K29" s="151" t="s">
        <v>25</v>
      </c>
      <c r="L29" s="152" t="s">
        <v>25</v>
      </c>
      <c r="M29" s="151" t="s">
        <v>25</v>
      </c>
      <c r="N29" s="10">
        <f t="shared" si="12"/>
        <v>44012</v>
      </c>
      <c r="O29" s="10"/>
      <c r="P29" s="121"/>
      <c r="Q29" s="121">
        <f t="shared" si="13"/>
        <v>4</v>
      </c>
      <c r="R29" s="121">
        <v>44005</v>
      </c>
      <c r="S29" s="121">
        <f t="shared" si="6"/>
        <v>44019</v>
      </c>
      <c r="T29" s="121"/>
      <c r="U29" s="121"/>
      <c r="V29" s="15"/>
      <c r="W29" s="15"/>
      <c r="X29" s="15"/>
      <c r="Y29" s="15"/>
      <c r="Z29" s="15"/>
      <c r="AA29" s="15"/>
      <c r="AB29" s="15"/>
      <c r="AC29" s="15"/>
      <c r="AD29" s="15"/>
      <c r="AE29" s="15"/>
      <c r="AF29" s="15"/>
      <c r="AG29" s="15"/>
      <c r="AH29" s="15"/>
      <c r="AI29" s="19" t="s">
        <v>124</v>
      </c>
      <c r="AJ29" s="197"/>
      <c r="AK29" s="197">
        <f t="shared" si="11"/>
        <v>0</v>
      </c>
      <c r="AL29" s="129"/>
      <c r="AM29" s="150" t="s">
        <v>144</v>
      </c>
      <c r="AN29" s="15"/>
      <c r="AO29" s="15"/>
      <c r="AP29" s="15"/>
      <c r="AQ29" s="15"/>
      <c r="AR29" s="16"/>
      <c r="AS29" s="19"/>
      <c r="AT29" s="19"/>
      <c r="AU29" s="19"/>
      <c r="AV29" s="19"/>
      <c r="AW29" s="154">
        <f t="shared" si="14"/>
        <v>0</v>
      </c>
      <c r="AX29" s="195"/>
      <c r="AY29" s="193"/>
      <c r="AZ29" s="193"/>
      <c r="BA29" s="157"/>
      <c r="BB29" s="200"/>
      <c r="BC29" s="10"/>
      <c r="BD29" s="120"/>
    </row>
    <row r="30" spans="1:56" ht="51" x14ac:dyDescent="0.25">
      <c r="A30" s="8" t="s">
        <v>1930</v>
      </c>
      <c r="B30" s="8" t="s">
        <v>1931</v>
      </c>
      <c r="C30" s="8"/>
      <c r="D30" s="8" t="s">
        <v>1929</v>
      </c>
      <c r="E30" s="8"/>
      <c r="F30" s="8" t="s">
        <v>49</v>
      </c>
      <c r="G30" s="9" t="s">
        <v>681</v>
      </c>
      <c r="H30" s="9" t="s">
        <v>1932</v>
      </c>
      <c r="I30" s="9" t="s">
        <v>92</v>
      </c>
      <c r="J30" s="121">
        <v>44006</v>
      </c>
      <c r="K30" s="152" t="s">
        <v>25</v>
      </c>
      <c r="L30" s="152" t="s">
        <v>25</v>
      </c>
      <c r="M30" s="151" t="s">
        <v>25</v>
      </c>
      <c r="N30" s="10">
        <f t="shared" si="12"/>
        <v>44013</v>
      </c>
      <c r="O30" s="10"/>
      <c r="P30" s="121"/>
      <c r="Q30" s="121">
        <f t="shared" si="13"/>
        <v>4</v>
      </c>
      <c r="R30" s="121">
        <v>44006</v>
      </c>
      <c r="S30" s="121">
        <f t="shared" si="6"/>
        <v>44020</v>
      </c>
      <c r="T30" s="121"/>
      <c r="U30" s="121"/>
      <c r="V30" s="15"/>
      <c r="W30" s="15"/>
      <c r="X30" s="15"/>
      <c r="Y30" s="15"/>
      <c r="Z30" s="15"/>
      <c r="AA30" s="15"/>
      <c r="AB30" s="15"/>
      <c r="AC30" s="15"/>
      <c r="AD30" s="15"/>
      <c r="AE30" s="15"/>
      <c r="AF30" s="15"/>
      <c r="AG30" s="15"/>
      <c r="AH30" s="15"/>
      <c r="AI30" s="19"/>
      <c r="AJ30" s="197"/>
      <c r="AK30" s="197"/>
      <c r="AL30" s="129"/>
      <c r="AM30" s="150" t="s">
        <v>144</v>
      </c>
      <c r="AN30" s="15"/>
      <c r="AO30" s="15"/>
      <c r="AP30" s="15"/>
      <c r="AQ30" s="15"/>
      <c r="AR30" s="16"/>
      <c r="AS30" s="19"/>
      <c r="AT30" s="19"/>
      <c r="AU30" s="19"/>
      <c r="AV30" s="19"/>
      <c r="AW30" s="154">
        <f t="shared" si="14"/>
        <v>0</v>
      </c>
      <c r="AX30" s="195"/>
      <c r="AY30" s="193"/>
      <c r="AZ30" s="193"/>
      <c r="BA30" s="157"/>
      <c r="BB30" s="200"/>
      <c r="BC30" s="10"/>
      <c r="BD30" s="120"/>
    </row>
    <row r="31" spans="1:56" ht="38.25" x14ac:dyDescent="0.25">
      <c r="A31" s="8" t="s">
        <v>1935</v>
      </c>
      <c r="B31" s="8" t="s">
        <v>1936</v>
      </c>
      <c r="C31" s="8"/>
      <c r="D31" s="8" t="s">
        <v>1934</v>
      </c>
      <c r="E31" s="8"/>
      <c r="F31" s="8" t="s">
        <v>49</v>
      </c>
      <c r="G31" s="9" t="s">
        <v>1933</v>
      </c>
      <c r="H31" s="9" t="s">
        <v>1937</v>
      </c>
      <c r="I31" s="9" t="s">
        <v>92</v>
      </c>
      <c r="J31" s="121">
        <v>44007</v>
      </c>
      <c r="K31" s="152" t="s">
        <v>25</v>
      </c>
      <c r="L31" s="152" t="s">
        <v>25</v>
      </c>
      <c r="M31" s="151" t="s">
        <v>25</v>
      </c>
      <c r="N31" s="10">
        <f>+WORKDAY(J31,5)</f>
        <v>44014</v>
      </c>
      <c r="O31" s="10"/>
      <c r="P31" s="121"/>
      <c r="Q31" s="121">
        <f t="shared" si="13"/>
        <v>4</v>
      </c>
      <c r="R31" s="121">
        <v>44007</v>
      </c>
      <c r="S31" s="121">
        <f t="shared" si="6"/>
        <v>44021</v>
      </c>
      <c r="T31" s="121"/>
      <c r="U31" s="121"/>
      <c r="V31" s="15"/>
      <c r="W31" s="15"/>
      <c r="X31" s="15"/>
      <c r="Y31" s="15"/>
      <c r="Z31" s="15"/>
      <c r="AA31" s="15"/>
      <c r="AB31" s="15"/>
      <c r="AC31" s="15"/>
      <c r="AD31" s="15"/>
      <c r="AE31" s="15"/>
      <c r="AF31" s="15"/>
      <c r="AG31" s="15"/>
      <c r="AH31" s="15"/>
      <c r="AI31" s="19"/>
      <c r="AJ31" s="197"/>
      <c r="AK31" s="197"/>
      <c r="AL31" s="129"/>
      <c r="AM31" s="150" t="s">
        <v>144</v>
      </c>
      <c r="AN31" s="15"/>
      <c r="AO31" s="15"/>
      <c r="AP31" s="15"/>
      <c r="AQ31" s="15"/>
      <c r="AR31" s="16"/>
      <c r="AS31" s="19"/>
      <c r="AT31" s="19"/>
      <c r="AU31" s="19"/>
      <c r="AV31" s="19"/>
      <c r="AW31" s="154">
        <f t="shared" si="14"/>
        <v>0</v>
      </c>
      <c r="AX31" s="195"/>
      <c r="AY31" s="193"/>
      <c r="AZ31" s="193"/>
      <c r="BA31" s="157"/>
      <c r="BB31" s="200"/>
      <c r="BC31" s="10"/>
      <c r="BD31" s="120"/>
    </row>
    <row r="32" spans="1:56" x14ac:dyDescent="0.25">
      <c r="A32" s="567"/>
      <c r="B32" s="568"/>
      <c r="C32" s="568"/>
      <c r="D32" s="568"/>
      <c r="E32" s="568"/>
      <c r="F32" s="568"/>
      <c r="G32" s="569"/>
      <c r="H32" s="569"/>
      <c r="I32" s="569"/>
      <c r="J32" s="198"/>
      <c r="K32" s="570"/>
      <c r="L32" s="570"/>
      <c r="M32" s="571"/>
      <c r="N32" s="198"/>
      <c r="O32" s="198"/>
      <c r="P32" s="198"/>
      <c r="Q32" s="198"/>
      <c r="R32" s="198"/>
      <c r="S32" s="198"/>
      <c r="T32" s="198"/>
      <c r="U32" s="198"/>
      <c r="V32" s="199"/>
      <c r="W32" s="199"/>
      <c r="X32" s="199"/>
      <c r="Y32" s="199"/>
      <c r="Z32" s="199"/>
      <c r="AA32" s="199"/>
      <c r="AB32" s="199"/>
      <c r="AC32" s="199"/>
      <c r="AD32" s="199"/>
      <c r="AE32" s="199"/>
      <c r="AF32" s="199"/>
      <c r="AG32" s="199"/>
      <c r="AH32" s="199"/>
      <c r="AI32" s="572"/>
      <c r="AJ32" s="573"/>
      <c r="AK32" s="573"/>
      <c r="AL32" s="137"/>
      <c r="AM32" s="574"/>
      <c r="AN32" s="199"/>
      <c r="AO32" s="199"/>
      <c r="AP32" s="199"/>
      <c r="AQ32" s="199"/>
      <c r="AR32" s="575"/>
      <c r="AS32" s="572"/>
      <c r="AT32" s="572"/>
      <c r="AU32" s="572"/>
      <c r="AV32" s="572"/>
      <c r="AW32" s="572"/>
      <c r="AX32" s="572"/>
      <c r="AY32" s="572"/>
      <c r="AZ32" s="572"/>
      <c r="BA32" s="138"/>
      <c r="BB32" s="576"/>
      <c r="BC32" s="577"/>
      <c r="BD32" s="120"/>
    </row>
    <row r="33" spans="1:56" x14ac:dyDescent="0.25">
      <c r="A33" s="132"/>
      <c r="B33" s="110"/>
      <c r="C33" s="110"/>
      <c r="D33" s="110"/>
      <c r="E33" s="110"/>
      <c r="F33" s="110"/>
      <c r="G33" s="133"/>
      <c r="H33" s="133"/>
      <c r="I33" s="133"/>
      <c r="J33" s="134"/>
      <c r="K33" s="134"/>
      <c r="L33" s="134"/>
      <c r="M33" s="134"/>
      <c r="N33" s="134"/>
      <c r="O33" s="134"/>
      <c r="P33" s="134"/>
      <c r="Q33" s="134"/>
      <c r="R33" s="134"/>
      <c r="S33" s="134"/>
      <c r="T33" s="134"/>
      <c r="U33" s="134"/>
      <c r="V33" s="135"/>
      <c r="W33" s="135"/>
      <c r="X33" s="135"/>
      <c r="Y33" s="135"/>
      <c r="Z33" s="135"/>
      <c r="AA33" s="135"/>
      <c r="AB33" s="135"/>
      <c r="AC33" s="135"/>
      <c r="AD33" s="135"/>
      <c r="AE33" s="135"/>
      <c r="AF33" s="135"/>
      <c r="AG33" s="135"/>
      <c r="AH33" s="135"/>
      <c r="AI33" s="135"/>
      <c r="AJ33" s="135"/>
      <c r="AK33" s="136"/>
      <c r="AL33" s="137"/>
      <c r="AM33" s="100"/>
      <c r="AN33" s="135"/>
      <c r="AO33" s="135"/>
      <c r="AP33" s="135"/>
      <c r="AQ33" s="135"/>
      <c r="AR33" s="139"/>
      <c r="AS33" s="136"/>
      <c r="AT33" s="136"/>
      <c r="AU33" s="136"/>
      <c r="AV33" s="136"/>
      <c r="AW33" s="136"/>
      <c r="AX33" s="136"/>
      <c r="AY33" s="136"/>
      <c r="AZ33" s="136"/>
      <c r="BA33" s="138"/>
      <c r="BB33" s="140"/>
      <c r="BC33" s="141"/>
      <c r="BD33" s="127"/>
    </row>
    <row r="34" spans="1:56" ht="13.9" customHeight="1" thickBot="1" x14ac:dyDescent="0.3">
      <c r="A34" s="142" t="s">
        <v>33</v>
      </c>
      <c r="B34" s="143"/>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c r="AB34" s="144"/>
      <c r="AC34" s="144"/>
      <c r="AD34" s="144"/>
      <c r="AE34" s="144"/>
      <c r="AF34" s="144"/>
      <c r="AG34" s="144"/>
      <c r="AH34" s="144"/>
      <c r="AI34" s="144"/>
      <c r="AJ34" s="144"/>
      <c r="AK34" s="144"/>
      <c r="AL34" s="144"/>
      <c r="AM34" s="144"/>
      <c r="AN34" s="144"/>
      <c r="AO34" s="144"/>
      <c r="AP34" s="144"/>
      <c r="AQ34" s="144"/>
      <c r="AR34" s="144"/>
      <c r="AS34" s="144"/>
      <c r="AT34" s="144"/>
      <c r="AU34" s="144"/>
      <c r="AV34" s="144"/>
      <c r="AW34" s="144"/>
      <c r="AX34" s="144"/>
      <c r="AY34" s="144"/>
      <c r="AZ34" s="144"/>
      <c r="BA34" s="144"/>
      <c r="BB34" s="144"/>
      <c r="BC34" s="145"/>
      <c r="BD34" s="86"/>
    </row>
    <row r="35" spans="1:56" ht="16.5" customHeight="1" x14ac:dyDescent="0.25">
      <c r="J35" s="86"/>
      <c r="K35" s="86"/>
      <c r="L35" s="86"/>
      <c r="M35" s="86"/>
      <c r="N35" s="86"/>
      <c r="O35" s="86"/>
      <c r="P35" s="86"/>
      <c r="AR35" s="147"/>
      <c r="AS35" s="146"/>
      <c r="AT35" s="146"/>
      <c r="AU35" s="146"/>
      <c r="AV35" s="146"/>
      <c r="AW35" s="146"/>
      <c r="AX35" s="146"/>
      <c r="AY35" s="146"/>
      <c r="AZ35" s="146"/>
      <c r="BB35" s="94"/>
      <c r="BC35" s="94"/>
      <c r="BD35" s="86"/>
    </row>
    <row r="36" spans="1:56" ht="63.75" x14ac:dyDescent="0.25">
      <c r="A36" s="119" t="s">
        <v>282</v>
      </c>
      <c r="B36" s="119"/>
      <c r="C36" s="119"/>
      <c r="D36" s="119"/>
      <c r="E36" s="119"/>
      <c r="F36" s="119"/>
      <c r="G36" s="120" t="s">
        <v>272</v>
      </c>
      <c r="H36" s="120"/>
      <c r="I36" s="120"/>
      <c r="J36" s="121"/>
      <c r="K36" s="121"/>
      <c r="L36" s="122" t="s">
        <v>277</v>
      </c>
      <c r="M36" s="128"/>
      <c r="N36" s="121"/>
      <c r="O36" s="121"/>
      <c r="P36" s="121"/>
      <c r="Q36" s="121"/>
      <c r="R36" s="121"/>
      <c r="S36" s="121"/>
      <c r="T36" s="121"/>
      <c r="U36" s="121"/>
      <c r="V36" s="123"/>
      <c r="W36" s="123"/>
      <c r="X36" s="123"/>
      <c r="Y36" s="123"/>
      <c r="Z36" s="123"/>
      <c r="AA36" s="123"/>
      <c r="AB36" s="123"/>
      <c r="AC36" s="123"/>
      <c r="AD36" s="123"/>
      <c r="AE36" s="123"/>
      <c r="AF36" s="123"/>
      <c r="AG36" s="123"/>
      <c r="AH36" s="123"/>
      <c r="AI36" s="123"/>
      <c r="AJ36" s="123"/>
      <c r="AK36" s="126"/>
      <c r="AL36" s="129"/>
      <c r="AM36" s="124"/>
      <c r="AN36" s="123"/>
      <c r="AO36" s="123"/>
      <c r="AP36" s="123"/>
      <c r="AQ36" s="123"/>
      <c r="AR36" s="125"/>
      <c r="AS36" s="126"/>
      <c r="AT36" s="126"/>
      <c r="AU36" s="126"/>
      <c r="AV36" s="126"/>
      <c r="AW36" s="126"/>
      <c r="AX36" s="126"/>
      <c r="AY36" s="126"/>
      <c r="AZ36" s="126"/>
      <c r="BA36" s="130"/>
      <c r="BB36" s="131"/>
      <c r="BC36" s="121"/>
      <c r="BD36" s="120" t="s">
        <v>273</v>
      </c>
    </row>
    <row r="37" spans="1:56" ht="51" x14ac:dyDescent="0.25">
      <c r="A37" s="119" t="s">
        <v>282</v>
      </c>
      <c r="B37" s="119"/>
      <c r="C37" s="119"/>
      <c r="D37" s="119"/>
      <c r="E37" s="119"/>
      <c r="F37" s="119"/>
      <c r="G37" s="133" t="s">
        <v>231</v>
      </c>
      <c r="H37" s="133"/>
      <c r="I37" s="120"/>
      <c r="J37" s="121"/>
      <c r="K37" s="121"/>
      <c r="L37" s="122" t="s">
        <v>221</v>
      </c>
      <c r="M37" s="128"/>
      <c r="N37" s="121"/>
      <c r="O37" s="121"/>
      <c r="P37" s="121"/>
      <c r="Q37" s="121"/>
      <c r="R37" s="121"/>
      <c r="S37" s="121"/>
      <c r="T37" s="121"/>
      <c r="U37" s="121"/>
      <c r="V37" s="123"/>
      <c r="W37" s="123"/>
      <c r="X37" s="123"/>
      <c r="Y37" s="123"/>
      <c r="Z37" s="123"/>
      <c r="AA37" s="123"/>
      <c r="AB37" s="123"/>
      <c r="AC37" s="123"/>
      <c r="AD37" s="123"/>
      <c r="AE37" s="123"/>
      <c r="AF37" s="123"/>
      <c r="AG37" s="123"/>
      <c r="AH37" s="123"/>
      <c r="AI37" s="123"/>
      <c r="AJ37" s="123"/>
      <c r="AK37" s="126"/>
      <c r="AL37" s="129"/>
      <c r="AM37" s="124"/>
      <c r="AN37" s="123"/>
      <c r="AO37" s="123"/>
      <c r="AP37" s="123"/>
      <c r="AQ37" s="123"/>
      <c r="AR37" s="125"/>
      <c r="AS37" s="126"/>
      <c r="AT37" s="126"/>
      <c r="AU37" s="126"/>
      <c r="AV37" s="126"/>
      <c r="AW37" s="126"/>
      <c r="AX37" s="126"/>
      <c r="AY37" s="126"/>
      <c r="AZ37" s="126"/>
      <c r="BA37" s="130"/>
      <c r="BB37" s="131"/>
      <c r="BC37" s="121"/>
      <c r="BD37" s="120" t="s">
        <v>274</v>
      </c>
    </row>
    <row r="38" spans="1:56" ht="38.25" x14ac:dyDescent="0.25">
      <c r="A38" s="119" t="s">
        <v>282</v>
      </c>
      <c r="B38" s="119"/>
      <c r="C38" s="119"/>
      <c r="D38" s="119"/>
      <c r="E38" s="119"/>
      <c r="F38" s="119"/>
      <c r="G38" s="120" t="s">
        <v>275</v>
      </c>
      <c r="H38" s="120"/>
      <c r="I38" s="120"/>
      <c r="J38" s="121"/>
      <c r="K38" s="121"/>
      <c r="L38" s="122">
        <v>4</v>
      </c>
      <c r="M38" s="128"/>
      <c r="N38" s="121"/>
      <c r="O38" s="121"/>
      <c r="P38" s="121"/>
      <c r="Q38" s="121"/>
      <c r="R38" s="121"/>
      <c r="S38" s="121"/>
      <c r="T38" s="121"/>
      <c r="U38" s="121"/>
      <c r="V38" s="123"/>
      <c r="W38" s="123"/>
      <c r="X38" s="123"/>
      <c r="Y38" s="123"/>
      <c r="Z38" s="123"/>
      <c r="AA38" s="123"/>
      <c r="AB38" s="123"/>
      <c r="AC38" s="123"/>
      <c r="AD38" s="123"/>
      <c r="AE38" s="123"/>
      <c r="AF38" s="123"/>
      <c r="AG38" s="123"/>
      <c r="AH38" s="123"/>
      <c r="AI38" s="123"/>
      <c r="AJ38" s="123"/>
      <c r="AK38" s="126"/>
      <c r="AL38" s="129"/>
      <c r="AM38" s="124"/>
      <c r="AN38" s="123"/>
      <c r="AO38" s="123"/>
      <c r="AP38" s="123"/>
      <c r="AQ38" s="123"/>
      <c r="AR38" s="125"/>
      <c r="AS38" s="126"/>
      <c r="AT38" s="126"/>
      <c r="AU38" s="126"/>
      <c r="AV38" s="126"/>
      <c r="AW38" s="126"/>
      <c r="AX38" s="126"/>
      <c r="AY38" s="126"/>
      <c r="AZ38" s="126"/>
      <c r="BA38" s="130"/>
      <c r="BB38" s="131"/>
      <c r="BC38" s="121"/>
      <c r="BD38" s="120" t="s">
        <v>276</v>
      </c>
    </row>
    <row r="39" spans="1:56" ht="63.75" x14ac:dyDescent="0.25">
      <c r="A39" s="119" t="s">
        <v>282</v>
      </c>
      <c r="B39" s="119"/>
      <c r="C39" s="119"/>
      <c r="D39" s="119"/>
      <c r="E39" s="119"/>
      <c r="F39" s="119"/>
      <c r="G39" s="120" t="s">
        <v>227</v>
      </c>
      <c r="H39" s="120"/>
      <c r="I39" s="120"/>
      <c r="J39" s="121"/>
      <c r="K39" s="121"/>
      <c r="L39" s="122"/>
      <c r="M39" s="128"/>
      <c r="N39" s="121"/>
      <c r="O39" s="121"/>
      <c r="P39" s="121"/>
      <c r="Q39" s="121"/>
      <c r="R39" s="121"/>
      <c r="S39" s="121"/>
      <c r="T39" s="121"/>
      <c r="U39" s="121"/>
      <c r="V39" s="123"/>
      <c r="W39" s="123"/>
      <c r="X39" s="123"/>
      <c r="Y39" s="123"/>
      <c r="Z39" s="123"/>
      <c r="AA39" s="123"/>
      <c r="AB39" s="123"/>
      <c r="AC39" s="123"/>
      <c r="AD39" s="123"/>
      <c r="AE39" s="123"/>
      <c r="AF39" s="123"/>
      <c r="AG39" s="123"/>
      <c r="AH39" s="123"/>
      <c r="AI39" s="123"/>
      <c r="AJ39" s="123"/>
      <c r="AK39" s="126"/>
      <c r="AL39" s="129"/>
      <c r="AM39" s="124"/>
      <c r="AN39" s="123"/>
      <c r="AO39" s="123"/>
      <c r="AP39" s="123"/>
      <c r="AQ39" s="123"/>
      <c r="AR39" s="125"/>
      <c r="AS39" s="126"/>
      <c r="AT39" s="126"/>
      <c r="AU39" s="126"/>
      <c r="AV39" s="126"/>
      <c r="AW39" s="126"/>
      <c r="AX39" s="126"/>
      <c r="AY39" s="126"/>
      <c r="AZ39" s="126"/>
      <c r="BA39" s="130"/>
      <c r="BB39" s="131"/>
      <c r="BC39" s="121"/>
      <c r="BD39" s="120" t="s">
        <v>278</v>
      </c>
    </row>
    <row r="40" spans="1:56" x14ac:dyDescent="0.25">
      <c r="A40" s="119" t="s">
        <v>282</v>
      </c>
      <c r="B40" s="119"/>
      <c r="C40" s="119"/>
      <c r="D40" s="119"/>
      <c r="E40" s="119"/>
      <c r="F40" s="119"/>
      <c r="G40" s="120" t="s">
        <v>279</v>
      </c>
      <c r="H40" s="120"/>
      <c r="I40" s="120"/>
      <c r="J40" s="121"/>
      <c r="K40" s="121"/>
      <c r="L40" s="122"/>
      <c r="M40" s="128"/>
      <c r="N40" s="121"/>
      <c r="O40" s="121"/>
      <c r="P40" s="121"/>
      <c r="Q40" s="121"/>
      <c r="R40" s="121"/>
      <c r="S40" s="121"/>
      <c r="T40" s="121"/>
      <c r="U40" s="121"/>
      <c r="V40" s="123"/>
      <c r="W40" s="123"/>
      <c r="X40" s="123"/>
      <c r="Y40" s="123"/>
      <c r="Z40" s="123"/>
      <c r="AA40" s="123"/>
      <c r="AB40" s="123"/>
      <c r="AC40" s="123"/>
      <c r="AD40" s="123"/>
      <c r="AE40" s="123"/>
      <c r="AF40" s="123"/>
      <c r="AG40" s="123"/>
      <c r="AH40" s="123"/>
      <c r="AI40" s="123"/>
      <c r="AJ40" s="123"/>
      <c r="AK40" s="126"/>
      <c r="AL40" s="129"/>
      <c r="AM40" s="124"/>
      <c r="AN40" s="123"/>
      <c r="AO40" s="123"/>
      <c r="AP40" s="123"/>
      <c r="AQ40" s="123"/>
      <c r="AR40" s="125"/>
      <c r="AS40" s="126"/>
      <c r="AT40" s="126"/>
      <c r="AU40" s="126"/>
      <c r="AV40" s="126"/>
      <c r="AW40" s="126"/>
      <c r="AX40" s="126"/>
      <c r="AY40" s="126"/>
      <c r="AZ40" s="126"/>
      <c r="BA40" s="130"/>
      <c r="BB40" s="131"/>
      <c r="BC40" s="121"/>
      <c r="BD40" s="120" t="s">
        <v>280</v>
      </c>
    </row>
    <row r="41" spans="1:56" s="148" customFormat="1" ht="16.5" customHeight="1" x14ac:dyDescent="0.25">
      <c r="A41" s="119" t="s">
        <v>282</v>
      </c>
      <c r="B41" s="119"/>
      <c r="C41" s="119"/>
      <c r="D41" s="119"/>
      <c r="E41" s="119"/>
      <c r="F41" s="119"/>
      <c r="G41" s="120" t="s">
        <v>398</v>
      </c>
      <c r="H41" s="120"/>
      <c r="I41" s="120"/>
      <c r="J41" s="121"/>
      <c r="K41" s="121"/>
      <c r="L41" s="122"/>
      <c r="M41" s="128"/>
      <c r="N41" s="121"/>
      <c r="O41" s="121"/>
      <c r="P41" s="121"/>
      <c r="Q41" s="121"/>
      <c r="R41" s="121"/>
      <c r="S41" s="121"/>
      <c r="T41" s="121"/>
      <c r="U41" s="121"/>
      <c r="V41" s="123"/>
      <c r="W41" s="123"/>
      <c r="X41" s="123"/>
      <c r="Y41" s="123"/>
      <c r="Z41" s="123"/>
      <c r="AA41" s="123"/>
      <c r="AB41" s="123"/>
      <c r="AC41" s="123"/>
      <c r="AD41" s="123"/>
      <c r="AE41" s="123"/>
      <c r="AF41" s="123"/>
      <c r="AG41" s="123"/>
      <c r="AH41" s="123"/>
      <c r="AI41" s="123"/>
      <c r="AJ41" s="123"/>
      <c r="AK41" s="126"/>
      <c r="AL41" s="129"/>
      <c r="AM41" s="124"/>
      <c r="AN41" s="123"/>
      <c r="AO41" s="123"/>
      <c r="AP41" s="123"/>
      <c r="AQ41" s="123"/>
      <c r="AR41" s="125"/>
      <c r="AS41" s="126"/>
      <c r="AT41" s="126"/>
      <c r="AU41" s="126"/>
      <c r="AV41" s="126"/>
      <c r="AW41" s="126"/>
      <c r="AX41" s="126"/>
      <c r="AY41" s="126"/>
      <c r="AZ41" s="126"/>
      <c r="BA41" s="130"/>
      <c r="BB41" s="131"/>
      <c r="BC41" s="121"/>
      <c r="BD41" s="120" t="s">
        <v>399</v>
      </c>
    </row>
    <row r="42" spans="1:56" ht="16.5" customHeight="1" x14ac:dyDescent="0.2">
      <c r="V42" s="86" t="s">
        <v>112</v>
      </c>
      <c r="BA42" s="149"/>
    </row>
    <row r="43" spans="1:56" ht="16.5" customHeight="1" x14ac:dyDescent="0.2">
      <c r="BA43" s="149"/>
    </row>
    <row r="44" spans="1:56" ht="16.5" customHeight="1" x14ac:dyDescent="0.2">
      <c r="BA44" s="149"/>
    </row>
    <row r="45" spans="1:56" ht="16.5" customHeight="1" x14ac:dyDescent="0.2">
      <c r="BA45" s="149"/>
    </row>
    <row r="46" spans="1:56" ht="16.5" customHeight="1" x14ac:dyDescent="0.2">
      <c r="BA46" s="149"/>
    </row>
    <row r="47" spans="1:56" ht="16.5" customHeight="1" x14ac:dyDescent="0.2">
      <c r="BA47" s="149"/>
    </row>
    <row r="48" spans="1:56" ht="16.5" customHeight="1" x14ac:dyDescent="0.2">
      <c r="BA48" s="149"/>
    </row>
    <row r="49" spans="39:53" ht="16.5" customHeight="1" x14ac:dyDescent="0.2">
      <c r="BA49" s="149"/>
    </row>
    <row r="50" spans="39:53" ht="16.5" customHeight="1" x14ac:dyDescent="0.2">
      <c r="BA50" s="149"/>
    </row>
    <row r="51" spans="39:53" ht="16.5" customHeight="1" x14ac:dyDescent="0.2">
      <c r="BA51" s="149"/>
    </row>
    <row r="52" spans="39:53" ht="16.5" customHeight="1" x14ac:dyDescent="0.2">
      <c r="AM52" s="86" t="s">
        <v>124</v>
      </c>
      <c r="BA52" s="149"/>
    </row>
    <row r="53" spans="39:53" ht="16.5" customHeight="1" x14ac:dyDescent="0.2">
      <c r="BA53" s="149"/>
    </row>
    <row r="54" spans="39:53" ht="16.5" customHeight="1" x14ac:dyDescent="0.2">
      <c r="BA54" s="149"/>
    </row>
    <row r="55" spans="39:53" ht="16.5" customHeight="1" x14ac:dyDescent="0.2">
      <c r="BA55" s="149"/>
    </row>
    <row r="69" spans="39:39" x14ac:dyDescent="0.25">
      <c r="AM69" s="86" t="s">
        <v>124</v>
      </c>
    </row>
    <row r="84" spans="39:39" x14ac:dyDescent="0.25">
      <c r="AM84" s="86" t="s">
        <v>124</v>
      </c>
    </row>
  </sheetData>
  <autoFilter ref="A6:BL26" xr:uid="{00000000-0009-0000-0000-000003000000}"/>
  <dataConsolidate/>
  <mergeCells count="6">
    <mergeCell ref="AF5:AM5"/>
    <mergeCell ref="C3:D3"/>
    <mergeCell ref="A5:Q5"/>
    <mergeCell ref="I1:J3"/>
    <mergeCell ref="S5:V5"/>
    <mergeCell ref="W5:AE5"/>
  </mergeCells>
  <conditionalFormatting sqref="AM40:AM41 AM17:AM24 AM27:AM31 AM7:AM9">
    <cfRule type="cellIs" dxfId="1866" priority="839" operator="equal">
      <formula>"Submitted Pending Approval"</formula>
    </cfRule>
    <cfRule type="cellIs" dxfId="1865" priority="840" operator="equal">
      <formula>"Approved"</formula>
    </cfRule>
  </conditionalFormatting>
  <conditionalFormatting sqref="T7:T31 X7:X8">
    <cfRule type="timePeriod" dxfId="1864" priority="831" timePeriod="lastWeek">
      <formula>AND(TODAY()-ROUNDDOWN(T7,0)&gt;=(WEEKDAY(TODAY())),TODAY()-ROUNDDOWN(T7,0)&lt;(WEEKDAY(TODAY())+7))</formula>
    </cfRule>
    <cfRule type="timePeriod" dxfId="1863" priority="832" timePeriod="thisWeek">
      <formula>AND(TODAY()-ROUNDDOWN(T7,0)&lt;=WEEKDAY(TODAY())-1,ROUNDDOWN(T7,0)-TODAY()&lt;=7-WEEKDAY(TODAY()))</formula>
    </cfRule>
    <cfRule type="timePeriod" dxfId="1862" priority="833" timePeriod="nextWeek">
      <formula>AND(ROUNDDOWN(T7,0)-TODAY()&gt;(7-WEEKDAY(TODAY())),ROUNDDOWN(T7,0)-TODAY()&lt;(15-WEEKDAY(TODAY())))</formula>
    </cfRule>
    <cfRule type="timePeriod" dxfId="1861" priority="834" timePeriod="nextWeek">
      <formula>AND(ROUNDDOWN(T7,0)-TODAY()&gt;(7-WEEKDAY(TODAY())),ROUNDDOWN(T7,0)-TODAY()&lt;(15-WEEKDAY(TODAY())))</formula>
    </cfRule>
    <cfRule type="timePeriod" dxfId="1860" priority="835" timePeriod="yesterday">
      <formula>FLOOR(T7,1)=TODAY()-1</formula>
    </cfRule>
    <cfRule type="timePeriod" dxfId="1859" priority="836" timePeriod="yesterday">
      <formula>FLOOR(T7,1)=TODAY()-1</formula>
    </cfRule>
    <cfRule type="timePeriod" dxfId="1858" priority="837" timePeriod="today">
      <formula>FLOOR(T7,1)=TODAY()</formula>
    </cfRule>
    <cfRule type="timePeriod" dxfId="1857" priority="838" timePeriod="tomorrow">
      <formula>FLOOR(T7,1)=TODAY()+1</formula>
    </cfRule>
  </conditionalFormatting>
  <conditionalFormatting sqref="AM36:AM39 AM33">
    <cfRule type="cellIs" dxfId="1856" priority="671" operator="equal">
      <formula>"Submitted Pending Approval"</formula>
    </cfRule>
    <cfRule type="cellIs" dxfId="1855" priority="672" operator="equal">
      <formula>"Approved"</formula>
    </cfRule>
  </conditionalFormatting>
  <conditionalFormatting sqref="AM10">
    <cfRule type="cellIs" dxfId="1854" priority="593" operator="equal">
      <formula>"Submitted Pending Approval"</formula>
    </cfRule>
    <cfRule type="cellIs" dxfId="1853" priority="594" operator="equal">
      <formula>"Approved"</formula>
    </cfRule>
  </conditionalFormatting>
  <conditionalFormatting sqref="AM11">
    <cfRule type="cellIs" dxfId="1852" priority="583" operator="equal">
      <formula>"Submitted Pending Approval"</formula>
    </cfRule>
    <cfRule type="cellIs" dxfId="1851" priority="584" operator="equal">
      <formula>"Approved"</formula>
    </cfRule>
  </conditionalFormatting>
  <conditionalFormatting sqref="AM12">
    <cfRule type="cellIs" dxfId="1850" priority="563" operator="equal">
      <formula>"Submitted Pending Approval"</formula>
    </cfRule>
    <cfRule type="cellIs" dxfId="1849" priority="564" operator="equal">
      <formula>"Approved"</formula>
    </cfRule>
  </conditionalFormatting>
  <conditionalFormatting sqref="AM13:AM14">
    <cfRule type="cellIs" dxfId="1848" priority="521" operator="equal">
      <formula>"Submitted Pending Approval"</formula>
    </cfRule>
    <cfRule type="cellIs" dxfId="1847" priority="522" operator="equal">
      <formula>"Approved"</formula>
    </cfRule>
  </conditionalFormatting>
  <conditionalFormatting sqref="AM15">
    <cfRule type="cellIs" dxfId="1846" priority="511" operator="equal">
      <formula>"Submitted Pending Approval"</formula>
    </cfRule>
    <cfRule type="cellIs" dxfId="1845" priority="512" operator="equal">
      <formula>"Approved"</formula>
    </cfRule>
  </conditionalFormatting>
  <conditionalFormatting sqref="AM16">
    <cfRule type="cellIs" dxfId="1844" priority="501" operator="equal">
      <formula>"Submitted Pending Approval"</formula>
    </cfRule>
    <cfRule type="cellIs" dxfId="1843" priority="502" operator="equal">
      <formula>"Approved"</formula>
    </cfRule>
  </conditionalFormatting>
  <conditionalFormatting sqref="AW9:AW21">
    <cfRule type="expression" dxfId="1842" priority="460">
      <formula>Approved</formula>
    </cfRule>
  </conditionalFormatting>
  <conditionalFormatting sqref="AM23">
    <cfRule type="cellIs" dxfId="1841" priority="442" operator="equal">
      <formula>"Submitted Pending Approval"</formula>
    </cfRule>
    <cfRule type="cellIs" dxfId="1840" priority="443" operator="equal">
      <formula>"Approved"</formula>
    </cfRule>
  </conditionalFormatting>
  <conditionalFormatting sqref="AW22:AW24">
    <cfRule type="expression" dxfId="1839" priority="433">
      <formula>Approved</formula>
    </cfRule>
  </conditionalFormatting>
  <conditionalFormatting sqref="AM24">
    <cfRule type="cellIs" dxfId="1838" priority="399" operator="equal">
      <formula>"Submitted Pending Approval"</formula>
    </cfRule>
    <cfRule type="cellIs" dxfId="1837" priority="400" operator="equal">
      <formula>"Approved"</formula>
    </cfRule>
  </conditionalFormatting>
  <conditionalFormatting sqref="AM22">
    <cfRule type="cellIs" dxfId="1836" priority="397" operator="equal">
      <formula>"Submitted Pending Approval"</formula>
    </cfRule>
    <cfRule type="cellIs" dxfId="1835" priority="398" operator="equal">
      <formula>"Approved"</formula>
    </cfRule>
  </conditionalFormatting>
  <conditionalFormatting sqref="AM25">
    <cfRule type="cellIs" dxfId="1834" priority="303" operator="equal">
      <formula>"Submitted Pending Approval"</formula>
    </cfRule>
    <cfRule type="cellIs" dxfId="1833" priority="304" operator="equal">
      <formula>"Approved"</formula>
    </cfRule>
  </conditionalFormatting>
  <conditionalFormatting sqref="AM25">
    <cfRule type="cellIs" dxfId="1832" priority="301" operator="equal">
      <formula>"Submitted Pending Approval"</formula>
    </cfRule>
    <cfRule type="cellIs" dxfId="1831" priority="302" operator="equal">
      <formula>"Approved"</formula>
    </cfRule>
  </conditionalFormatting>
  <conditionalFormatting sqref="AM25">
    <cfRule type="cellIs" dxfId="1830" priority="298" operator="equal">
      <formula>"Submitted Pending Approval"</formula>
    </cfRule>
    <cfRule type="cellIs" dxfId="1829" priority="299" operator="equal">
      <formula>"Approved"</formula>
    </cfRule>
  </conditionalFormatting>
  <conditionalFormatting sqref="AM25">
    <cfRule type="cellIs" dxfId="1828" priority="296" operator="equal">
      <formula>"Submitted Pending Approval"</formula>
    </cfRule>
    <cfRule type="cellIs" dxfId="1827" priority="297" operator="equal">
      <formula>"Approved"</formula>
    </cfRule>
  </conditionalFormatting>
  <conditionalFormatting sqref="AM25">
    <cfRule type="cellIs" dxfId="1826" priority="293" operator="equal">
      <formula>"Submitted Pending Approval"</formula>
    </cfRule>
    <cfRule type="cellIs" dxfId="1825" priority="294" operator="equal">
      <formula>"Approved"</formula>
    </cfRule>
  </conditionalFormatting>
  <conditionalFormatting sqref="AM25">
    <cfRule type="cellIs" dxfId="1824" priority="291" operator="equal">
      <formula>"Submitted Pending Approval"</formula>
    </cfRule>
    <cfRule type="cellIs" dxfId="1823" priority="292" operator="equal">
      <formula>"Approved"</formula>
    </cfRule>
  </conditionalFormatting>
  <conditionalFormatting sqref="AM25">
    <cfRule type="cellIs" dxfId="1822" priority="288" operator="equal">
      <formula>"Submitted Pending Approval"</formula>
    </cfRule>
    <cfRule type="cellIs" dxfId="1821" priority="289" operator="equal">
      <formula>"Approved"</formula>
    </cfRule>
  </conditionalFormatting>
  <conditionalFormatting sqref="AM25">
    <cfRule type="cellIs" dxfId="1820" priority="286" operator="equal">
      <formula>"Submitted Pending Approval"</formula>
    </cfRule>
    <cfRule type="cellIs" dxfId="1819" priority="287" operator="equal">
      <formula>"Approved"</formula>
    </cfRule>
  </conditionalFormatting>
  <conditionalFormatting sqref="AM26">
    <cfRule type="cellIs" dxfId="1818" priority="283" operator="equal">
      <formula>"Submitted Pending Approval"</formula>
    </cfRule>
    <cfRule type="cellIs" dxfId="1817" priority="284" operator="equal">
      <formula>"Approved"</formula>
    </cfRule>
  </conditionalFormatting>
  <conditionalFormatting sqref="AM26">
    <cfRule type="cellIs" dxfId="1816" priority="281" operator="equal">
      <formula>"Submitted Pending Approval"</formula>
    </cfRule>
    <cfRule type="cellIs" dxfId="1815" priority="282" operator="equal">
      <formula>"Approved"</formula>
    </cfRule>
  </conditionalFormatting>
  <conditionalFormatting sqref="AM26">
    <cfRule type="cellIs" dxfId="1814" priority="278" operator="equal">
      <formula>"Submitted Pending Approval"</formula>
    </cfRule>
    <cfRule type="cellIs" dxfId="1813" priority="279" operator="equal">
      <formula>"Approved"</formula>
    </cfRule>
  </conditionalFormatting>
  <conditionalFormatting sqref="AM26">
    <cfRule type="cellIs" dxfId="1812" priority="276" operator="equal">
      <formula>"Submitted Pending Approval"</formula>
    </cfRule>
    <cfRule type="cellIs" dxfId="1811" priority="277" operator="equal">
      <formula>"Approved"</formula>
    </cfRule>
  </conditionalFormatting>
  <conditionalFormatting sqref="AM26">
    <cfRule type="cellIs" dxfId="1810" priority="273" operator="equal">
      <formula>"Submitted Pending Approval"</formula>
    </cfRule>
    <cfRule type="cellIs" dxfId="1809" priority="274" operator="equal">
      <formula>"Approved"</formula>
    </cfRule>
  </conditionalFormatting>
  <conditionalFormatting sqref="AM26">
    <cfRule type="cellIs" dxfId="1808" priority="271" operator="equal">
      <formula>"Submitted Pending Approval"</formula>
    </cfRule>
    <cfRule type="cellIs" dxfId="1807" priority="272" operator="equal">
      <formula>"Approved"</formula>
    </cfRule>
  </conditionalFormatting>
  <conditionalFormatting sqref="AM26">
    <cfRule type="cellIs" dxfId="1806" priority="268" operator="equal">
      <formula>"Submitted Pending Approval"</formula>
    </cfRule>
    <cfRule type="cellIs" dxfId="1805" priority="269" operator="equal">
      <formula>"Approved"</formula>
    </cfRule>
  </conditionalFormatting>
  <conditionalFormatting sqref="AM26">
    <cfRule type="cellIs" dxfId="1804" priority="266" operator="equal">
      <formula>"Submitted Pending Approval"</formula>
    </cfRule>
    <cfRule type="cellIs" dxfId="1803" priority="267" operator="equal">
      <formula>"Approved"</formula>
    </cfRule>
  </conditionalFormatting>
  <conditionalFormatting sqref="AM32">
    <cfRule type="cellIs" dxfId="1802" priority="105" operator="equal">
      <formula>"Submitted Pending Approval"</formula>
    </cfRule>
    <cfRule type="cellIs" dxfId="1801" priority="106" operator="equal">
      <formula>"Approved"</formula>
    </cfRule>
  </conditionalFormatting>
  <conditionalFormatting sqref="AM32">
    <cfRule type="cellIs" dxfId="1800" priority="103" operator="equal">
      <formula>"Submitted Pending Approval"</formula>
    </cfRule>
    <cfRule type="cellIs" dxfId="1799" priority="104" operator="equal">
      <formula>"Approved"</formula>
    </cfRule>
  </conditionalFormatting>
  <conditionalFormatting sqref="AW32">
    <cfRule type="expression" dxfId="1798" priority="102">
      <formula>Approved</formula>
    </cfRule>
  </conditionalFormatting>
  <conditionalFormatting sqref="AM32">
    <cfRule type="cellIs" dxfId="1797" priority="100" operator="equal">
      <formula>"Submitted Pending Approval"</formula>
    </cfRule>
    <cfRule type="cellIs" dxfId="1796" priority="101" operator="equal">
      <formula>"Approved"</formula>
    </cfRule>
  </conditionalFormatting>
  <conditionalFormatting sqref="AM32">
    <cfRule type="cellIs" dxfId="1795" priority="98" operator="equal">
      <formula>"Submitted Pending Approval"</formula>
    </cfRule>
    <cfRule type="cellIs" dxfId="1794" priority="99" operator="equal">
      <formula>"Approved"</formula>
    </cfRule>
  </conditionalFormatting>
  <conditionalFormatting sqref="AW32">
    <cfRule type="expression" dxfId="1793" priority="97">
      <formula>Approved</formula>
    </cfRule>
  </conditionalFormatting>
  <conditionalFormatting sqref="AM32">
    <cfRule type="cellIs" dxfId="1792" priority="95" operator="equal">
      <formula>"Submitted Pending Approval"</formula>
    </cfRule>
    <cfRule type="cellIs" dxfId="1791" priority="96" operator="equal">
      <formula>"Approved"</formula>
    </cfRule>
  </conditionalFormatting>
  <conditionalFormatting sqref="AM32">
    <cfRule type="cellIs" dxfId="1790" priority="93" operator="equal">
      <formula>"Submitted Pending Approval"</formula>
    </cfRule>
    <cfRule type="cellIs" dxfId="1789" priority="94" operator="equal">
      <formula>"Approved"</formula>
    </cfRule>
  </conditionalFormatting>
  <conditionalFormatting sqref="AW32">
    <cfRule type="expression" dxfId="1788" priority="92">
      <formula>Approved</formula>
    </cfRule>
  </conditionalFormatting>
  <conditionalFormatting sqref="AM32">
    <cfRule type="cellIs" dxfId="1787" priority="90" operator="equal">
      <formula>"Submitted Pending Approval"</formula>
    </cfRule>
    <cfRule type="cellIs" dxfId="1786" priority="91" operator="equal">
      <formula>"Approved"</formula>
    </cfRule>
  </conditionalFormatting>
  <conditionalFormatting sqref="AM32">
    <cfRule type="cellIs" dxfId="1785" priority="88" operator="equal">
      <formula>"Submitted Pending Approval"</formula>
    </cfRule>
    <cfRule type="cellIs" dxfId="1784" priority="89" operator="equal">
      <formula>"Approved"</formula>
    </cfRule>
  </conditionalFormatting>
  <conditionalFormatting sqref="AW32">
    <cfRule type="expression" dxfId="1783" priority="87">
      <formula>Approved</formula>
    </cfRule>
  </conditionalFormatting>
  <conditionalFormatting sqref="AM32">
    <cfRule type="cellIs" dxfId="1782" priority="85" operator="equal">
      <formula>"Submitted Pending Approval"</formula>
    </cfRule>
    <cfRule type="cellIs" dxfId="1781" priority="86" operator="equal">
      <formula>"Approved"</formula>
    </cfRule>
  </conditionalFormatting>
  <conditionalFormatting sqref="AM32">
    <cfRule type="cellIs" dxfId="1780" priority="83" operator="equal">
      <formula>"Submitted Pending Approval"</formula>
    </cfRule>
    <cfRule type="cellIs" dxfId="1779" priority="84" operator="equal">
      <formula>"Approved"</formula>
    </cfRule>
  </conditionalFormatting>
  <conditionalFormatting sqref="AW32">
    <cfRule type="expression" dxfId="1778" priority="82">
      <formula>Approved</formula>
    </cfRule>
  </conditionalFormatting>
  <conditionalFormatting sqref="Z7:AA7">
    <cfRule type="timePeriod" dxfId="1777" priority="9" timePeriod="lastWeek">
      <formula>AND(TODAY()-ROUNDDOWN(Z7,0)&gt;=(WEEKDAY(TODAY())),TODAY()-ROUNDDOWN(Z7,0)&lt;(WEEKDAY(TODAY())+7))</formula>
    </cfRule>
    <cfRule type="timePeriod" dxfId="1776" priority="10" timePeriod="thisWeek">
      <formula>AND(TODAY()-ROUNDDOWN(Z7,0)&lt;=WEEKDAY(TODAY())-1,ROUNDDOWN(Z7,0)-TODAY()&lt;=7-WEEKDAY(TODAY()))</formula>
    </cfRule>
    <cfRule type="timePeriod" dxfId="1775" priority="11" timePeriod="nextWeek">
      <formula>AND(ROUNDDOWN(Z7,0)-TODAY()&gt;(7-WEEKDAY(TODAY())),ROUNDDOWN(Z7,0)-TODAY()&lt;(15-WEEKDAY(TODAY())))</formula>
    </cfRule>
    <cfRule type="timePeriod" dxfId="1774" priority="12" timePeriod="nextWeek">
      <formula>AND(ROUNDDOWN(Z7,0)-TODAY()&gt;(7-WEEKDAY(TODAY())),ROUNDDOWN(Z7,0)-TODAY()&lt;(15-WEEKDAY(TODAY())))</formula>
    </cfRule>
    <cfRule type="timePeriod" dxfId="1773" priority="13" timePeriod="yesterday">
      <formula>FLOOR(Z7,1)=TODAY()-1</formula>
    </cfRule>
    <cfRule type="timePeriod" dxfId="1772" priority="14" timePeriod="yesterday">
      <formula>FLOOR(Z7,1)=TODAY()-1</formula>
    </cfRule>
    <cfRule type="timePeriod" dxfId="1771" priority="15" timePeriod="today">
      <formula>FLOOR(Z7,1)=TODAY()</formula>
    </cfRule>
    <cfRule type="timePeriod" dxfId="1770" priority="16" timePeriod="tomorrow">
      <formula>FLOOR(Z7,1)=TODAY()+1</formula>
    </cfRule>
  </conditionalFormatting>
  <conditionalFormatting sqref="AC7">
    <cfRule type="timePeriod" dxfId="1769" priority="1" timePeriod="lastWeek">
      <formula>AND(TODAY()-ROUNDDOWN(AC7,0)&gt;=(WEEKDAY(TODAY())),TODAY()-ROUNDDOWN(AC7,0)&lt;(WEEKDAY(TODAY())+7))</formula>
    </cfRule>
    <cfRule type="timePeriod" dxfId="1768" priority="2" timePeriod="thisWeek">
      <formula>AND(TODAY()-ROUNDDOWN(AC7,0)&lt;=WEEKDAY(TODAY())-1,ROUNDDOWN(AC7,0)-TODAY()&lt;=7-WEEKDAY(TODAY()))</formula>
    </cfRule>
    <cfRule type="timePeriod" dxfId="1767" priority="3" timePeriod="nextWeek">
      <formula>AND(ROUNDDOWN(AC7,0)-TODAY()&gt;(7-WEEKDAY(TODAY())),ROUNDDOWN(AC7,0)-TODAY()&lt;(15-WEEKDAY(TODAY())))</formula>
    </cfRule>
    <cfRule type="timePeriod" dxfId="1766" priority="4" timePeriod="nextWeek">
      <formula>AND(ROUNDDOWN(AC7,0)-TODAY()&gt;(7-WEEKDAY(TODAY())),ROUNDDOWN(AC7,0)-TODAY()&lt;(15-WEEKDAY(TODAY())))</formula>
    </cfRule>
    <cfRule type="timePeriod" dxfId="1765" priority="5" timePeriod="yesterday">
      <formula>FLOOR(AC7,1)=TODAY()-1</formula>
    </cfRule>
    <cfRule type="timePeriod" dxfId="1764" priority="6" timePeriod="yesterday">
      <formula>FLOOR(AC7,1)=TODAY()-1</formula>
    </cfRule>
    <cfRule type="timePeriod" dxfId="1763" priority="7" timePeriod="today">
      <formula>FLOOR(AC7,1)=TODAY()</formula>
    </cfRule>
    <cfRule type="timePeriod" dxfId="1762" priority="8" timePeriod="tomorrow">
      <formula>FLOOR(AC7,1)=TODAY()+1</formula>
    </cfRule>
  </conditionalFormatting>
  <dataValidations count="2">
    <dataValidation type="list" allowBlank="1" showInputMessage="1" showErrorMessage="1" sqref="AM36:AM40 AM7:AM33" xr:uid="{00000000-0002-0000-0300-000000000000}">
      <formula1>Status</formula1>
    </dataValidation>
    <dataValidation type="list" allowBlank="1" showInputMessage="1" showErrorMessage="1" sqref="I36:I40 I7:I33" xr:uid="{00000000-0002-0000-0300-000001000000}">
      <formula1>EOT_Type</formula1>
    </dataValidation>
  </dataValidations>
  <pageMargins left="0.70866141732283472" right="0.70866141732283472" top="0.23622047244094491" bottom="0.51181102362204722" header="0.19685039370078741" footer="0.31496062992125984"/>
  <pageSetup paperSize="8" scale="12" fitToHeight="0" orientation="landscape" copies="2" r:id="rId1"/>
  <headerFooter>
    <oddFooter>&amp;L&amp;8&amp;Z&amp;F&amp;CPage &amp;P / &amp;N&amp;R&amp;D</oddFooter>
  </headerFooter>
  <rowBreaks count="1" manualBreakCount="1">
    <brk id="25" max="43" man="1"/>
  </rowBreaks>
  <drawing r:id="rId2"/>
  <legacyDrawing r:id="rId3"/>
  <controls>
    <mc:AlternateContent xmlns:mc="http://schemas.openxmlformats.org/markup-compatibility/2006">
      <mc:Choice Requires="x14">
        <control shapeId="3077" r:id="rId4" name="Delay">
          <controlPr defaultSize="0" autoLine="0" r:id="rId5">
            <anchor moveWithCells="1">
              <from>
                <xdr:col>12</xdr:col>
                <xdr:colOff>1266825</xdr:colOff>
                <xdr:row>1</xdr:row>
                <xdr:rowOff>85725</xdr:rowOff>
              </from>
              <to>
                <xdr:col>14</xdr:col>
                <xdr:colOff>190500</xdr:colOff>
                <xdr:row>2</xdr:row>
                <xdr:rowOff>123825</xdr:rowOff>
              </to>
            </anchor>
          </controlPr>
        </control>
      </mc:Choice>
      <mc:Fallback>
        <control shapeId="3077" r:id="rId4" name="Delay"/>
      </mc:Fallback>
    </mc:AlternateContent>
    <mc:AlternateContent xmlns:mc="http://schemas.openxmlformats.org/markup-compatibility/2006">
      <mc:Choice Requires="x14">
        <control shapeId="3076" r:id="rId6" name="EOTongoing">
          <controlPr defaultSize="0" autoLine="0" r:id="rId7">
            <anchor moveWithCells="1">
              <from>
                <xdr:col>22</xdr:col>
                <xdr:colOff>161925</xdr:colOff>
                <xdr:row>1</xdr:row>
                <xdr:rowOff>104775</xdr:rowOff>
              </from>
              <to>
                <xdr:col>22</xdr:col>
                <xdr:colOff>1876425</xdr:colOff>
                <xdr:row>2</xdr:row>
                <xdr:rowOff>133350</xdr:rowOff>
              </to>
            </anchor>
          </controlPr>
        </control>
      </mc:Choice>
      <mc:Fallback>
        <control shapeId="3076" r:id="rId6" name="EOTongoing"/>
      </mc:Fallback>
    </mc:AlternateContent>
    <mc:AlternateContent xmlns:mc="http://schemas.openxmlformats.org/markup-compatibility/2006">
      <mc:Choice Requires="x14">
        <control shapeId="3075" r:id="rId8" name="EOT">
          <controlPr defaultSize="0" autoLine="0" r:id="rId9">
            <anchor moveWithCells="1">
              <from>
                <xdr:col>18</xdr:col>
                <xdr:colOff>95250</xdr:colOff>
                <xdr:row>1</xdr:row>
                <xdr:rowOff>104775</xdr:rowOff>
              </from>
              <to>
                <xdr:col>18</xdr:col>
                <xdr:colOff>1809750</xdr:colOff>
                <xdr:row>2</xdr:row>
                <xdr:rowOff>133350</xdr:rowOff>
              </to>
            </anchor>
          </controlPr>
        </control>
      </mc:Choice>
      <mc:Fallback>
        <control shapeId="3075" r:id="rId8" name="EO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0AA90-70FB-4FCA-8A13-F70CD91E4B65}">
  <sheetPr codeName="Sheet13"/>
  <dimension ref="A1:I6"/>
  <sheetViews>
    <sheetView topLeftCell="G4" workbookViewId="0">
      <selection activeCell="I9" sqref="I9"/>
    </sheetView>
  </sheetViews>
  <sheetFormatPr defaultRowHeight="15" x14ac:dyDescent="0.25"/>
  <cols>
    <col min="1" max="1" width="17.140625" customWidth="1"/>
    <col min="2" max="2" width="50.42578125" customWidth="1"/>
    <col min="3" max="3" width="14" customWidth="1"/>
    <col min="4" max="4" width="13.28515625" customWidth="1"/>
    <col min="5" max="5" width="18.42578125" customWidth="1"/>
    <col min="6" max="6" width="103.5703125" customWidth="1"/>
    <col min="7" max="7" width="60.28515625" customWidth="1"/>
    <col min="8" max="8" width="13.42578125" customWidth="1"/>
    <col min="9" max="9" width="11.5703125" customWidth="1"/>
  </cols>
  <sheetData>
    <row r="1" spans="1:9" x14ac:dyDescent="0.25">
      <c r="A1" t="s">
        <v>2074</v>
      </c>
      <c r="B1" t="s">
        <v>2062</v>
      </c>
      <c r="C1" t="s">
        <v>2063</v>
      </c>
      <c r="D1" t="s">
        <v>2068</v>
      </c>
      <c r="E1" t="s">
        <v>2064</v>
      </c>
      <c r="F1" t="s">
        <v>2065</v>
      </c>
      <c r="G1" t="s">
        <v>2066</v>
      </c>
      <c r="H1" t="s">
        <v>2067</v>
      </c>
      <c r="I1" t="s">
        <v>2069</v>
      </c>
    </row>
    <row r="2" spans="1:9" x14ac:dyDescent="0.25">
      <c r="A2" t="s">
        <v>2075</v>
      </c>
      <c r="B2" s="674" t="s">
        <v>2082</v>
      </c>
      <c r="C2">
        <v>7</v>
      </c>
      <c r="D2">
        <v>6</v>
      </c>
      <c r="E2" t="s">
        <v>2070</v>
      </c>
      <c r="F2" t="s">
        <v>2056</v>
      </c>
      <c r="G2" t="s">
        <v>2048</v>
      </c>
      <c r="H2" t="s">
        <v>2080</v>
      </c>
      <c r="I2">
        <v>2</v>
      </c>
    </row>
    <row r="3" spans="1:9" x14ac:dyDescent="0.25">
      <c r="A3" t="s">
        <v>2071</v>
      </c>
      <c r="B3" s="674" t="s">
        <v>2081</v>
      </c>
      <c r="C3">
        <v>7</v>
      </c>
      <c r="D3">
        <v>6</v>
      </c>
      <c r="E3" t="s">
        <v>2070</v>
      </c>
      <c r="F3" t="s">
        <v>2072</v>
      </c>
      <c r="G3" t="s">
        <v>2036</v>
      </c>
      <c r="H3" t="s">
        <v>2080</v>
      </c>
      <c r="I3">
        <v>3</v>
      </c>
    </row>
    <row r="4" spans="1:9" x14ac:dyDescent="0.25">
      <c r="A4" t="s">
        <v>2076</v>
      </c>
      <c r="B4" s="674" t="s">
        <v>2081</v>
      </c>
      <c r="C4">
        <v>7</v>
      </c>
      <c r="D4">
        <v>6</v>
      </c>
      <c r="E4" t="s">
        <v>2070</v>
      </c>
      <c r="F4" t="s">
        <v>2073</v>
      </c>
      <c r="G4" t="s">
        <v>2050</v>
      </c>
      <c r="H4" t="s">
        <v>2080</v>
      </c>
      <c r="I4">
        <v>3</v>
      </c>
    </row>
    <row r="5" spans="1:9" x14ac:dyDescent="0.25">
      <c r="A5" t="s">
        <v>2077</v>
      </c>
      <c r="B5" s="674" t="s">
        <v>2081</v>
      </c>
      <c r="C5">
        <v>9</v>
      </c>
      <c r="D5">
        <v>8</v>
      </c>
      <c r="E5" t="s">
        <v>2078</v>
      </c>
      <c r="F5" t="s">
        <v>2059</v>
      </c>
      <c r="G5" t="s">
        <v>2060</v>
      </c>
      <c r="H5" t="s">
        <v>2080</v>
      </c>
      <c r="I5">
        <v>2</v>
      </c>
    </row>
    <row r="6" spans="1:9" x14ac:dyDescent="0.25">
      <c r="A6" t="s">
        <v>2079</v>
      </c>
      <c r="B6" s="674" t="s">
        <v>2081</v>
      </c>
      <c r="C6">
        <v>9</v>
      </c>
      <c r="D6">
        <v>8</v>
      </c>
      <c r="E6" t="s">
        <v>2078</v>
      </c>
      <c r="F6" t="s">
        <v>2055</v>
      </c>
      <c r="G6" t="s">
        <v>2061</v>
      </c>
      <c r="H6" t="s">
        <v>2080</v>
      </c>
      <c r="I6">
        <v>3</v>
      </c>
    </row>
  </sheetData>
  <hyperlinks>
    <hyperlink ref="B2" r:id="rId1" xr:uid="{0B0833B2-13F1-47F0-9E43-488C083857D2}"/>
    <hyperlink ref="B3" r:id="rId2" xr:uid="{E2527FD6-4F75-480E-B1CE-0E922C9BD8F7}"/>
    <hyperlink ref="B4:B6" r:id="rId3" display="nick.noonan@cpbcon.com.au" xr:uid="{6C0B117A-5284-4CBA-8376-4A1E04903C1E}"/>
    <hyperlink ref="B4" r:id="rId4" xr:uid="{6D0EE5FB-AA63-4149-82A5-358822D97025}"/>
    <hyperlink ref="B5" r:id="rId5" xr:uid="{755D4807-2084-4EAD-80ED-9210C8D5C89D}"/>
    <hyperlink ref="B6" r:id="rId6" xr:uid="{98FFA76C-7452-4C8F-9734-BB623882E62E}"/>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FF00"/>
    <pageSetUpPr fitToPage="1"/>
  </sheetPr>
  <dimension ref="A1:BF370"/>
  <sheetViews>
    <sheetView tabSelected="1" view="pageBreakPreview" zoomScale="55" zoomScaleNormal="55" zoomScaleSheetLayoutView="55" workbookViewId="0">
      <pane xSplit="2" ySplit="8" topLeftCell="C9" activePane="bottomRight" state="frozen"/>
      <selection activeCell="AE14" activeCellId="1" sqref="Q5:V5 AE14"/>
      <selection pane="topRight" activeCell="AE14" activeCellId="1" sqref="Q5:V5 AE14"/>
      <selection pane="bottomLeft" activeCell="AE14" activeCellId="1" sqref="Q5:V5 AE14"/>
      <selection pane="bottomRight" activeCell="M5" sqref="M5"/>
    </sheetView>
  </sheetViews>
  <sheetFormatPr defaultColWidth="9.140625" defaultRowHeight="12.75" outlineLevelCol="1" x14ac:dyDescent="0.25"/>
  <cols>
    <col min="1" max="1" width="13.140625" style="358" customWidth="1"/>
    <col min="2" max="2" width="16.85546875" style="358" customWidth="1" outlineLevel="1"/>
    <col min="3" max="3" width="14.7109375" style="358" customWidth="1" outlineLevel="1"/>
    <col min="4" max="8" width="21" style="358" customWidth="1" outlineLevel="1"/>
    <col min="9" max="9" width="25.85546875" style="358" customWidth="1" outlineLevel="1"/>
    <col min="10" max="13" width="23" style="358" customWidth="1" outlineLevel="1"/>
    <col min="14" max="14" width="16" style="358" customWidth="1" outlineLevel="1"/>
    <col min="15" max="15" width="17.7109375" style="358" customWidth="1" outlineLevel="1"/>
    <col min="16" max="16" width="13" style="358" customWidth="1" outlineLevel="1"/>
    <col min="17" max="17" width="18.85546875" style="358" customWidth="1" outlineLevel="1"/>
    <col min="18" max="18" width="12.7109375" style="358" customWidth="1" outlineLevel="1"/>
    <col min="19" max="19" width="18.140625" style="358" customWidth="1"/>
    <col min="20" max="21" width="34.140625" style="358" customWidth="1"/>
    <col min="22" max="22" width="62.140625" style="361" customWidth="1"/>
    <col min="23" max="23" width="34" style="361" hidden="1" customWidth="1" outlineLevel="1"/>
    <col min="24" max="25" width="28.140625" style="358" hidden="1" customWidth="1" outlineLevel="1"/>
    <col min="26" max="29" width="15.5703125" style="358" hidden="1" customWidth="1" outlineLevel="1"/>
    <col min="30" max="30" width="22.7109375" style="358" customWidth="1" collapsed="1"/>
    <col min="31" max="31" width="18.85546875" style="358" customWidth="1"/>
    <col min="32" max="32" width="24.85546875" style="358" customWidth="1"/>
    <col min="33" max="33" width="23" style="358" customWidth="1"/>
    <col min="34" max="34" width="28" style="358" bestFit="1" customWidth="1"/>
    <col min="35" max="36" width="18.85546875" style="358" customWidth="1"/>
    <col min="37" max="37" width="28.5703125" style="358" customWidth="1"/>
    <col min="38" max="38" width="28.5703125" style="358" hidden="1" customWidth="1" outlineLevel="1"/>
    <col min="39" max="39" width="22.7109375" style="358" customWidth="1" collapsed="1"/>
    <col min="40" max="41" width="22.7109375" style="358" customWidth="1"/>
    <col min="42" max="42" width="23.7109375" style="358" customWidth="1"/>
    <col min="43" max="45" width="21.140625" style="358" customWidth="1"/>
    <col min="46" max="46" width="21.7109375" style="358" customWidth="1"/>
    <col min="47" max="47" width="22.42578125" style="358" customWidth="1"/>
    <col min="48" max="48" width="26.140625" style="358" customWidth="1"/>
    <col min="49" max="49" width="15.85546875" style="358" customWidth="1"/>
    <col min="50" max="50" width="38.85546875" style="358" customWidth="1"/>
    <col min="51" max="55" width="9.140625" style="358"/>
    <col min="56" max="57" width="28" style="358" customWidth="1"/>
    <col min="58" max="58" width="74.140625" style="358" customWidth="1"/>
    <col min="59" max="59" width="18.7109375" style="358" customWidth="1"/>
    <col min="60" max="16384" width="9.140625" style="358"/>
  </cols>
  <sheetData>
    <row r="1" spans="1:58" ht="15.75" x14ac:dyDescent="0.25">
      <c r="U1" s="359" t="s">
        <v>1006</v>
      </c>
      <c r="V1" s="360"/>
      <c r="AA1" s="362"/>
      <c r="AB1" s="362"/>
      <c r="AC1" s="362"/>
      <c r="AD1" s="362"/>
      <c r="AE1" s="362"/>
      <c r="AF1" s="362"/>
      <c r="AG1" s="359" t="s">
        <v>1003</v>
      </c>
      <c r="AH1" s="359" t="s">
        <v>1005</v>
      </c>
      <c r="AI1" s="362"/>
      <c r="AJ1" s="362"/>
      <c r="AK1" s="359" t="s">
        <v>997</v>
      </c>
      <c r="AL1" s="359"/>
      <c r="AM1" s="359" t="s">
        <v>965</v>
      </c>
      <c r="AN1" s="359" t="s">
        <v>966</v>
      </c>
      <c r="AO1" s="359" t="s">
        <v>967</v>
      </c>
      <c r="AP1" s="359" t="s">
        <v>968</v>
      </c>
      <c r="AQ1" s="359" t="s">
        <v>969</v>
      </c>
      <c r="AR1" s="359" t="s">
        <v>996</v>
      </c>
      <c r="AS1" s="359"/>
    </row>
    <row r="2" spans="1:58" s="363" customFormat="1" ht="18" x14ac:dyDescent="0.25">
      <c r="H2" s="714" t="s">
        <v>2039</v>
      </c>
      <c r="I2" s="714"/>
      <c r="J2" s="714"/>
      <c r="K2" s="714"/>
      <c r="L2" s="714"/>
      <c r="U2" s="364">
        <v>286008257</v>
      </c>
      <c r="V2" s="365" t="s">
        <v>994</v>
      </c>
      <c r="W2" s="366"/>
      <c r="AA2" s="367"/>
      <c r="AB2" s="367"/>
      <c r="AC2" s="367"/>
      <c r="AD2" s="368"/>
      <c r="AE2" s="369"/>
      <c r="AF2" s="370">
        <f>SUM(AF3:AF7)</f>
        <v>80931801.747843027</v>
      </c>
      <c r="AG2" s="364">
        <f>SUM(AG3:AG7)</f>
        <v>12792791.381829001</v>
      </c>
      <c r="AH2" s="364">
        <f>SUM(AH3:AH7)-AH10</f>
        <v>1043591.6800000001</v>
      </c>
      <c r="AI2" s="371"/>
      <c r="AJ2" s="372" t="s">
        <v>1004</v>
      </c>
      <c r="AK2" s="373">
        <f>SUM(AK3:AK7)</f>
        <v>17859316.182666831</v>
      </c>
      <c r="AL2" s="373"/>
      <c r="AM2" s="528">
        <f t="shared" ref="AM2:AN2" si="0">SUM(AM3:AM7)</f>
        <v>6455464.8600000003</v>
      </c>
      <c r="AN2" s="528">
        <f t="shared" si="0"/>
        <v>16147784.520000005</v>
      </c>
      <c r="AO2" s="528">
        <f>SUM(AO3:AO7)</f>
        <v>22603249.380000003</v>
      </c>
      <c r="AP2" s="528">
        <f>SUM(AP3:AP7)</f>
        <v>8944807.1199999992</v>
      </c>
      <c r="AQ2" s="529">
        <f>SUM(AQ3:AQ7)</f>
        <v>13652823.300000004</v>
      </c>
      <c r="AR2" s="373">
        <f t="shared" ref="AR2" si="1">SUM(AR3:AR7)</f>
        <v>0</v>
      </c>
      <c r="AS2" s="374"/>
      <c r="AT2" s="375">
        <f>+AP2+AQ2</f>
        <v>22597630.420000002</v>
      </c>
      <c r="AU2" s="376" t="s">
        <v>993</v>
      </c>
    </row>
    <row r="3" spans="1:58" ht="33" customHeight="1" x14ac:dyDescent="0.4">
      <c r="D3" s="377" t="s">
        <v>22</v>
      </c>
      <c r="E3" s="377"/>
      <c r="F3" s="377"/>
      <c r="G3" s="377"/>
      <c r="H3" s="714" t="s">
        <v>2038</v>
      </c>
      <c r="I3" s="714"/>
      <c r="J3" s="714"/>
      <c r="K3" s="714"/>
      <c r="L3" s="714"/>
      <c r="M3" s="377"/>
      <c r="N3" s="377"/>
      <c r="O3" s="377"/>
      <c r="P3" s="377"/>
      <c r="Q3" s="377"/>
      <c r="R3" s="377"/>
      <c r="S3" s="377"/>
      <c r="T3" s="378"/>
      <c r="U3" s="379"/>
      <c r="V3" s="365" t="s">
        <v>1008</v>
      </c>
      <c r="W3" s="380"/>
      <c r="X3" s="381"/>
      <c r="Y3" s="381"/>
      <c r="AA3" s="709" t="s">
        <v>598</v>
      </c>
      <c r="AB3" s="709"/>
      <c r="AC3" s="709"/>
      <c r="AD3" s="382"/>
      <c r="AE3" s="383"/>
      <c r="AF3" s="384">
        <f>+Delay!AK4</f>
        <v>25990196.309999999</v>
      </c>
      <c r="AG3" s="385"/>
      <c r="AH3" s="385"/>
      <c r="AI3" s="386"/>
      <c r="AJ3" s="387">
        <f>+Delay!AK4</f>
        <v>25990196.309999999</v>
      </c>
      <c r="AK3" s="387">
        <f>+Delay!AT5</f>
        <v>0</v>
      </c>
      <c r="AL3" s="387"/>
      <c r="AM3" s="387">
        <f>+Delay!AU5</f>
        <v>0</v>
      </c>
      <c r="AN3" s="387">
        <f>+Delay!AV5</f>
        <v>11543112.300000004</v>
      </c>
      <c r="AO3" s="525">
        <f>+Delay!AW5</f>
        <v>11543112.300000004</v>
      </c>
      <c r="AP3" s="387">
        <f>+Delay!AX5</f>
        <v>0</v>
      </c>
      <c r="AQ3" s="388">
        <f>+Delay!AY5</f>
        <v>11543112.300000004</v>
      </c>
      <c r="AR3" s="387">
        <f>+Delay!AZ5</f>
        <v>0</v>
      </c>
      <c r="AS3" s="389"/>
      <c r="AT3" s="390">
        <v>9103711.1300000008</v>
      </c>
      <c r="AU3" s="358">
        <v>22725460.420000002</v>
      </c>
    </row>
    <row r="4" spans="1:58" ht="15.75" x14ac:dyDescent="0.25">
      <c r="D4" s="391" t="str">
        <f>'VO Summary - Internal Report'!A2</f>
        <v>W01022 South Flank MAC</v>
      </c>
      <c r="E4" s="391"/>
      <c r="F4" s="391"/>
      <c r="G4" s="391"/>
      <c r="H4" s="391"/>
      <c r="I4" s="391"/>
      <c r="J4" s="391"/>
      <c r="K4" s="391"/>
      <c r="L4" s="391"/>
      <c r="M4" s="391"/>
      <c r="N4" s="391"/>
      <c r="O4" s="391"/>
      <c r="P4" s="391"/>
      <c r="Q4" s="391"/>
      <c r="R4" s="391"/>
      <c r="S4" s="391"/>
      <c r="T4" s="391"/>
      <c r="U4" s="392"/>
      <c r="AA4" s="709"/>
      <c r="AB4" s="709"/>
      <c r="AC4" s="709"/>
      <c r="AD4" s="393"/>
      <c r="AE4" s="393"/>
      <c r="AF4" s="393"/>
      <c r="AG4" s="394"/>
      <c r="AH4" s="394"/>
      <c r="AI4" s="393"/>
      <c r="AJ4" s="390"/>
      <c r="AK4" s="395"/>
      <c r="AL4" s="395"/>
      <c r="AM4" s="395"/>
      <c r="AN4" s="395"/>
      <c r="AO4" s="395"/>
      <c r="AP4" s="395"/>
      <c r="AQ4" s="396"/>
      <c r="AR4" s="395"/>
      <c r="AS4" s="397"/>
      <c r="AT4" s="390">
        <f>+AT2-AT3</f>
        <v>13493919.290000001</v>
      </c>
      <c r="AU4" s="558">
        <f>+AT2-AU3</f>
        <v>-127830</v>
      </c>
    </row>
    <row r="5" spans="1:58" ht="25.5" x14ac:dyDescent="0.25">
      <c r="D5" s="713">
        <f ca="1">TODAY()</f>
        <v>45194</v>
      </c>
      <c r="E5" s="713"/>
      <c r="F5" s="713"/>
      <c r="G5" s="713"/>
      <c r="H5" s="713"/>
      <c r="I5" s="713"/>
      <c r="J5" s="713"/>
      <c r="K5" s="398"/>
      <c r="L5" s="398"/>
      <c r="M5" s="398"/>
      <c r="N5" s="398"/>
      <c r="O5" s="398"/>
      <c r="P5" s="398"/>
      <c r="Q5" s="398"/>
      <c r="R5" s="398"/>
      <c r="S5" s="398"/>
      <c r="T5" s="398"/>
      <c r="U5" s="398"/>
      <c r="V5" s="527">
        <f>AK2-24244813.98</f>
        <v>-6385497.7973331697</v>
      </c>
      <c r="AA5" s="709"/>
      <c r="AB5" s="709"/>
      <c r="AC5" s="709"/>
      <c r="AD5" s="393"/>
      <c r="AE5" s="393"/>
      <c r="AF5" s="393"/>
      <c r="AG5" s="394"/>
      <c r="AH5" s="394"/>
      <c r="AI5" s="393"/>
      <c r="AJ5" s="399" t="s">
        <v>1002</v>
      </c>
      <c r="AK5" s="400">
        <f>-AG2-AH2</f>
        <v>-13836383.061829001</v>
      </c>
      <c r="AL5" s="560"/>
      <c r="AM5" s="395"/>
      <c r="AN5" s="395"/>
      <c r="AO5" s="395"/>
      <c r="AP5" s="401"/>
      <c r="AQ5" s="402"/>
      <c r="AR5" s="395"/>
      <c r="AS5" s="397"/>
      <c r="AT5" s="393"/>
      <c r="AU5" s="403"/>
    </row>
    <row r="6" spans="1:58" ht="16.5" customHeight="1" thickBot="1" x14ac:dyDescent="0.25">
      <c r="A6" s="378"/>
      <c r="B6" s="378"/>
      <c r="C6" s="378"/>
      <c r="D6" s="378"/>
      <c r="E6" s="378"/>
      <c r="F6" s="378"/>
      <c r="G6" s="378"/>
      <c r="H6" s="378"/>
      <c r="I6" s="378"/>
      <c r="J6" s="378"/>
      <c r="K6" s="378"/>
      <c r="L6" s="378"/>
      <c r="M6" s="378"/>
      <c r="N6" s="378"/>
      <c r="O6" s="378"/>
      <c r="P6" s="378"/>
      <c r="Q6" s="378"/>
      <c r="R6" s="378"/>
      <c r="S6" s="378"/>
      <c r="T6" s="378"/>
      <c r="U6" s="379"/>
      <c r="AA6" s="709"/>
      <c r="AB6" s="709"/>
      <c r="AC6" s="709"/>
      <c r="AD6" s="404"/>
      <c r="AE6" s="405" t="s">
        <v>38</v>
      </c>
      <c r="AF6" s="406"/>
      <c r="AG6" s="407"/>
      <c r="AH6" s="408" t="s">
        <v>1007</v>
      </c>
      <c r="AI6" s="409"/>
      <c r="AJ6" s="410"/>
      <c r="AK6" s="411" t="s">
        <v>1009</v>
      </c>
      <c r="AL6" s="563" t="s">
        <v>2033</v>
      </c>
      <c r="AM6" s="412"/>
      <c r="AN6" s="413" t="s">
        <v>998</v>
      </c>
      <c r="AO6" s="412"/>
      <c r="AP6" s="414" t="s">
        <v>999</v>
      </c>
      <c r="AQ6" s="415"/>
      <c r="AR6" s="416"/>
      <c r="AS6" s="417"/>
      <c r="AT6" s="393"/>
      <c r="AU6" s="418"/>
    </row>
    <row r="7" spans="1:58" s="427" customFormat="1" ht="15" x14ac:dyDescent="0.25">
      <c r="A7" s="710" t="s">
        <v>23</v>
      </c>
      <c r="B7" s="711"/>
      <c r="C7" s="711"/>
      <c r="D7" s="711"/>
      <c r="E7" s="711"/>
      <c r="F7" s="711"/>
      <c r="G7" s="711"/>
      <c r="H7" s="711"/>
      <c r="I7" s="711"/>
      <c r="J7" s="711"/>
      <c r="K7" s="711"/>
      <c r="L7" s="711"/>
      <c r="M7" s="711"/>
      <c r="N7" s="711"/>
      <c r="O7" s="711"/>
      <c r="P7" s="711"/>
      <c r="Q7" s="711"/>
      <c r="R7" s="711"/>
      <c r="S7" s="711"/>
      <c r="T7" s="711"/>
      <c r="U7" s="711"/>
      <c r="V7" s="711"/>
      <c r="W7" s="711"/>
      <c r="X7" s="711"/>
      <c r="Y7" s="711"/>
      <c r="Z7" s="712"/>
      <c r="AA7" s="419" t="s">
        <v>79</v>
      </c>
      <c r="AB7" s="420"/>
      <c r="AC7" s="420"/>
      <c r="AD7" s="421">
        <f>+SUM(AD9:AD334)</f>
        <v>66941198.3599765</v>
      </c>
      <c r="AE7" s="421">
        <f t="shared" ref="AE7:AJ7" si="2">+SUM(AE9:AE336)</f>
        <v>-11695948.712133517</v>
      </c>
      <c r="AF7" s="421">
        <f t="shared" si="2"/>
        <v>54941605.437843025</v>
      </c>
      <c r="AG7" s="421">
        <f t="shared" si="2"/>
        <v>12792791.381829001</v>
      </c>
      <c r="AH7" s="421">
        <f t="shared" si="2"/>
        <v>1043591.6800000001</v>
      </c>
      <c r="AI7" s="421">
        <f t="shared" si="2"/>
        <v>14999776.066014001</v>
      </c>
      <c r="AJ7" s="421">
        <f t="shared" si="2"/>
        <v>21336735.41</v>
      </c>
      <c r="AK7" s="421">
        <f>+SUM(AK9:AK342)</f>
        <v>31695699.244495831</v>
      </c>
      <c r="AL7" s="421">
        <f>+SUM(AL9:AL342)</f>
        <v>28076699.994495828</v>
      </c>
      <c r="AM7" s="422">
        <f t="shared" ref="AM7:AR7" si="3">+SUM(AM9:AM354)</f>
        <v>6455464.8600000003</v>
      </c>
      <c r="AN7" s="423">
        <f t="shared" si="3"/>
        <v>4604672.2200000007</v>
      </c>
      <c r="AO7" s="526">
        <f t="shared" si="3"/>
        <v>11060137.08</v>
      </c>
      <c r="AP7" s="424">
        <f t="shared" si="3"/>
        <v>8944807.1199999992</v>
      </c>
      <c r="AQ7" s="424">
        <f t="shared" si="3"/>
        <v>2109711</v>
      </c>
      <c r="AR7" s="425">
        <f t="shared" si="3"/>
        <v>0</v>
      </c>
      <c r="AS7" s="423"/>
      <c r="AT7" s="426"/>
      <c r="AU7" s="426" t="e">
        <f>+SUM(AU11:AU354)</f>
        <v>#REF!</v>
      </c>
    </row>
    <row r="8" spans="1:58" s="439" customFormat="1" ht="102.75" customHeight="1" thickBot="1" x14ac:dyDescent="0.3">
      <c r="A8" s="672" t="s">
        <v>69</v>
      </c>
      <c r="B8" s="428" t="s">
        <v>114</v>
      </c>
      <c r="C8" s="428" t="s">
        <v>150</v>
      </c>
      <c r="D8" s="428" t="s">
        <v>116</v>
      </c>
      <c r="E8" s="672" t="s">
        <v>2054</v>
      </c>
      <c r="F8" s="675" t="s">
        <v>2035</v>
      </c>
      <c r="G8" s="675" t="s">
        <v>2059</v>
      </c>
      <c r="H8" s="675" t="s">
        <v>2037</v>
      </c>
      <c r="I8" s="675" t="s">
        <v>2055</v>
      </c>
      <c r="J8" s="676" t="s">
        <v>117</v>
      </c>
      <c r="K8" s="675" t="s">
        <v>2060</v>
      </c>
      <c r="L8" s="675" t="s">
        <v>2061</v>
      </c>
      <c r="M8" s="677" t="s">
        <v>911</v>
      </c>
      <c r="N8" s="677" t="s">
        <v>620</v>
      </c>
      <c r="O8" s="677" t="s">
        <v>730</v>
      </c>
      <c r="P8" s="678" t="s">
        <v>1882</v>
      </c>
      <c r="Q8" s="678" t="s">
        <v>9</v>
      </c>
      <c r="R8" s="429" t="s">
        <v>77</v>
      </c>
      <c r="S8" s="659" t="s">
        <v>2040</v>
      </c>
      <c r="T8" s="428" t="s">
        <v>62</v>
      </c>
      <c r="U8" s="428" t="s">
        <v>0</v>
      </c>
      <c r="V8" s="428" t="s">
        <v>1</v>
      </c>
      <c r="W8" s="428" t="s">
        <v>128</v>
      </c>
      <c r="X8" s="428" t="s">
        <v>83</v>
      </c>
      <c r="Y8" s="428" t="s">
        <v>80</v>
      </c>
      <c r="Z8" s="428" t="s">
        <v>24</v>
      </c>
      <c r="AA8" s="430" t="s">
        <v>81</v>
      </c>
      <c r="AB8" s="430" t="s">
        <v>78</v>
      </c>
      <c r="AC8" s="430" t="s">
        <v>82</v>
      </c>
      <c r="AD8" s="431" t="s">
        <v>974</v>
      </c>
      <c r="AE8" s="432" t="s">
        <v>975</v>
      </c>
      <c r="AF8" s="433" t="s">
        <v>976</v>
      </c>
      <c r="AG8" s="431" t="s">
        <v>971</v>
      </c>
      <c r="AH8" s="434" t="s">
        <v>1000</v>
      </c>
      <c r="AI8" s="432" t="s">
        <v>972</v>
      </c>
      <c r="AJ8" s="435" t="s">
        <v>973</v>
      </c>
      <c r="AK8" s="436" t="s">
        <v>955</v>
      </c>
      <c r="AL8" s="564" t="s">
        <v>955</v>
      </c>
      <c r="AM8" s="431" t="s">
        <v>956</v>
      </c>
      <c r="AN8" s="432" t="s">
        <v>957</v>
      </c>
      <c r="AO8" s="433" t="s">
        <v>958</v>
      </c>
      <c r="AP8" s="519" t="s">
        <v>1807</v>
      </c>
      <c r="AQ8" s="520" t="s">
        <v>1808</v>
      </c>
      <c r="AR8" s="521" t="s">
        <v>1636</v>
      </c>
      <c r="AS8" s="437" t="s">
        <v>1500</v>
      </c>
      <c r="AT8" s="437"/>
      <c r="AU8" s="438" t="s">
        <v>26</v>
      </c>
      <c r="AV8" s="438" t="s">
        <v>73</v>
      </c>
      <c r="AW8" s="439" t="s">
        <v>531</v>
      </c>
      <c r="AX8" s="439" t="s">
        <v>599</v>
      </c>
      <c r="AY8" s="439" t="s">
        <v>557</v>
      </c>
      <c r="BD8" s="440" t="s">
        <v>955</v>
      </c>
      <c r="BE8" s="440" t="s">
        <v>958</v>
      </c>
      <c r="BF8" s="441"/>
    </row>
    <row r="9" spans="1:58" s="439" customFormat="1" ht="30" x14ac:dyDescent="0.25">
      <c r="A9" s="442" t="s">
        <v>67</v>
      </c>
      <c r="B9" s="442" t="s">
        <v>67</v>
      </c>
      <c r="C9" s="443"/>
      <c r="D9" s="444"/>
      <c r="E9" s="442"/>
      <c r="F9" s="442"/>
      <c r="G9" s="442"/>
      <c r="H9" s="442"/>
      <c r="I9" s="442"/>
      <c r="J9" s="442"/>
      <c r="K9" s="442"/>
      <c r="L9" s="442"/>
      <c r="M9" s="442"/>
      <c r="N9" s="442"/>
      <c r="O9" s="442"/>
      <c r="P9" s="442"/>
      <c r="Q9" s="442"/>
      <c r="R9" s="444"/>
      <c r="S9" s="445" t="s">
        <v>26</v>
      </c>
      <c r="T9" s="446" t="s">
        <v>1000</v>
      </c>
      <c r="U9" s="446" t="s">
        <v>991</v>
      </c>
      <c r="V9" s="446" t="s">
        <v>992</v>
      </c>
      <c r="W9" s="446" t="s">
        <v>74</v>
      </c>
      <c r="X9" s="447">
        <v>43244</v>
      </c>
      <c r="Y9" s="447" t="s">
        <v>71</v>
      </c>
      <c r="Z9" s="447" t="s">
        <v>76</v>
      </c>
      <c r="AA9" s="447">
        <f>+WORKDAY(X9,5)</f>
        <v>43251</v>
      </c>
      <c r="AB9" s="447">
        <f>+WORKDAY(X9,10)</f>
        <v>43258</v>
      </c>
      <c r="AC9" s="447">
        <v>43258</v>
      </c>
      <c r="AD9" s="449">
        <v>1043591.6800000001</v>
      </c>
      <c r="AE9" s="450"/>
      <c r="AF9" s="451">
        <f t="shared" ref="AF9:AF28" si="4">+SUM(AD9:AE9)</f>
        <v>1043591.6800000001</v>
      </c>
      <c r="AG9" s="449"/>
      <c r="AH9" s="452">
        <f>AF9</f>
        <v>1043591.6800000001</v>
      </c>
      <c r="AI9" s="450"/>
      <c r="AJ9" s="453">
        <f t="shared" ref="AJ9:AJ20" si="5">+AF9-SUM(AG9:AI9)</f>
        <v>0</v>
      </c>
      <c r="AK9" s="454">
        <f>AF9</f>
        <v>1043591.6800000001</v>
      </c>
      <c r="AL9" s="565">
        <v>1043591.6800000001</v>
      </c>
      <c r="AM9" s="449">
        <v>0</v>
      </c>
      <c r="AN9" s="450">
        <v>0</v>
      </c>
      <c r="AO9" s="451">
        <f t="shared" ref="AO9:AO74" si="6">AN9+AM9</f>
        <v>0</v>
      </c>
      <c r="AP9" s="452">
        <v>0</v>
      </c>
      <c r="AQ9" s="453">
        <v>0</v>
      </c>
      <c r="AR9" s="455"/>
      <c r="AS9" s="456">
        <f>AK9-AL9</f>
        <v>0</v>
      </c>
      <c r="AT9" s="457"/>
      <c r="AU9" s="458">
        <f>+AO9-AP9</f>
        <v>0</v>
      </c>
      <c r="AV9" s="458" t="s">
        <v>74</v>
      </c>
      <c r="BD9" s="459">
        <v>10037722</v>
      </c>
      <c r="BE9" s="459">
        <v>9178047</v>
      </c>
      <c r="BF9" s="460" t="s">
        <v>1178</v>
      </c>
    </row>
    <row r="10" spans="1:58" s="439" customFormat="1" ht="78.75" customHeight="1" x14ac:dyDescent="0.25">
      <c r="A10" s="442" t="s">
        <v>67</v>
      </c>
      <c r="B10" s="442"/>
      <c r="C10" s="443"/>
      <c r="D10" s="444"/>
      <c r="E10" s="442"/>
      <c r="F10" s="442"/>
      <c r="G10" s="442"/>
      <c r="H10" s="442"/>
      <c r="I10" s="442"/>
      <c r="J10" s="442"/>
      <c r="K10" s="442"/>
      <c r="L10" s="442"/>
      <c r="M10" s="442"/>
      <c r="N10" s="442"/>
      <c r="O10" s="442"/>
      <c r="P10" s="442"/>
      <c r="Q10" s="442"/>
      <c r="R10" s="444"/>
      <c r="S10" s="445" t="s">
        <v>143</v>
      </c>
      <c r="T10" s="444" t="s">
        <v>85</v>
      </c>
      <c r="U10" s="446" t="s">
        <v>991</v>
      </c>
      <c r="V10" s="446" t="s">
        <v>1010</v>
      </c>
      <c r="W10" s="446" t="s">
        <v>74</v>
      </c>
      <c r="X10" s="447">
        <v>43244</v>
      </c>
      <c r="Y10" s="447" t="s">
        <v>71</v>
      </c>
      <c r="Z10" s="447" t="s">
        <v>76</v>
      </c>
      <c r="AA10" s="447">
        <f>+WORKDAY(X10,5)</f>
        <v>43251</v>
      </c>
      <c r="AB10" s="447">
        <f>+WORKDAY(X10,10)</f>
        <v>43258</v>
      </c>
      <c r="AC10" s="447">
        <v>43258</v>
      </c>
      <c r="AD10" s="449"/>
      <c r="AE10" s="450"/>
      <c r="AF10" s="451"/>
      <c r="AG10" s="449"/>
      <c r="AH10" s="452"/>
      <c r="AI10" s="450"/>
      <c r="AJ10" s="453">
        <f t="shared" si="5"/>
        <v>0</v>
      </c>
      <c r="AK10" s="454">
        <v>0</v>
      </c>
      <c r="AL10" s="565">
        <v>0</v>
      </c>
      <c r="AM10" s="449"/>
      <c r="AN10" s="450">
        <v>0</v>
      </c>
      <c r="AO10" s="451">
        <f t="shared" si="6"/>
        <v>0</v>
      </c>
      <c r="AP10" s="452">
        <f>AO10</f>
        <v>0</v>
      </c>
      <c r="AQ10" s="453">
        <f>AO10-AP10</f>
        <v>0</v>
      </c>
      <c r="AR10" s="462"/>
      <c r="AS10" s="456">
        <f t="shared" ref="AS10:AS73" si="7">AK10-AL10</f>
        <v>0</v>
      </c>
      <c r="AT10" s="457" t="s">
        <v>1012</v>
      </c>
      <c r="AU10" s="458" t="e">
        <f>+#REF!</f>
        <v>#REF!</v>
      </c>
      <c r="AV10" s="458" t="s">
        <v>74</v>
      </c>
      <c r="AX10" s="463">
        <f>(AP10+AQ10)-(AO10)</f>
        <v>0</v>
      </c>
      <c r="BB10" s="463">
        <f>(AM10+AN10)-AO10</f>
        <v>0</v>
      </c>
      <c r="BD10" s="459">
        <f>+AK2</f>
        <v>17859316.182666831</v>
      </c>
      <c r="BE10" s="459">
        <f>+AO2</f>
        <v>22603249.380000003</v>
      </c>
      <c r="BF10" s="464" t="s">
        <v>1180</v>
      </c>
    </row>
    <row r="11" spans="1:58" s="439" customFormat="1" ht="90" customHeight="1" x14ac:dyDescent="0.25">
      <c r="A11" s="442" t="s">
        <v>55</v>
      </c>
      <c r="B11" s="442" t="s">
        <v>345</v>
      </c>
      <c r="C11" s="443"/>
      <c r="D11" s="444" t="s">
        <v>113</v>
      </c>
      <c r="E11" s="444"/>
      <c r="F11" s="121">
        <v>43244</v>
      </c>
      <c r="G11" s="121">
        <f>+WORKDAY(F11,10)</f>
        <v>43258</v>
      </c>
      <c r="H11" s="121">
        <v>43244</v>
      </c>
      <c r="I11" s="121">
        <f>+WORKDAY(H11,5)</f>
        <v>43251</v>
      </c>
      <c r="J11" s="442" t="s">
        <v>118</v>
      </c>
      <c r="K11" s="442"/>
      <c r="L11" s="442"/>
      <c r="M11" s="442"/>
      <c r="N11" s="442"/>
      <c r="O11" s="442"/>
      <c r="P11" s="442"/>
      <c r="Q11" s="442"/>
      <c r="R11" s="444"/>
      <c r="S11" s="445" t="s">
        <v>26</v>
      </c>
      <c r="T11" s="444" t="s">
        <v>84</v>
      </c>
      <c r="U11" s="446" t="s">
        <v>121</v>
      </c>
      <c r="V11" s="446" t="s">
        <v>174</v>
      </c>
      <c r="W11" s="446" t="s">
        <v>74</v>
      </c>
      <c r="X11" s="447">
        <v>43244</v>
      </c>
      <c r="Y11" s="447" t="s">
        <v>71</v>
      </c>
      <c r="Z11" s="447" t="s">
        <v>76</v>
      </c>
      <c r="AA11" s="447">
        <f>+WORKDAY(X11,5)</f>
        <v>43251</v>
      </c>
      <c r="AB11" s="447">
        <f>+WORKDAY(X11,10)</f>
        <v>43258</v>
      </c>
      <c r="AC11" s="447">
        <v>43258</v>
      </c>
      <c r="AD11" s="449"/>
      <c r="AE11" s="450"/>
      <c r="AF11" s="451">
        <f t="shared" si="4"/>
        <v>0</v>
      </c>
      <c r="AG11" s="449"/>
      <c r="AH11" s="452"/>
      <c r="AI11" s="450">
        <f t="shared" ref="AI11:AI18" si="8">AF11</f>
        <v>0</v>
      </c>
      <c r="AJ11" s="453">
        <f t="shared" si="5"/>
        <v>0</v>
      </c>
      <c r="AK11" s="454">
        <v>0</v>
      </c>
      <c r="AL11" s="565">
        <v>0</v>
      </c>
      <c r="AM11" s="449">
        <v>0</v>
      </c>
      <c r="AN11" s="450">
        <v>0</v>
      </c>
      <c r="AO11" s="451">
        <f t="shared" si="6"/>
        <v>0</v>
      </c>
      <c r="AP11" s="452">
        <v>0</v>
      </c>
      <c r="AQ11" s="453">
        <v>0</v>
      </c>
      <c r="AR11" s="455"/>
      <c r="AS11" s="456">
        <f t="shared" si="7"/>
        <v>0</v>
      </c>
      <c r="AT11" s="457" t="s">
        <v>112</v>
      </c>
      <c r="AU11" s="458" t="e">
        <f>+#REF!</f>
        <v>#REF!</v>
      </c>
      <c r="AV11" s="458" t="s">
        <v>74</v>
      </c>
      <c r="BD11" s="465">
        <f>+BD10-BD9</f>
        <v>7821594.1826668307</v>
      </c>
      <c r="BE11" s="465">
        <f>+BE10-BE9</f>
        <v>13425202.380000003</v>
      </c>
      <c r="BF11" s="440" t="s">
        <v>1179</v>
      </c>
    </row>
    <row r="12" spans="1:58" s="439" customFormat="1" ht="60.75" x14ac:dyDescent="0.25">
      <c r="A12" s="442" t="s">
        <v>125</v>
      </c>
      <c r="B12" s="442" t="s">
        <v>344</v>
      </c>
      <c r="C12" s="472" t="s">
        <v>837</v>
      </c>
      <c r="D12" s="444" t="s">
        <v>165</v>
      </c>
      <c r="E12" s="442"/>
      <c r="F12" s="442"/>
      <c r="G12" s="442"/>
      <c r="H12" s="442"/>
      <c r="I12" s="442"/>
      <c r="J12" s="442" t="s">
        <v>169</v>
      </c>
      <c r="K12" s="442"/>
      <c r="L12" s="442"/>
      <c r="M12" s="442"/>
      <c r="N12" s="442"/>
      <c r="O12" s="442"/>
      <c r="P12" s="442"/>
      <c r="Q12" s="442"/>
      <c r="R12" s="444"/>
      <c r="S12" s="445" t="s">
        <v>26</v>
      </c>
      <c r="T12" s="444" t="s">
        <v>133</v>
      </c>
      <c r="U12" s="446" t="s">
        <v>126</v>
      </c>
      <c r="V12" s="446" t="s">
        <v>600</v>
      </c>
      <c r="W12" s="446" t="s">
        <v>148</v>
      </c>
      <c r="X12" s="447">
        <v>43292</v>
      </c>
      <c r="Y12" s="447" t="s">
        <v>127</v>
      </c>
      <c r="Z12" s="447" t="s">
        <v>124</v>
      </c>
      <c r="AA12" s="447">
        <f t="shared" ref="AA12:AA42" si="9">+IF(X12="","",WORKDAY(X12,5))</f>
        <v>43299</v>
      </c>
      <c r="AB12" s="447">
        <f t="shared" ref="AB12:AB42" si="10">+IF(X12="","",WORKDAY(X12,10))</f>
        <v>43306</v>
      </c>
      <c r="AC12" s="447" t="s">
        <v>2024</v>
      </c>
      <c r="AD12" s="449">
        <v>2867.5400000000004</v>
      </c>
      <c r="AE12" s="450"/>
      <c r="AF12" s="451">
        <f t="shared" si="4"/>
        <v>2867.5400000000004</v>
      </c>
      <c r="AG12" s="449"/>
      <c r="AH12" s="452"/>
      <c r="AI12" s="450">
        <f t="shared" si="8"/>
        <v>2867.5400000000004</v>
      </c>
      <c r="AJ12" s="453">
        <f t="shared" si="5"/>
        <v>0</v>
      </c>
      <c r="AK12" s="454">
        <v>2868</v>
      </c>
      <c r="AL12" s="565">
        <v>2868</v>
      </c>
      <c r="AM12" s="449">
        <v>0</v>
      </c>
      <c r="AN12" s="450">
        <v>0</v>
      </c>
      <c r="AO12" s="451">
        <f t="shared" si="6"/>
        <v>0</v>
      </c>
      <c r="AP12" s="452">
        <v>0</v>
      </c>
      <c r="AQ12" s="453">
        <v>0</v>
      </c>
      <c r="AR12" s="455"/>
      <c r="AS12" s="456">
        <f t="shared" si="7"/>
        <v>0</v>
      </c>
      <c r="AT12" s="466"/>
    </row>
    <row r="13" spans="1:58" s="439" customFormat="1" ht="60" x14ac:dyDescent="0.25">
      <c r="A13" s="442" t="s">
        <v>129</v>
      </c>
      <c r="B13" s="442" t="s">
        <v>344</v>
      </c>
      <c r="C13" s="472" t="s">
        <v>346</v>
      </c>
      <c r="D13" s="444" t="s">
        <v>168</v>
      </c>
      <c r="E13" s="442"/>
      <c r="F13" s="442"/>
      <c r="G13" s="442"/>
      <c r="H13" s="442"/>
      <c r="I13" s="442"/>
      <c r="J13" s="442" t="s">
        <v>169</v>
      </c>
      <c r="K13" s="442"/>
      <c r="L13" s="442"/>
      <c r="M13" s="442"/>
      <c r="N13" s="442"/>
      <c r="O13" s="442"/>
      <c r="P13" s="442"/>
      <c r="Q13" s="442"/>
      <c r="R13" s="444"/>
      <c r="S13" s="445" t="s">
        <v>26</v>
      </c>
      <c r="T13" s="444" t="s">
        <v>133</v>
      </c>
      <c r="U13" s="446" t="s">
        <v>131</v>
      </c>
      <c r="V13" s="446" t="s">
        <v>147</v>
      </c>
      <c r="W13" s="446" t="s">
        <v>148</v>
      </c>
      <c r="X13" s="447">
        <v>43295</v>
      </c>
      <c r="Y13" s="447" t="s">
        <v>127</v>
      </c>
      <c r="Z13" s="447" t="s">
        <v>124</v>
      </c>
      <c r="AA13" s="447">
        <f t="shared" si="9"/>
        <v>43301</v>
      </c>
      <c r="AB13" s="447">
        <f t="shared" si="10"/>
        <v>43308</v>
      </c>
      <c r="AC13" s="447" t="s">
        <v>2025</v>
      </c>
      <c r="AD13" s="449">
        <v>5380.89</v>
      </c>
      <c r="AE13" s="450"/>
      <c r="AF13" s="451">
        <f t="shared" si="4"/>
        <v>5380.89</v>
      </c>
      <c r="AG13" s="449"/>
      <c r="AH13" s="452"/>
      <c r="AI13" s="450">
        <f t="shared" si="8"/>
        <v>5380.89</v>
      </c>
      <c r="AJ13" s="453">
        <f t="shared" si="5"/>
        <v>0</v>
      </c>
      <c r="AK13" s="454">
        <v>5381</v>
      </c>
      <c r="AL13" s="565">
        <v>5381</v>
      </c>
      <c r="AM13" s="449">
        <v>0</v>
      </c>
      <c r="AN13" s="450">
        <v>0</v>
      </c>
      <c r="AO13" s="451">
        <f t="shared" si="6"/>
        <v>0</v>
      </c>
      <c r="AP13" s="452">
        <v>0</v>
      </c>
      <c r="AQ13" s="453">
        <v>0</v>
      </c>
      <c r="AR13" s="455"/>
      <c r="AS13" s="456">
        <f t="shared" si="7"/>
        <v>0</v>
      </c>
      <c r="AT13" s="466"/>
      <c r="AU13" s="458"/>
      <c r="AV13" s="458"/>
      <c r="BD13" s="441" t="s">
        <v>1181</v>
      </c>
      <c r="BE13" s="464"/>
      <c r="BF13" s="446"/>
    </row>
    <row r="14" spans="1:58" s="439" customFormat="1" ht="60" x14ac:dyDescent="0.25">
      <c r="A14" s="442" t="s">
        <v>130</v>
      </c>
      <c r="B14" s="442" t="s">
        <v>344</v>
      </c>
      <c r="C14" s="443"/>
      <c r="D14" s="444" t="s">
        <v>124</v>
      </c>
      <c r="E14" s="442"/>
      <c r="F14" s="442"/>
      <c r="G14" s="442"/>
      <c r="H14" s="442"/>
      <c r="I14" s="442"/>
      <c r="J14" s="442" t="s">
        <v>367</v>
      </c>
      <c r="K14" s="442"/>
      <c r="L14" s="442"/>
      <c r="M14" s="442"/>
      <c r="N14" s="442"/>
      <c r="O14" s="442"/>
      <c r="P14" s="442"/>
      <c r="Q14" s="442"/>
      <c r="R14" s="444" t="s">
        <v>139</v>
      </c>
      <c r="S14" s="445" t="s">
        <v>26</v>
      </c>
      <c r="T14" s="444" t="s">
        <v>85</v>
      </c>
      <c r="U14" s="446" t="s">
        <v>134</v>
      </c>
      <c r="V14" s="446" t="s">
        <v>601</v>
      </c>
      <c r="W14" s="446" t="s">
        <v>204</v>
      </c>
      <c r="X14" s="447">
        <v>43287</v>
      </c>
      <c r="Y14" s="447" t="s">
        <v>71</v>
      </c>
      <c r="Z14" s="447">
        <v>43311</v>
      </c>
      <c r="AA14" s="447">
        <f t="shared" si="9"/>
        <v>43294</v>
      </c>
      <c r="AB14" s="447">
        <f t="shared" si="10"/>
        <v>43301</v>
      </c>
      <c r="AC14" s="447">
        <v>43301</v>
      </c>
      <c r="AD14" s="449">
        <v>58533.75</v>
      </c>
      <c r="AE14" s="450"/>
      <c r="AF14" s="451">
        <f t="shared" si="4"/>
        <v>58533.75</v>
      </c>
      <c r="AG14" s="449"/>
      <c r="AH14" s="452"/>
      <c r="AI14" s="450">
        <f t="shared" si="8"/>
        <v>58533.75</v>
      </c>
      <c r="AJ14" s="453">
        <f t="shared" si="5"/>
        <v>0</v>
      </c>
      <c r="AK14" s="454">
        <v>58533.75</v>
      </c>
      <c r="AL14" s="565">
        <v>58533.75</v>
      </c>
      <c r="AM14" s="449">
        <v>0</v>
      </c>
      <c r="AN14" s="450">
        <v>0</v>
      </c>
      <c r="AO14" s="451">
        <f t="shared" si="6"/>
        <v>0</v>
      </c>
      <c r="AP14" s="452">
        <v>0</v>
      </c>
      <c r="AQ14" s="453">
        <v>0</v>
      </c>
      <c r="AR14" s="455"/>
      <c r="AS14" s="456">
        <f t="shared" si="7"/>
        <v>0</v>
      </c>
      <c r="AT14" s="466"/>
      <c r="AV14" s="467"/>
      <c r="BD14" s="459">
        <v>1661000</v>
      </c>
      <c r="BE14" s="459"/>
      <c r="BF14" s="446" t="s">
        <v>1478</v>
      </c>
    </row>
    <row r="15" spans="1:58" s="439" customFormat="1" ht="45" x14ac:dyDescent="0.25">
      <c r="A15" s="442" t="s">
        <v>132</v>
      </c>
      <c r="B15" s="442" t="s">
        <v>344</v>
      </c>
      <c r="C15" s="472" t="s">
        <v>347</v>
      </c>
      <c r="D15" s="444" t="s">
        <v>167</v>
      </c>
      <c r="E15" s="442"/>
      <c r="F15" s="442"/>
      <c r="G15" s="442"/>
      <c r="H15" s="442"/>
      <c r="I15" s="442"/>
      <c r="J15" s="442" t="s">
        <v>169</v>
      </c>
      <c r="K15" s="442"/>
      <c r="L15" s="442"/>
      <c r="M15" s="442"/>
      <c r="N15" s="442"/>
      <c r="O15" s="442"/>
      <c r="P15" s="442"/>
      <c r="Q15" s="442"/>
      <c r="R15" s="444"/>
      <c r="S15" s="445" t="s">
        <v>26</v>
      </c>
      <c r="T15" s="444" t="s">
        <v>133</v>
      </c>
      <c r="U15" s="446" t="s">
        <v>135</v>
      </c>
      <c r="V15" s="446" t="s">
        <v>136</v>
      </c>
      <c r="W15" s="446" t="s">
        <v>137</v>
      </c>
      <c r="X15" s="447">
        <v>43300</v>
      </c>
      <c r="Y15" s="447" t="s">
        <v>127</v>
      </c>
      <c r="Z15" s="447">
        <v>43303</v>
      </c>
      <c r="AA15" s="447">
        <f t="shared" si="9"/>
        <v>43307</v>
      </c>
      <c r="AB15" s="447">
        <f t="shared" si="10"/>
        <v>43314</v>
      </c>
      <c r="AC15" s="447" t="s">
        <v>2026</v>
      </c>
      <c r="AD15" s="449">
        <v>16503</v>
      </c>
      <c r="AE15" s="450"/>
      <c r="AF15" s="451">
        <f t="shared" si="4"/>
        <v>16503</v>
      </c>
      <c r="AG15" s="449"/>
      <c r="AH15" s="452"/>
      <c r="AI15" s="450">
        <f t="shared" si="8"/>
        <v>16503</v>
      </c>
      <c r="AJ15" s="453">
        <f t="shared" si="5"/>
        <v>0</v>
      </c>
      <c r="AK15" s="454">
        <v>16503</v>
      </c>
      <c r="AL15" s="565">
        <v>16503</v>
      </c>
      <c r="AM15" s="449">
        <v>0</v>
      </c>
      <c r="AN15" s="450">
        <v>0</v>
      </c>
      <c r="AO15" s="451">
        <f t="shared" si="6"/>
        <v>0</v>
      </c>
      <c r="AP15" s="452">
        <v>0</v>
      </c>
      <c r="AQ15" s="453">
        <v>0</v>
      </c>
      <c r="AR15" s="455"/>
      <c r="AS15" s="456">
        <f t="shared" si="7"/>
        <v>0</v>
      </c>
      <c r="AT15" s="466"/>
      <c r="AU15" s="458"/>
      <c r="AV15" s="458"/>
      <c r="BD15" s="459">
        <v>230000</v>
      </c>
      <c r="BE15" s="459"/>
      <c r="BF15" s="446" t="s">
        <v>1479</v>
      </c>
    </row>
    <row r="16" spans="1:58" s="439" customFormat="1" ht="135" customHeight="1" x14ac:dyDescent="0.25">
      <c r="A16" s="442" t="s">
        <v>140</v>
      </c>
      <c r="B16" s="442" t="s">
        <v>124</v>
      </c>
      <c r="C16" s="443"/>
      <c r="D16" s="444" t="s">
        <v>839</v>
      </c>
      <c r="E16" s="442"/>
      <c r="F16" s="442"/>
      <c r="G16" s="442"/>
      <c r="H16" s="442"/>
      <c r="I16" s="442"/>
      <c r="J16" s="442" t="s">
        <v>838</v>
      </c>
      <c r="K16" s="442"/>
      <c r="L16" s="442"/>
      <c r="M16" s="468">
        <v>43594</v>
      </c>
      <c r="N16" s="442" t="s">
        <v>622</v>
      </c>
      <c r="O16" s="442" t="s">
        <v>621</v>
      </c>
      <c r="P16" s="442" t="s">
        <v>1883</v>
      </c>
      <c r="Q16" s="442"/>
      <c r="R16" s="444"/>
      <c r="S16" s="445" t="s">
        <v>143</v>
      </c>
      <c r="T16" s="444" t="s">
        <v>85</v>
      </c>
      <c r="U16" s="446" t="s">
        <v>141</v>
      </c>
      <c r="V16" s="446" t="s">
        <v>142</v>
      </c>
      <c r="W16" s="446" t="s">
        <v>220</v>
      </c>
      <c r="X16" s="447">
        <v>43300</v>
      </c>
      <c r="Y16" s="447" t="s">
        <v>71</v>
      </c>
      <c r="Z16" s="447">
        <v>43311</v>
      </c>
      <c r="AA16" s="447">
        <f t="shared" si="9"/>
        <v>43307</v>
      </c>
      <c r="AB16" s="447">
        <f t="shared" si="10"/>
        <v>43314</v>
      </c>
      <c r="AC16" s="447">
        <v>43308</v>
      </c>
      <c r="AD16" s="449">
        <v>73369.440000000002</v>
      </c>
      <c r="AE16" s="450">
        <f>-AD16</f>
        <v>-73369.440000000002</v>
      </c>
      <c r="AF16" s="451">
        <f t="shared" si="4"/>
        <v>0</v>
      </c>
      <c r="AG16" s="449"/>
      <c r="AH16" s="452"/>
      <c r="AI16" s="450">
        <f t="shared" si="8"/>
        <v>0</v>
      </c>
      <c r="AJ16" s="453">
        <f t="shared" si="5"/>
        <v>0</v>
      </c>
      <c r="AK16" s="454">
        <v>0</v>
      </c>
      <c r="AL16" s="565">
        <v>0</v>
      </c>
      <c r="AM16" s="449">
        <v>0</v>
      </c>
      <c r="AN16" s="450">
        <v>0</v>
      </c>
      <c r="AO16" s="451">
        <f t="shared" si="6"/>
        <v>0</v>
      </c>
      <c r="AP16" s="452">
        <v>0</v>
      </c>
      <c r="AQ16" s="453">
        <v>0</v>
      </c>
      <c r="AR16" s="455"/>
      <c r="AS16" s="456">
        <f t="shared" si="7"/>
        <v>0</v>
      </c>
      <c r="AT16" s="457"/>
      <c r="AV16" s="467"/>
      <c r="BD16" s="459">
        <v>4421859.13</v>
      </c>
      <c r="BE16" s="459"/>
      <c r="BF16" s="446" t="s">
        <v>1182</v>
      </c>
    </row>
    <row r="17" spans="1:58" s="439" customFormat="1" ht="60" x14ac:dyDescent="0.25">
      <c r="A17" s="442" t="s">
        <v>149</v>
      </c>
      <c r="B17" s="442" t="s">
        <v>344</v>
      </c>
      <c r="C17" s="472" t="s">
        <v>199</v>
      </c>
      <c r="D17" s="444" t="s">
        <v>166</v>
      </c>
      <c r="E17" s="442"/>
      <c r="F17" s="442"/>
      <c r="G17" s="442"/>
      <c r="H17" s="442"/>
      <c r="I17" s="442"/>
      <c r="J17" s="442" t="s">
        <v>169</v>
      </c>
      <c r="K17" s="442"/>
      <c r="L17" s="442"/>
      <c r="M17" s="442"/>
      <c r="N17" s="442"/>
      <c r="O17" s="442"/>
      <c r="P17" s="442"/>
      <c r="Q17" s="442"/>
      <c r="R17" s="444"/>
      <c r="S17" s="445" t="s">
        <v>26</v>
      </c>
      <c r="T17" s="444" t="s">
        <v>133</v>
      </c>
      <c r="U17" s="446" t="s">
        <v>146</v>
      </c>
      <c r="V17" s="446" t="s">
        <v>145</v>
      </c>
      <c r="W17" s="446" t="s">
        <v>148</v>
      </c>
      <c r="X17" s="447">
        <v>43313</v>
      </c>
      <c r="Y17" s="447" t="s">
        <v>71</v>
      </c>
      <c r="Z17" s="447">
        <f>+X17+7</f>
        <v>43320</v>
      </c>
      <c r="AA17" s="447">
        <f t="shared" si="9"/>
        <v>43320</v>
      </c>
      <c r="AB17" s="447">
        <f t="shared" si="10"/>
        <v>43327</v>
      </c>
      <c r="AC17" s="447" t="s">
        <v>2027</v>
      </c>
      <c r="AD17" s="449">
        <v>1375.71</v>
      </c>
      <c r="AE17" s="450"/>
      <c r="AF17" s="451">
        <f t="shared" si="4"/>
        <v>1375.71</v>
      </c>
      <c r="AG17" s="449"/>
      <c r="AH17" s="452"/>
      <c r="AI17" s="450">
        <f t="shared" si="8"/>
        <v>1375.71</v>
      </c>
      <c r="AJ17" s="453">
        <f t="shared" si="5"/>
        <v>0</v>
      </c>
      <c r="AK17" s="454">
        <v>1376</v>
      </c>
      <c r="AL17" s="565">
        <v>1376</v>
      </c>
      <c r="AM17" s="449">
        <v>0</v>
      </c>
      <c r="AN17" s="450">
        <v>0</v>
      </c>
      <c r="AO17" s="451">
        <f t="shared" si="6"/>
        <v>0</v>
      </c>
      <c r="AP17" s="452">
        <v>0</v>
      </c>
      <c r="AQ17" s="453">
        <v>0</v>
      </c>
      <c r="AR17" s="455"/>
      <c r="AS17" s="456">
        <f t="shared" si="7"/>
        <v>0</v>
      </c>
      <c r="AT17" s="466"/>
      <c r="AV17" s="467"/>
      <c r="BD17" s="470">
        <f>SUM(BD14:BD16)</f>
        <v>6312859.1299999999</v>
      </c>
      <c r="BE17" s="441"/>
      <c r="BF17" s="441" t="s">
        <v>420</v>
      </c>
    </row>
    <row r="18" spans="1:58" s="439" customFormat="1" ht="105" x14ac:dyDescent="0.25">
      <c r="A18" s="442" t="s">
        <v>158</v>
      </c>
      <c r="B18" s="442" t="s">
        <v>344</v>
      </c>
      <c r="C18" s="443" t="s">
        <v>198</v>
      </c>
      <c r="D18" s="444" t="s">
        <v>161</v>
      </c>
      <c r="E18" s="442"/>
      <c r="F18" s="442"/>
      <c r="G18" s="442"/>
      <c r="H18" s="442"/>
      <c r="I18" s="442"/>
      <c r="J18" s="442" t="s">
        <v>159</v>
      </c>
      <c r="K18" s="442"/>
      <c r="L18" s="442"/>
      <c r="M18" s="442"/>
      <c r="N18" s="442"/>
      <c r="O18" s="442"/>
      <c r="P18" s="442"/>
      <c r="Q18" s="442"/>
      <c r="R18" s="444"/>
      <c r="S18" s="445" t="s">
        <v>26</v>
      </c>
      <c r="T18" s="444" t="s">
        <v>85</v>
      </c>
      <c r="U18" s="446" t="s">
        <v>1873</v>
      </c>
      <c r="V18" s="446" t="s">
        <v>172</v>
      </c>
      <c r="W18" s="446" t="s">
        <v>203</v>
      </c>
      <c r="X18" s="447">
        <v>43320</v>
      </c>
      <c r="Y18" s="447" t="s">
        <v>71</v>
      </c>
      <c r="Z18" s="447">
        <v>43336</v>
      </c>
      <c r="AA18" s="447">
        <f t="shared" si="9"/>
        <v>43327</v>
      </c>
      <c r="AB18" s="447">
        <f t="shared" si="10"/>
        <v>43334</v>
      </c>
      <c r="AC18" s="447">
        <v>43322</v>
      </c>
      <c r="AD18" s="449">
        <v>111081</v>
      </c>
      <c r="AE18" s="450"/>
      <c r="AF18" s="451">
        <f t="shared" si="4"/>
        <v>111081</v>
      </c>
      <c r="AG18" s="449"/>
      <c r="AH18" s="452"/>
      <c r="AI18" s="450">
        <f t="shared" si="8"/>
        <v>111081</v>
      </c>
      <c r="AJ18" s="453">
        <f t="shared" si="5"/>
        <v>0</v>
      </c>
      <c r="AK18" s="454">
        <f>AI18</f>
        <v>111081</v>
      </c>
      <c r="AL18" s="565">
        <v>111081</v>
      </c>
      <c r="AM18" s="449">
        <v>0</v>
      </c>
      <c r="AN18" s="450">
        <v>0</v>
      </c>
      <c r="AO18" s="451">
        <f t="shared" si="6"/>
        <v>0</v>
      </c>
      <c r="AP18" s="452">
        <v>0</v>
      </c>
      <c r="AQ18" s="453">
        <v>0</v>
      </c>
      <c r="AR18" s="455"/>
      <c r="AS18" s="456">
        <f t="shared" si="7"/>
        <v>0</v>
      </c>
      <c r="AT18" s="466"/>
      <c r="AU18" s="438" t="s">
        <v>697</v>
      </c>
      <c r="AV18" s="467">
        <v>97913.8</v>
      </c>
      <c r="AW18" s="467" t="e">
        <f>Delay!#REF!</f>
        <v>#REF!</v>
      </c>
      <c r="AX18" s="467" t="e">
        <f>AW18+AV18+#REF!</f>
        <v>#REF!</v>
      </c>
    </row>
    <row r="19" spans="1:58" s="439" customFormat="1" ht="105" x14ac:dyDescent="0.25">
      <c r="A19" s="442" t="s">
        <v>1874</v>
      </c>
      <c r="B19" s="442" t="s">
        <v>344</v>
      </c>
      <c r="C19" s="443" t="s">
        <v>198</v>
      </c>
      <c r="D19" s="444" t="s">
        <v>161</v>
      </c>
      <c r="E19" s="442"/>
      <c r="F19" s="442"/>
      <c r="G19" s="442"/>
      <c r="H19" s="442"/>
      <c r="I19" s="442"/>
      <c r="J19" s="442" t="s">
        <v>159</v>
      </c>
      <c r="K19" s="442"/>
      <c r="L19" s="442"/>
      <c r="M19" s="442"/>
      <c r="N19" s="442"/>
      <c r="O19" s="442"/>
      <c r="P19" s="442"/>
      <c r="Q19" s="442"/>
      <c r="R19" s="444"/>
      <c r="S19" s="445" t="s">
        <v>26</v>
      </c>
      <c r="T19" s="444" t="s">
        <v>1262</v>
      </c>
      <c r="U19" s="446" t="s">
        <v>160</v>
      </c>
      <c r="V19" s="446" t="s">
        <v>172</v>
      </c>
      <c r="W19" s="446" t="s">
        <v>203</v>
      </c>
      <c r="X19" s="447">
        <v>43320</v>
      </c>
      <c r="Y19" s="447" t="s">
        <v>71</v>
      </c>
      <c r="Z19" s="447">
        <v>43336</v>
      </c>
      <c r="AA19" s="447">
        <f t="shared" ref="AA19" si="11">+IF(X19="","",WORKDAY(X19,5))</f>
        <v>43327</v>
      </c>
      <c r="AB19" s="447">
        <f t="shared" ref="AB19" si="12">+IF(X19="","",WORKDAY(X19,10))</f>
        <v>43334</v>
      </c>
      <c r="AC19" s="447">
        <v>43322</v>
      </c>
      <c r="AD19" s="449">
        <v>1097235.24</v>
      </c>
      <c r="AE19" s="450"/>
      <c r="AF19" s="451">
        <f t="shared" ref="AF19" si="13">+SUM(AD19:AE19)</f>
        <v>1097235.24</v>
      </c>
      <c r="AG19" s="449">
        <f>AF19</f>
        <v>1097235.24</v>
      </c>
      <c r="AH19" s="452"/>
      <c r="AI19" s="450"/>
      <c r="AJ19" s="453">
        <f t="shared" ref="AJ19" si="14">+AF19-SUM(AG19:AI19)</f>
        <v>0</v>
      </c>
      <c r="AK19" s="454">
        <f>AF19</f>
        <v>1097235.24</v>
      </c>
      <c r="AL19" s="565">
        <v>1097235.24</v>
      </c>
      <c r="AM19" s="449">
        <v>0</v>
      </c>
      <c r="AN19" s="450">
        <v>0</v>
      </c>
      <c r="AO19" s="451">
        <f t="shared" ref="AO19" si="15">AN19+AM19</f>
        <v>0</v>
      </c>
      <c r="AP19" s="452">
        <v>0</v>
      </c>
      <c r="AQ19" s="453">
        <v>0</v>
      </c>
      <c r="AR19" s="455"/>
      <c r="AS19" s="456">
        <f t="shared" si="7"/>
        <v>0</v>
      </c>
      <c r="AT19" s="466"/>
      <c r="AU19" s="438" t="s">
        <v>697</v>
      </c>
      <c r="AV19" s="467">
        <v>97913.8</v>
      </c>
      <c r="AW19" s="467" t="e">
        <f>Delay!#REF!</f>
        <v>#REF!</v>
      </c>
      <c r="AX19" s="467" t="e">
        <f>AW19+AV19+#REF!</f>
        <v>#REF!</v>
      </c>
    </row>
    <row r="20" spans="1:58" s="439" customFormat="1" ht="60" x14ac:dyDescent="0.25">
      <c r="A20" s="442" t="s">
        <v>164</v>
      </c>
      <c r="B20" s="442" t="s">
        <v>522</v>
      </c>
      <c r="C20" s="443"/>
      <c r="D20" s="443" t="s">
        <v>124</v>
      </c>
      <c r="E20" s="443"/>
      <c r="F20" s="443"/>
      <c r="G20" s="443"/>
      <c r="H20" s="443"/>
      <c r="I20" s="443"/>
      <c r="J20" s="442" t="s">
        <v>170</v>
      </c>
      <c r="K20" s="442"/>
      <c r="L20" s="442"/>
      <c r="M20" s="442"/>
      <c r="N20" s="442"/>
      <c r="O20" s="442"/>
      <c r="P20" s="442"/>
      <c r="Q20" s="442"/>
      <c r="R20" s="444"/>
      <c r="S20" s="445" t="s">
        <v>26</v>
      </c>
      <c r="T20" s="444" t="s">
        <v>1262</v>
      </c>
      <c r="U20" s="446" t="s">
        <v>171</v>
      </c>
      <c r="V20" s="446" t="s">
        <v>342</v>
      </c>
      <c r="W20" s="446" t="s">
        <v>219</v>
      </c>
      <c r="X20" s="447">
        <v>43324</v>
      </c>
      <c r="Y20" s="447" t="s">
        <v>71</v>
      </c>
      <c r="Z20" s="447">
        <v>43350</v>
      </c>
      <c r="AA20" s="447">
        <f t="shared" si="9"/>
        <v>43329</v>
      </c>
      <c r="AB20" s="447">
        <f t="shared" si="10"/>
        <v>43336</v>
      </c>
      <c r="AC20" s="447">
        <v>43333</v>
      </c>
      <c r="AD20" s="449">
        <v>711632.8</v>
      </c>
      <c r="AE20" s="450"/>
      <c r="AF20" s="451">
        <f t="shared" si="4"/>
        <v>711632.8</v>
      </c>
      <c r="AG20" s="449">
        <f>AF20</f>
        <v>711632.8</v>
      </c>
      <c r="AH20" s="452"/>
      <c r="AI20" s="450"/>
      <c r="AJ20" s="453">
        <f t="shared" si="5"/>
        <v>0</v>
      </c>
      <c r="AK20" s="454">
        <v>711631</v>
      </c>
      <c r="AL20" s="565">
        <v>711631</v>
      </c>
      <c r="AM20" s="449">
        <v>0</v>
      </c>
      <c r="AN20" s="450">
        <v>0</v>
      </c>
      <c r="AO20" s="451">
        <f t="shared" si="6"/>
        <v>0</v>
      </c>
      <c r="AP20" s="452">
        <v>0</v>
      </c>
      <c r="AQ20" s="453">
        <v>0</v>
      </c>
      <c r="AR20" s="455"/>
      <c r="AS20" s="456">
        <f t="shared" si="7"/>
        <v>0</v>
      </c>
      <c r="AT20" s="466"/>
      <c r="AV20" s="467"/>
    </row>
    <row r="21" spans="1:58" s="439" customFormat="1" ht="78.75" x14ac:dyDescent="0.25">
      <c r="A21" s="442" t="s">
        <v>217</v>
      </c>
      <c r="B21" s="442" t="s">
        <v>124</v>
      </c>
      <c r="C21" s="443"/>
      <c r="D21" s="443" t="s">
        <v>124</v>
      </c>
      <c r="E21" s="443"/>
      <c r="F21" s="443"/>
      <c r="G21" s="443"/>
      <c r="H21" s="443"/>
      <c r="I21" s="443"/>
      <c r="J21" s="442" t="s">
        <v>170</v>
      </c>
      <c r="K21" s="442"/>
      <c r="L21" s="442"/>
      <c r="M21" s="442"/>
      <c r="N21" s="442"/>
      <c r="O21" s="442"/>
      <c r="P21" s="442"/>
      <c r="Q21" s="442"/>
      <c r="R21" s="444"/>
      <c r="S21" s="445" t="s">
        <v>143</v>
      </c>
      <c r="T21" s="444" t="s">
        <v>85</v>
      </c>
      <c r="U21" s="446" t="s">
        <v>171</v>
      </c>
      <c r="V21" s="446" t="s">
        <v>602</v>
      </c>
      <c r="W21" s="446" t="s">
        <v>471</v>
      </c>
      <c r="X21" s="447">
        <v>43324</v>
      </c>
      <c r="Y21" s="447" t="s">
        <v>71</v>
      </c>
      <c r="Z21" s="447">
        <v>43350</v>
      </c>
      <c r="AA21" s="447">
        <f t="shared" si="9"/>
        <v>43329</v>
      </c>
      <c r="AB21" s="447">
        <f t="shared" si="10"/>
        <v>43336</v>
      </c>
      <c r="AC21" s="447">
        <v>43333</v>
      </c>
      <c r="AD21" s="449">
        <v>0</v>
      </c>
      <c r="AE21" s="450"/>
      <c r="AF21" s="451">
        <f t="shared" si="4"/>
        <v>0</v>
      </c>
      <c r="AG21" s="449"/>
      <c r="AH21" s="452"/>
      <c r="AI21" s="450">
        <v>0</v>
      </c>
      <c r="AJ21" s="453">
        <v>0</v>
      </c>
      <c r="AK21" s="454">
        <v>0</v>
      </c>
      <c r="AL21" s="565">
        <v>0</v>
      </c>
      <c r="AM21" s="449">
        <v>0</v>
      </c>
      <c r="AN21" s="450">
        <v>0</v>
      </c>
      <c r="AO21" s="451">
        <f t="shared" si="6"/>
        <v>0</v>
      </c>
      <c r="AP21" s="452">
        <v>0</v>
      </c>
      <c r="AQ21" s="453">
        <v>0</v>
      </c>
      <c r="AR21" s="455"/>
      <c r="AS21" s="456">
        <f t="shared" si="7"/>
        <v>0</v>
      </c>
      <c r="AT21" s="471"/>
      <c r="AV21" s="467"/>
    </row>
    <row r="22" spans="1:58" s="439" customFormat="1" ht="60" x14ac:dyDescent="0.25">
      <c r="A22" s="442" t="s">
        <v>217</v>
      </c>
      <c r="B22" s="442" t="s">
        <v>124</v>
      </c>
      <c r="C22" s="443"/>
      <c r="D22" s="443" t="s">
        <v>124</v>
      </c>
      <c r="E22" s="443"/>
      <c r="F22" s="443"/>
      <c r="G22" s="443"/>
      <c r="H22" s="443"/>
      <c r="I22" s="443"/>
      <c r="J22" s="442" t="s">
        <v>218</v>
      </c>
      <c r="K22" s="442"/>
      <c r="L22" s="442"/>
      <c r="M22" s="442"/>
      <c r="N22" s="442"/>
      <c r="O22" s="442"/>
      <c r="P22" s="442"/>
      <c r="Q22" s="442"/>
      <c r="R22" s="444"/>
      <c r="S22" s="445" t="s">
        <v>26</v>
      </c>
      <c r="T22" s="444" t="s">
        <v>85</v>
      </c>
      <c r="U22" s="446" t="s">
        <v>171</v>
      </c>
      <c r="V22" s="446" t="s">
        <v>173</v>
      </c>
      <c r="W22" s="446" t="s">
        <v>341</v>
      </c>
      <c r="X22" s="447">
        <v>43324</v>
      </c>
      <c r="Y22" s="447" t="s">
        <v>71</v>
      </c>
      <c r="Z22" s="447">
        <v>43350</v>
      </c>
      <c r="AA22" s="447">
        <f t="shared" si="9"/>
        <v>43329</v>
      </c>
      <c r="AB22" s="447">
        <f t="shared" si="10"/>
        <v>43336</v>
      </c>
      <c r="AC22" s="447">
        <v>43362</v>
      </c>
      <c r="AD22" s="449" t="s">
        <v>124</v>
      </c>
      <c r="AE22" s="450"/>
      <c r="AF22" s="451">
        <f t="shared" si="4"/>
        <v>0</v>
      </c>
      <c r="AG22" s="449"/>
      <c r="AH22" s="452"/>
      <c r="AI22" s="450">
        <f t="shared" ref="AI22:AI31" si="16">AF22</f>
        <v>0</v>
      </c>
      <c r="AJ22" s="453">
        <f t="shared" ref="AJ22:AJ42" si="17">+AF22-SUM(AG22:AI22)</f>
        <v>0</v>
      </c>
      <c r="AK22" s="454" t="s">
        <v>124</v>
      </c>
      <c r="AL22" s="565">
        <v>0</v>
      </c>
      <c r="AM22" s="449">
        <v>0</v>
      </c>
      <c r="AN22" s="450">
        <v>0</v>
      </c>
      <c r="AO22" s="451">
        <f t="shared" si="6"/>
        <v>0</v>
      </c>
      <c r="AP22" s="452">
        <v>0</v>
      </c>
      <c r="AQ22" s="453">
        <v>0</v>
      </c>
      <c r="AR22" s="455"/>
      <c r="AS22" s="456"/>
      <c r="AT22" s="457"/>
      <c r="AV22" s="467"/>
    </row>
    <row r="23" spans="1:58" s="439" customFormat="1" ht="90" x14ac:dyDescent="0.25">
      <c r="A23" s="442" t="s">
        <v>844</v>
      </c>
      <c r="B23" s="442" t="s">
        <v>833</v>
      </c>
      <c r="C23" s="443"/>
      <c r="D23" s="444" t="s">
        <v>735</v>
      </c>
      <c r="E23" s="442"/>
      <c r="F23" s="442"/>
      <c r="G23" s="442"/>
      <c r="H23" s="442"/>
      <c r="I23" s="442"/>
      <c r="J23" s="442" t="s">
        <v>734</v>
      </c>
      <c r="K23" s="442"/>
      <c r="L23" s="442"/>
      <c r="M23" s="468">
        <v>43567</v>
      </c>
      <c r="N23" s="442" t="s">
        <v>621</v>
      </c>
      <c r="O23" s="442"/>
      <c r="P23" s="442"/>
      <c r="Q23" s="444"/>
      <c r="R23" s="444"/>
      <c r="S23" s="445" t="s">
        <v>26</v>
      </c>
      <c r="T23" s="444" t="s">
        <v>1262</v>
      </c>
      <c r="U23" s="446" t="s">
        <v>869</v>
      </c>
      <c r="V23" s="446" t="s">
        <v>603</v>
      </c>
      <c r="W23" s="446" t="s">
        <v>177</v>
      </c>
      <c r="X23" s="447">
        <v>43322</v>
      </c>
      <c r="Y23" s="447" t="s">
        <v>71</v>
      </c>
      <c r="Z23" s="447">
        <v>43374</v>
      </c>
      <c r="AA23" s="447">
        <f t="shared" si="9"/>
        <v>43329</v>
      </c>
      <c r="AB23" s="447">
        <f t="shared" si="10"/>
        <v>43336</v>
      </c>
      <c r="AC23" s="447">
        <v>43327</v>
      </c>
      <c r="AD23" s="449">
        <v>883315.38</v>
      </c>
      <c r="AE23" s="450">
        <f>916890.52-883315</f>
        <v>33575.520000000019</v>
      </c>
      <c r="AF23" s="451">
        <f t="shared" si="4"/>
        <v>916890.9</v>
      </c>
      <c r="AG23" s="449"/>
      <c r="AH23" s="452"/>
      <c r="AI23" s="450">
        <f t="shared" si="16"/>
        <v>916890.9</v>
      </c>
      <c r="AJ23" s="453">
        <f t="shared" si="17"/>
        <v>0</v>
      </c>
      <c r="AK23" s="454">
        <v>1500000</v>
      </c>
      <c r="AL23" s="565">
        <v>1500000</v>
      </c>
      <c r="AM23" s="449">
        <v>0</v>
      </c>
      <c r="AN23" s="450">
        <v>0</v>
      </c>
      <c r="AO23" s="451">
        <f t="shared" si="6"/>
        <v>0</v>
      </c>
      <c r="AP23" s="452">
        <v>0</v>
      </c>
      <c r="AQ23" s="453">
        <v>0</v>
      </c>
      <c r="AR23" s="455"/>
      <c r="AS23" s="456">
        <f t="shared" si="7"/>
        <v>0</v>
      </c>
      <c r="AT23" s="471"/>
      <c r="AU23" s="439" t="s">
        <v>868</v>
      </c>
      <c r="AV23" s="467"/>
      <c r="AY23" s="439" t="s">
        <v>558</v>
      </c>
    </row>
    <row r="24" spans="1:58" s="439" customFormat="1" ht="60" customHeight="1" x14ac:dyDescent="0.25">
      <c r="A24" s="442" t="s">
        <v>842</v>
      </c>
      <c r="B24" s="442" t="s">
        <v>833</v>
      </c>
      <c r="C24" s="443"/>
      <c r="D24" s="444"/>
      <c r="E24" s="442"/>
      <c r="F24" s="442"/>
      <c r="G24" s="442"/>
      <c r="H24" s="442"/>
      <c r="I24" s="442"/>
      <c r="J24" s="442" t="s">
        <v>846</v>
      </c>
      <c r="K24" s="442"/>
      <c r="L24" s="442"/>
      <c r="M24" s="468">
        <v>43572</v>
      </c>
      <c r="N24" s="442" t="s">
        <v>621</v>
      </c>
      <c r="O24" s="442"/>
      <c r="P24" s="442"/>
      <c r="Q24" s="444"/>
      <c r="R24" s="444"/>
      <c r="S24" s="445" t="s">
        <v>26</v>
      </c>
      <c r="T24" s="444" t="s">
        <v>85</v>
      </c>
      <c r="U24" s="446" t="s">
        <v>870</v>
      </c>
      <c r="V24" s="446" t="s">
        <v>603</v>
      </c>
      <c r="W24" s="446" t="s">
        <v>177</v>
      </c>
      <c r="X24" s="447">
        <v>43322</v>
      </c>
      <c r="Y24" s="447" t="s">
        <v>71</v>
      </c>
      <c r="Z24" s="447">
        <v>43374</v>
      </c>
      <c r="AA24" s="447">
        <f t="shared" si="9"/>
        <v>43329</v>
      </c>
      <c r="AB24" s="447">
        <f t="shared" si="10"/>
        <v>43336</v>
      </c>
      <c r="AC24" s="447">
        <v>43327</v>
      </c>
      <c r="AD24" s="449">
        <v>483227.22</v>
      </c>
      <c r="AE24" s="450">
        <f>419043.24-483227</f>
        <v>-64183.760000000009</v>
      </c>
      <c r="AF24" s="451">
        <f t="shared" si="4"/>
        <v>419043.45999999996</v>
      </c>
      <c r="AG24" s="449"/>
      <c r="AH24" s="452"/>
      <c r="AI24" s="450">
        <f t="shared" si="16"/>
        <v>419043.45999999996</v>
      </c>
      <c r="AJ24" s="453">
        <f t="shared" si="17"/>
        <v>0</v>
      </c>
      <c r="AK24" s="454">
        <v>276259.5</v>
      </c>
      <c r="AL24" s="565">
        <v>276259.5</v>
      </c>
      <c r="AM24" s="449">
        <v>0</v>
      </c>
      <c r="AN24" s="450">
        <v>0</v>
      </c>
      <c r="AO24" s="451">
        <f t="shared" si="6"/>
        <v>0</v>
      </c>
      <c r="AP24" s="452">
        <v>0</v>
      </c>
      <c r="AQ24" s="453">
        <v>0</v>
      </c>
      <c r="AR24" s="455"/>
      <c r="AS24" s="456">
        <f t="shared" si="7"/>
        <v>0</v>
      </c>
      <c r="AT24" s="457" t="s">
        <v>1012</v>
      </c>
      <c r="AU24" s="439" t="s">
        <v>868</v>
      </c>
      <c r="AV24" s="467"/>
      <c r="AX24" s="463">
        <f>(AP24+AQ24)-(AO24)</f>
        <v>0</v>
      </c>
      <c r="AY24" s="439" t="s">
        <v>558</v>
      </c>
    </row>
    <row r="25" spans="1:58" s="439" customFormat="1" ht="60" customHeight="1" x14ac:dyDescent="0.25">
      <c r="A25" s="442" t="s">
        <v>845</v>
      </c>
      <c r="B25" s="442" t="s">
        <v>833</v>
      </c>
      <c r="C25" s="443"/>
      <c r="D25" s="444"/>
      <c r="E25" s="442"/>
      <c r="F25" s="442"/>
      <c r="G25" s="442"/>
      <c r="H25" s="442"/>
      <c r="I25" s="442"/>
      <c r="J25" s="442" t="s">
        <v>847</v>
      </c>
      <c r="K25" s="442"/>
      <c r="L25" s="442"/>
      <c r="M25" s="468">
        <v>43598</v>
      </c>
      <c r="N25" s="442" t="s">
        <v>621</v>
      </c>
      <c r="O25" s="442"/>
      <c r="P25" s="442"/>
      <c r="Q25" s="444"/>
      <c r="R25" s="444"/>
      <c r="S25" s="445" t="s">
        <v>26</v>
      </c>
      <c r="T25" s="444" t="s">
        <v>85</v>
      </c>
      <c r="U25" s="446" t="s">
        <v>871</v>
      </c>
      <c r="V25" s="446" t="s">
        <v>603</v>
      </c>
      <c r="W25" s="446" t="s">
        <v>177</v>
      </c>
      <c r="X25" s="447">
        <v>43322</v>
      </c>
      <c r="Y25" s="447" t="s">
        <v>71</v>
      </c>
      <c r="Z25" s="447">
        <v>43374</v>
      </c>
      <c r="AA25" s="447">
        <f t="shared" si="9"/>
        <v>43329</v>
      </c>
      <c r="AB25" s="447">
        <f t="shared" si="10"/>
        <v>43336</v>
      </c>
      <c r="AC25" s="447">
        <v>43327</v>
      </c>
      <c r="AD25" s="449">
        <v>529666.06000000006</v>
      </c>
      <c r="AE25" s="450">
        <f>440325.75-529666</f>
        <v>-89340.25</v>
      </c>
      <c r="AF25" s="451">
        <f t="shared" si="4"/>
        <v>440325.81000000006</v>
      </c>
      <c r="AG25" s="449"/>
      <c r="AH25" s="452"/>
      <c r="AI25" s="450">
        <f t="shared" si="16"/>
        <v>440325.81000000006</v>
      </c>
      <c r="AJ25" s="453">
        <f t="shared" si="17"/>
        <v>0</v>
      </c>
      <c r="AK25" s="454"/>
      <c r="AL25" s="565"/>
      <c r="AM25" s="449">
        <v>0</v>
      </c>
      <c r="AN25" s="450">
        <v>0</v>
      </c>
      <c r="AO25" s="451">
        <f t="shared" si="6"/>
        <v>0</v>
      </c>
      <c r="AP25" s="452">
        <v>0</v>
      </c>
      <c r="AQ25" s="453">
        <v>0</v>
      </c>
      <c r="AR25" s="455"/>
      <c r="AS25" s="456">
        <f t="shared" si="7"/>
        <v>0</v>
      </c>
      <c r="AT25" s="471"/>
      <c r="AU25" s="439" t="s">
        <v>868</v>
      </c>
      <c r="AV25" s="467"/>
      <c r="AY25" s="439" t="s">
        <v>558</v>
      </c>
    </row>
    <row r="26" spans="1:58" s="439" customFormat="1" ht="45" x14ac:dyDescent="0.25">
      <c r="A26" s="442" t="s">
        <v>192</v>
      </c>
      <c r="B26" s="442" t="s">
        <v>833</v>
      </c>
      <c r="C26" s="472" t="s">
        <v>357</v>
      </c>
      <c r="D26" s="444" t="s">
        <v>1666</v>
      </c>
      <c r="E26" s="442"/>
      <c r="F26" s="442"/>
      <c r="G26" s="442"/>
      <c r="H26" s="442"/>
      <c r="I26" s="442"/>
      <c r="J26" s="442" t="s">
        <v>1667</v>
      </c>
      <c r="K26" s="442"/>
      <c r="L26" s="442"/>
      <c r="M26" s="468">
        <v>43567</v>
      </c>
      <c r="N26" s="442" t="s">
        <v>621</v>
      </c>
      <c r="O26" s="442"/>
      <c r="P26" s="442"/>
      <c r="Q26" s="442"/>
      <c r="R26" s="444"/>
      <c r="S26" s="445" t="s">
        <v>26</v>
      </c>
      <c r="T26" s="444" t="s">
        <v>133</v>
      </c>
      <c r="U26" s="446" t="s">
        <v>181</v>
      </c>
      <c r="V26" s="446" t="s">
        <v>182</v>
      </c>
      <c r="W26" s="446" t="s">
        <v>183</v>
      </c>
      <c r="X26" s="447">
        <v>43333</v>
      </c>
      <c r="Y26" s="447" t="s">
        <v>71</v>
      </c>
      <c r="Z26" s="447">
        <v>43333</v>
      </c>
      <c r="AA26" s="447">
        <f t="shared" si="9"/>
        <v>43340</v>
      </c>
      <c r="AB26" s="447">
        <f t="shared" si="10"/>
        <v>43347</v>
      </c>
      <c r="AC26" s="447" t="s">
        <v>2028</v>
      </c>
      <c r="AD26" s="449">
        <v>75167.839999999997</v>
      </c>
      <c r="AE26" s="450"/>
      <c r="AF26" s="451">
        <f t="shared" si="4"/>
        <v>75167.839999999997</v>
      </c>
      <c r="AG26" s="449"/>
      <c r="AH26" s="452"/>
      <c r="AI26" s="450">
        <f t="shared" si="16"/>
        <v>75167.839999999997</v>
      </c>
      <c r="AJ26" s="453">
        <f t="shared" si="17"/>
        <v>0</v>
      </c>
      <c r="AK26" s="454"/>
      <c r="AL26" s="565">
        <v>0</v>
      </c>
      <c r="AM26" s="449">
        <v>0</v>
      </c>
      <c r="AN26" s="450">
        <v>0</v>
      </c>
      <c r="AO26" s="451">
        <f t="shared" si="6"/>
        <v>0</v>
      </c>
      <c r="AP26" s="452">
        <v>0</v>
      </c>
      <c r="AQ26" s="453">
        <v>0</v>
      </c>
      <c r="AR26" s="455"/>
      <c r="AS26" s="456">
        <f t="shared" si="7"/>
        <v>0</v>
      </c>
      <c r="AT26" s="457"/>
      <c r="AU26" s="458"/>
      <c r="AV26" s="458"/>
    </row>
    <row r="27" spans="1:58" s="439" customFormat="1" ht="45" x14ac:dyDescent="0.25">
      <c r="A27" s="442" t="s">
        <v>834</v>
      </c>
      <c r="B27" s="442" t="s">
        <v>833</v>
      </c>
      <c r="C27" s="472" t="s">
        <v>357</v>
      </c>
      <c r="D27" s="444" t="s">
        <v>1666</v>
      </c>
      <c r="E27" s="442"/>
      <c r="F27" s="442"/>
      <c r="G27" s="442"/>
      <c r="H27" s="442"/>
      <c r="I27" s="442"/>
      <c r="J27" s="442" t="s">
        <v>1667</v>
      </c>
      <c r="K27" s="442"/>
      <c r="L27" s="442"/>
      <c r="M27" s="468">
        <v>43567</v>
      </c>
      <c r="N27" s="442" t="s">
        <v>621</v>
      </c>
      <c r="O27" s="442"/>
      <c r="P27" s="442"/>
      <c r="Q27" s="442"/>
      <c r="R27" s="444"/>
      <c r="S27" s="445" t="s">
        <v>26</v>
      </c>
      <c r="T27" s="444" t="s">
        <v>133</v>
      </c>
      <c r="U27" s="446" t="s">
        <v>1312</v>
      </c>
      <c r="V27" s="446" t="s">
        <v>835</v>
      </c>
      <c r="W27" s="446" t="s">
        <v>836</v>
      </c>
      <c r="X27" s="447">
        <v>43333</v>
      </c>
      <c r="Y27" s="447" t="s">
        <v>71</v>
      </c>
      <c r="Z27" s="447">
        <v>43333</v>
      </c>
      <c r="AA27" s="447">
        <f t="shared" si="9"/>
        <v>43340</v>
      </c>
      <c r="AB27" s="447">
        <f t="shared" si="10"/>
        <v>43347</v>
      </c>
      <c r="AC27" s="447" t="s">
        <v>2028</v>
      </c>
      <c r="AD27" s="449">
        <f>131437.02+75829.05</f>
        <v>207266.07</v>
      </c>
      <c r="AE27" s="450"/>
      <c r="AF27" s="451">
        <f t="shared" si="4"/>
        <v>207266.07</v>
      </c>
      <c r="AG27" s="449"/>
      <c r="AH27" s="452"/>
      <c r="AI27" s="450">
        <f t="shared" si="16"/>
        <v>207266.07</v>
      </c>
      <c r="AJ27" s="453">
        <f t="shared" si="17"/>
        <v>0</v>
      </c>
      <c r="AK27" s="454">
        <v>206604.86</v>
      </c>
      <c r="AL27" s="565">
        <v>206604.86</v>
      </c>
      <c r="AM27" s="449">
        <v>0</v>
      </c>
      <c r="AN27" s="450">
        <v>0</v>
      </c>
      <c r="AO27" s="451">
        <f t="shared" si="6"/>
        <v>0</v>
      </c>
      <c r="AP27" s="452">
        <v>0</v>
      </c>
      <c r="AQ27" s="453">
        <v>0</v>
      </c>
      <c r="AR27" s="455"/>
      <c r="AS27" s="456">
        <f t="shared" si="7"/>
        <v>0</v>
      </c>
      <c r="AT27" s="457"/>
      <c r="AU27" s="458"/>
      <c r="AV27" s="458"/>
    </row>
    <row r="28" spans="1:58" s="439" customFormat="1" ht="30" x14ac:dyDescent="0.25">
      <c r="A28" s="442" t="s">
        <v>1665</v>
      </c>
      <c r="B28" s="442"/>
      <c r="C28" s="472"/>
      <c r="D28" s="444"/>
      <c r="E28" s="442"/>
      <c r="F28" s="442"/>
      <c r="G28" s="442"/>
      <c r="H28" s="442"/>
      <c r="I28" s="442"/>
      <c r="J28" s="442" t="s">
        <v>1668</v>
      </c>
      <c r="K28" s="442"/>
      <c r="L28" s="442"/>
      <c r="M28" s="468">
        <v>43863</v>
      </c>
      <c r="N28" s="442" t="s">
        <v>621</v>
      </c>
      <c r="O28" s="442" t="s">
        <v>622</v>
      </c>
      <c r="P28" s="442" t="s">
        <v>1883</v>
      </c>
      <c r="Q28" s="442"/>
      <c r="R28" s="444"/>
      <c r="S28" s="445" t="s">
        <v>26</v>
      </c>
      <c r="T28" s="444" t="s">
        <v>133</v>
      </c>
      <c r="U28" s="446" t="s">
        <v>181</v>
      </c>
      <c r="V28" s="446" t="s">
        <v>835</v>
      </c>
      <c r="W28" s="446"/>
      <c r="X28" s="447"/>
      <c r="Y28" s="447"/>
      <c r="Z28" s="447"/>
      <c r="AA28" s="447"/>
      <c r="AB28" s="447"/>
      <c r="AC28" s="468">
        <v>43863</v>
      </c>
      <c r="AD28" s="449">
        <v>10505.49</v>
      </c>
      <c r="AE28" s="450"/>
      <c r="AF28" s="451">
        <f t="shared" si="4"/>
        <v>10505.49</v>
      </c>
      <c r="AG28" s="449"/>
      <c r="AH28" s="452"/>
      <c r="AI28" s="450">
        <f t="shared" si="16"/>
        <v>10505.49</v>
      </c>
      <c r="AJ28" s="453"/>
      <c r="AK28" s="454">
        <v>10505</v>
      </c>
      <c r="AL28" s="565">
        <v>10505</v>
      </c>
      <c r="AM28" s="449"/>
      <c r="AN28" s="450"/>
      <c r="AO28" s="451">
        <f t="shared" si="6"/>
        <v>0</v>
      </c>
      <c r="AP28" s="452">
        <v>0</v>
      </c>
      <c r="AQ28" s="453">
        <v>0</v>
      </c>
      <c r="AR28" s="455"/>
      <c r="AS28" s="456">
        <f t="shared" si="7"/>
        <v>0</v>
      </c>
      <c r="AT28" s="457"/>
      <c r="AU28" s="458"/>
      <c r="AV28" s="458"/>
    </row>
    <row r="29" spans="1:58" s="439" customFormat="1" ht="78.75" customHeight="1" x14ac:dyDescent="0.25">
      <c r="A29" s="442" t="s">
        <v>191</v>
      </c>
      <c r="B29" s="442" t="s">
        <v>124</v>
      </c>
      <c r="C29" s="443"/>
      <c r="D29" s="444" t="s">
        <v>1209</v>
      </c>
      <c r="E29" s="442"/>
      <c r="F29" s="442"/>
      <c r="G29" s="442"/>
      <c r="H29" s="442"/>
      <c r="I29" s="442"/>
      <c r="J29" s="442" t="s">
        <v>1210</v>
      </c>
      <c r="K29" s="442"/>
      <c r="L29" s="442"/>
      <c r="M29" s="442"/>
      <c r="N29" s="442"/>
      <c r="O29" s="442"/>
      <c r="P29" s="442"/>
      <c r="Q29" s="442"/>
      <c r="R29" s="444"/>
      <c r="S29" s="445" t="s">
        <v>26</v>
      </c>
      <c r="T29" s="444" t="s">
        <v>1262</v>
      </c>
      <c r="U29" s="446" t="s">
        <v>178</v>
      </c>
      <c r="V29" s="446" t="s">
        <v>179</v>
      </c>
      <c r="W29" s="446" t="s">
        <v>180</v>
      </c>
      <c r="X29" s="447">
        <v>43341</v>
      </c>
      <c r="Y29" s="447" t="s">
        <v>71</v>
      </c>
      <c r="Z29" s="447">
        <v>43525</v>
      </c>
      <c r="AA29" s="447">
        <f t="shared" si="9"/>
        <v>43348</v>
      </c>
      <c r="AB29" s="447">
        <f t="shared" si="10"/>
        <v>43355</v>
      </c>
      <c r="AC29" s="447">
        <v>43343</v>
      </c>
      <c r="AD29" s="449">
        <v>1424342.541829</v>
      </c>
      <c r="AE29" s="450">
        <v>0</v>
      </c>
      <c r="AF29" s="451">
        <v>1424342.541829</v>
      </c>
      <c r="AG29" s="449">
        <f>AF29</f>
        <v>1424342.541829</v>
      </c>
      <c r="AH29" s="452"/>
      <c r="AI29" s="450"/>
      <c r="AJ29" s="453">
        <f t="shared" si="17"/>
        <v>0</v>
      </c>
      <c r="AK29" s="454">
        <v>1424342.541829</v>
      </c>
      <c r="AL29" s="565">
        <v>1424342.541829</v>
      </c>
      <c r="AM29" s="449">
        <v>0</v>
      </c>
      <c r="AN29" s="450">
        <v>0</v>
      </c>
      <c r="AO29" s="451">
        <f t="shared" si="6"/>
        <v>0</v>
      </c>
      <c r="AP29" s="452">
        <v>0</v>
      </c>
      <c r="AQ29" s="453">
        <v>0</v>
      </c>
      <c r="AR29" s="455"/>
      <c r="AS29" s="456">
        <f t="shared" si="7"/>
        <v>0</v>
      </c>
      <c r="AT29" s="457"/>
      <c r="AV29" s="467"/>
    </row>
    <row r="30" spans="1:58" s="439" customFormat="1" ht="75" x14ac:dyDescent="0.25">
      <c r="A30" s="442" t="s">
        <v>193</v>
      </c>
      <c r="B30" s="442" t="s">
        <v>833</v>
      </c>
      <c r="C30" s="443">
        <v>8</v>
      </c>
      <c r="D30" s="442"/>
      <c r="E30" s="442"/>
      <c r="F30" s="442"/>
      <c r="G30" s="442"/>
      <c r="H30" s="442"/>
      <c r="I30" s="442"/>
      <c r="J30" s="442" t="s">
        <v>659</v>
      </c>
      <c r="K30" s="442"/>
      <c r="L30" s="442"/>
      <c r="M30" s="468">
        <v>43561</v>
      </c>
      <c r="N30" s="444" t="s">
        <v>621</v>
      </c>
      <c r="O30" s="442"/>
      <c r="P30" s="442"/>
      <c r="Q30" s="442"/>
      <c r="R30" s="442"/>
      <c r="S30" s="445" t="s">
        <v>26</v>
      </c>
      <c r="T30" s="444" t="s">
        <v>133</v>
      </c>
      <c r="U30" s="474" t="s">
        <v>194</v>
      </c>
      <c r="V30" s="446" t="s">
        <v>195</v>
      </c>
      <c r="W30" s="446" t="s">
        <v>196</v>
      </c>
      <c r="X30" s="447">
        <v>43342</v>
      </c>
      <c r="Y30" s="447" t="s">
        <v>71</v>
      </c>
      <c r="Z30" s="447">
        <v>43348</v>
      </c>
      <c r="AA30" s="447">
        <f t="shared" si="9"/>
        <v>43349</v>
      </c>
      <c r="AB30" s="447">
        <f t="shared" si="10"/>
        <v>43356</v>
      </c>
      <c r="AC30" s="447">
        <v>43347</v>
      </c>
      <c r="AD30" s="449">
        <v>88241.73</v>
      </c>
      <c r="AE30" s="450"/>
      <c r="AF30" s="451">
        <f t="shared" ref="AF30:AF42" si="18">+SUM(AD30:AE30)</f>
        <v>88241.73</v>
      </c>
      <c r="AG30" s="449"/>
      <c r="AH30" s="452"/>
      <c r="AI30" s="450">
        <f t="shared" si="16"/>
        <v>88241.73</v>
      </c>
      <c r="AJ30" s="453">
        <f t="shared" si="17"/>
        <v>0</v>
      </c>
      <c r="AK30" s="454">
        <v>88241.73</v>
      </c>
      <c r="AL30" s="565">
        <v>88241.73</v>
      </c>
      <c r="AM30" s="449">
        <v>0</v>
      </c>
      <c r="AN30" s="450">
        <v>0</v>
      </c>
      <c r="AO30" s="451">
        <f t="shared" si="6"/>
        <v>0</v>
      </c>
      <c r="AP30" s="452">
        <v>0</v>
      </c>
      <c r="AQ30" s="453">
        <v>0</v>
      </c>
      <c r="AR30" s="455"/>
      <c r="AS30" s="456">
        <f t="shared" si="7"/>
        <v>0</v>
      </c>
      <c r="AT30" s="457"/>
      <c r="AV30" s="467"/>
    </row>
    <row r="31" spans="1:58" s="439" customFormat="1" ht="45" x14ac:dyDescent="0.25">
      <c r="A31" s="442" t="s">
        <v>193</v>
      </c>
      <c r="B31" s="442" t="s">
        <v>124</v>
      </c>
      <c r="C31" s="472" t="s">
        <v>355</v>
      </c>
      <c r="D31" s="444" t="s">
        <v>742</v>
      </c>
      <c r="E31" s="444"/>
      <c r="F31" s="444"/>
      <c r="G31" s="444"/>
      <c r="H31" s="444"/>
      <c r="I31" s="444"/>
      <c r="J31" s="444" t="s">
        <v>743</v>
      </c>
      <c r="K31" s="444"/>
      <c r="L31" s="444"/>
      <c r="M31" s="444"/>
      <c r="N31" s="444"/>
      <c r="O31" s="444"/>
      <c r="P31" s="444"/>
      <c r="Q31" s="444"/>
      <c r="R31" s="444"/>
      <c r="S31" s="445" t="s">
        <v>26</v>
      </c>
      <c r="T31" s="444" t="s">
        <v>133</v>
      </c>
      <c r="U31" s="475" t="s">
        <v>316</v>
      </c>
      <c r="V31" s="446" t="s">
        <v>317</v>
      </c>
      <c r="W31" s="446" t="s">
        <v>318</v>
      </c>
      <c r="X31" s="447">
        <v>43416</v>
      </c>
      <c r="Y31" s="447" t="s">
        <v>71</v>
      </c>
      <c r="Z31" s="447"/>
      <c r="AA31" s="447">
        <f t="shared" si="9"/>
        <v>43423</v>
      </c>
      <c r="AB31" s="447">
        <f t="shared" si="10"/>
        <v>43430</v>
      </c>
      <c r="AC31" s="447" t="s">
        <v>1464</v>
      </c>
      <c r="AD31" s="449" t="s">
        <v>319</v>
      </c>
      <c r="AE31" s="450"/>
      <c r="AF31" s="451">
        <f t="shared" si="18"/>
        <v>0</v>
      </c>
      <c r="AG31" s="449"/>
      <c r="AH31" s="452"/>
      <c r="AI31" s="450">
        <f t="shared" si="16"/>
        <v>0</v>
      </c>
      <c r="AJ31" s="453">
        <f t="shared" si="17"/>
        <v>0</v>
      </c>
      <c r="AK31" s="454" t="s">
        <v>319</v>
      </c>
      <c r="AL31" s="565" t="s">
        <v>319</v>
      </c>
      <c r="AM31" s="449">
        <v>0</v>
      </c>
      <c r="AN31" s="450">
        <v>0</v>
      </c>
      <c r="AO31" s="451">
        <f t="shared" si="6"/>
        <v>0</v>
      </c>
      <c r="AP31" s="452">
        <v>0</v>
      </c>
      <c r="AQ31" s="453">
        <v>0</v>
      </c>
      <c r="AR31" s="455"/>
      <c r="AS31" s="456"/>
      <c r="AT31" s="457"/>
    </row>
    <row r="32" spans="1:58" s="439" customFormat="1" ht="105" x14ac:dyDescent="0.25">
      <c r="A32" s="442" t="s">
        <v>205</v>
      </c>
      <c r="B32" s="442" t="s">
        <v>833</v>
      </c>
      <c r="C32" s="443" t="s">
        <v>124</v>
      </c>
      <c r="D32" s="444" t="s">
        <v>737</v>
      </c>
      <c r="E32" s="444"/>
      <c r="F32" s="444"/>
      <c r="G32" s="444"/>
      <c r="H32" s="444"/>
      <c r="I32" s="444"/>
      <c r="J32" s="444" t="s">
        <v>368</v>
      </c>
      <c r="K32" s="444"/>
      <c r="L32" s="444"/>
      <c r="M32" s="476">
        <v>43558</v>
      </c>
      <c r="N32" s="444" t="s">
        <v>622</v>
      </c>
      <c r="O32" s="444"/>
      <c r="P32" s="444"/>
      <c r="Q32" s="444"/>
      <c r="R32" s="444"/>
      <c r="S32" s="445" t="s">
        <v>26</v>
      </c>
      <c r="T32" s="444" t="s">
        <v>85</v>
      </c>
      <c r="U32" s="446" t="s">
        <v>206</v>
      </c>
      <c r="V32" s="446" t="s">
        <v>207</v>
      </c>
      <c r="W32" s="446" t="s">
        <v>302</v>
      </c>
      <c r="X32" s="447">
        <v>43314</v>
      </c>
      <c r="Y32" s="447" t="s">
        <v>71</v>
      </c>
      <c r="Z32" s="447">
        <v>43348</v>
      </c>
      <c r="AA32" s="447">
        <f t="shared" si="9"/>
        <v>43321</v>
      </c>
      <c r="AB32" s="447">
        <f t="shared" si="10"/>
        <v>43328</v>
      </c>
      <c r="AC32" s="447">
        <v>43223</v>
      </c>
      <c r="AD32" s="449">
        <v>385718.96</v>
      </c>
      <c r="AE32" s="450">
        <v>0</v>
      </c>
      <c r="AF32" s="451">
        <f t="shared" si="18"/>
        <v>385718.96</v>
      </c>
      <c r="AG32" s="449"/>
      <c r="AH32" s="452"/>
      <c r="AI32" s="450"/>
      <c r="AJ32" s="453">
        <f t="shared" si="17"/>
        <v>385718.96</v>
      </c>
      <c r="AK32" s="454">
        <v>72332</v>
      </c>
      <c r="AL32" s="565">
        <v>72332</v>
      </c>
      <c r="AM32" s="449">
        <v>0</v>
      </c>
      <c r="AN32" s="450">
        <v>0</v>
      </c>
      <c r="AO32" s="451">
        <f t="shared" si="6"/>
        <v>0</v>
      </c>
      <c r="AP32" s="452">
        <v>0</v>
      </c>
      <c r="AQ32" s="453">
        <v>0</v>
      </c>
      <c r="AR32" s="455"/>
      <c r="AS32" s="456">
        <f t="shared" si="7"/>
        <v>0</v>
      </c>
      <c r="AT32" s="457"/>
      <c r="AU32" s="439" t="s">
        <v>534</v>
      </c>
      <c r="AV32" s="467"/>
    </row>
    <row r="33" spans="1:51" s="439" customFormat="1" ht="60" x14ac:dyDescent="0.25">
      <c r="A33" s="442" t="s">
        <v>197</v>
      </c>
      <c r="B33" s="442" t="s">
        <v>833</v>
      </c>
      <c r="C33" s="443" t="s">
        <v>124</v>
      </c>
      <c r="D33" s="444"/>
      <c r="E33" s="444"/>
      <c r="F33" s="444"/>
      <c r="G33" s="444"/>
      <c r="H33" s="444"/>
      <c r="I33" s="444"/>
      <c r="J33" s="444" t="s">
        <v>200</v>
      </c>
      <c r="K33" s="444"/>
      <c r="L33" s="444"/>
      <c r="M33" s="444" t="s">
        <v>738</v>
      </c>
      <c r="N33" s="444" t="s">
        <v>738</v>
      </c>
      <c r="O33" s="444"/>
      <c r="P33" s="444"/>
      <c r="Q33" s="444"/>
      <c r="R33" s="444"/>
      <c r="S33" s="445" t="s">
        <v>26</v>
      </c>
      <c r="T33" s="444" t="s">
        <v>85</v>
      </c>
      <c r="U33" s="475" t="s">
        <v>201</v>
      </c>
      <c r="V33" s="446" t="s">
        <v>202</v>
      </c>
      <c r="W33" s="446" t="s">
        <v>303</v>
      </c>
      <c r="X33" s="447">
        <v>43349</v>
      </c>
      <c r="Y33" s="477" t="s">
        <v>71</v>
      </c>
      <c r="Z33" s="477">
        <v>43349</v>
      </c>
      <c r="AA33" s="447">
        <f t="shared" si="9"/>
        <v>43356</v>
      </c>
      <c r="AB33" s="447">
        <f t="shared" si="10"/>
        <v>43363</v>
      </c>
      <c r="AC33" s="447">
        <v>43349</v>
      </c>
      <c r="AD33" s="449" t="s">
        <v>304</v>
      </c>
      <c r="AE33" s="450"/>
      <c r="AF33" s="451">
        <f t="shared" si="18"/>
        <v>0</v>
      </c>
      <c r="AG33" s="449"/>
      <c r="AH33" s="452"/>
      <c r="AI33" s="450"/>
      <c r="AJ33" s="453">
        <f t="shared" si="17"/>
        <v>0</v>
      </c>
      <c r="AK33" s="454" t="s">
        <v>304</v>
      </c>
      <c r="AL33" s="565" t="s">
        <v>304</v>
      </c>
      <c r="AM33" s="449">
        <v>0</v>
      </c>
      <c r="AN33" s="450">
        <v>0</v>
      </c>
      <c r="AO33" s="451">
        <f t="shared" si="6"/>
        <v>0</v>
      </c>
      <c r="AP33" s="452">
        <v>0</v>
      </c>
      <c r="AQ33" s="453">
        <v>0</v>
      </c>
      <c r="AR33" s="455"/>
      <c r="AS33" s="456"/>
      <c r="AT33" s="457"/>
    </row>
    <row r="34" spans="1:51" s="439" customFormat="1" ht="78.75" customHeight="1" x14ac:dyDescent="0.25">
      <c r="A34" s="442" t="s">
        <v>208</v>
      </c>
      <c r="B34" s="442" t="s">
        <v>124</v>
      </c>
      <c r="C34" s="443"/>
      <c r="D34" s="444" t="s">
        <v>739</v>
      </c>
      <c r="E34" s="444"/>
      <c r="F34" s="444"/>
      <c r="G34" s="444"/>
      <c r="H34" s="444"/>
      <c r="I34" s="444"/>
      <c r="J34" s="444" t="s">
        <v>209</v>
      </c>
      <c r="K34" s="444"/>
      <c r="L34" s="444"/>
      <c r="M34" s="476">
        <v>43558</v>
      </c>
      <c r="N34" s="444" t="s">
        <v>622</v>
      </c>
      <c r="O34" s="444" t="s">
        <v>621</v>
      </c>
      <c r="P34" s="444"/>
      <c r="Q34" s="444" t="s">
        <v>741</v>
      </c>
      <c r="R34" s="444"/>
      <c r="S34" s="445" t="s">
        <v>143</v>
      </c>
      <c r="T34" s="444" t="s">
        <v>85</v>
      </c>
      <c r="U34" s="475" t="s">
        <v>210</v>
      </c>
      <c r="V34" s="446" t="s">
        <v>211</v>
      </c>
      <c r="W34" s="446" t="s">
        <v>212</v>
      </c>
      <c r="X34" s="447">
        <v>43350</v>
      </c>
      <c r="Y34" s="477" t="s">
        <v>71</v>
      </c>
      <c r="Z34" s="447">
        <v>43466</v>
      </c>
      <c r="AA34" s="447">
        <f t="shared" si="9"/>
        <v>43357</v>
      </c>
      <c r="AB34" s="447">
        <f t="shared" si="10"/>
        <v>43364</v>
      </c>
      <c r="AC34" s="447">
        <v>43355</v>
      </c>
      <c r="AD34" s="449" t="s">
        <v>124</v>
      </c>
      <c r="AE34" s="450"/>
      <c r="AF34" s="451">
        <f t="shared" si="18"/>
        <v>0</v>
      </c>
      <c r="AG34" s="449"/>
      <c r="AH34" s="452"/>
      <c r="AI34" s="450"/>
      <c r="AJ34" s="453">
        <f t="shared" si="17"/>
        <v>0</v>
      </c>
      <c r="AK34" s="454">
        <v>0</v>
      </c>
      <c r="AL34" s="565">
        <v>0</v>
      </c>
      <c r="AM34" s="449">
        <v>0</v>
      </c>
      <c r="AN34" s="450">
        <v>0</v>
      </c>
      <c r="AO34" s="451">
        <f t="shared" si="6"/>
        <v>0</v>
      </c>
      <c r="AP34" s="452">
        <v>0</v>
      </c>
      <c r="AQ34" s="453">
        <v>0</v>
      </c>
      <c r="AR34" s="455"/>
      <c r="AS34" s="456"/>
      <c r="AT34" s="457"/>
      <c r="AY34" s="439" t="s">
        <v>558</v>
      </c>
    </row>
    <row r="35" spans="1:51" s="439" customFormat="1" ht="45" x14ac:dyDescent="0.25">
      <c r="A35" s="442" t="s">
        <v>269</v>
      </c>
      <c r="B35" s="442" t="s">
        <v>1297</v>
      </c>
      <c r="C35" s="443"/>
      <c r="D35" s="444" t="s">
        <v>899</v>
      </c>
      <c r="E35" s="444"/>
      <c r="F35" s="444"/>
      <c r="G35" s="444"/>
      <c r="H35" s="444"/>
      <c r="I35" s="444"/>
      <c r="J35" s="444" t="s">
        <v>898</v>
      </c>
      <c r="K35" s="444"/>
      <c r="L35" s="444"/>
      <c r="M35" s="476">
        <v>43628</v>
      </c>
      <c r="N35" s="444" t="s">
        <v>621</v>
      </c>
      <c r="O35" s="444"/>
      <c r="P35" s="444"/>
      <c r="Q35" s="444"/>
      <c r="R35" s="444"/>
      <c r="S35" s="445" t="s">
        <v>26</v>
      </c>
      <c r="T35" s="444" t="s">
        <v>85</v>
      </c>
      <c r="U35" s="475" t="s">
        <v>231</v>
      </c>
      <c r="V35" s="475" t="s">
        <v>232</v>
      </c>
      <c r="W35" s="475" t="s">
        <v>233</v>
      </c>
      <c r="X35" s="447">
        <v>43313</v>
      </c>
      <c r="Y35" s="477" t="s">
        <v>71</v>
      </c>
      <c r="Z35" s="477">
        <v>43313</v>
      </c>
      <c r="AA35" s="447">
        <f t="shared" si="9"/>
        <v>43320</v>
      </c>
      <c r="AB35" s="447">
        <f t="shared" si="10"/>
        <v>43327</v>
      </c>
      <c r="AC35" s="447">
        <v>43363</v>
      </c>
      <c r="AD35" s="449">
        <f>673152.91</f>
        <v>673152.91</v>
      </c>
      <c r="AE35" s="450">
        <v>0</v>
      </c>
      <c r="AF35" s="451">
        <f t="shared" si="18"/>
        <v>673152.91</v>
      </c>
      <c r="AG35" s="449"/>
      <c r="AH35" s="452"/>
      <c r="AI35" s="450"/>
      <c r="AJ35" s="453">
        <f t="shared" si="17"/>
        <v>673152.91</v>
      </c>
      <c r="AK35" s="454">
        <f>AJ35</f>
        <v>673152.91</v>
      </c>
      <c r="AL35" s="565">
        <v>673152.91</v>
      </c>
      <c r="AM35" s="449">
        <v>0</v>
      </c>
      <c r="AN35" s="450">
        <v>0</v>
      </c>
      <c r="AO35" s="451">
        <f t="shared" si="6"/>
        <v>0</v>
      </c>
      <c r="AP35" s="452">
        <v>0</v>
      </c>
      <c r="AQ35" s="453">
        <v>0</v>
      </c>
      <c r="AR35" s="455"/>
      <c r="AS35" s="456">
        <f t="shared" si="7"/>
        <v>0</v>
      </c>
      <c r="AT35" s="457" t="s">
        <v>1012</v>
      </c>
      <c r="AU35" s="458"/>
      <c r="AV35" s="458"/>
      <c r="AX35" s="463">
        <f>(AP35+AQ35)-(AO35)</f>
        <v>0</v>
      </c>
    </row>
    <row r="36" spans="1:51" s="439" customFormat="1" ht="45" x14ac:dyDescent="0.25">
      <c r="A36" s="442" t="s">
        <v>1424</v>
      </c>
      <c r="B36" s="442" t="s">
        <v>1297</v>
      </c>
      <c r="C36" s="443"/>
      <c r="D36" s="444" t="s">
        <v>899</v>
      </c>
      <c r="E36" s="444"/>
      <c r="F36" s="444"/>
      <c r="G36" s="444"/>
      <c r="H36" s="444"/>
      <c r="I36" s="444"/>
      <c r="J36" s="444" t="s">
        <v>898</v>
      </c>
      <c r="K36" s="444"/>
      <c r="L36" s="444"/>
      <c r="M36" s="476">
        <v>43628</v>
      </c>
      <c r="N36" s="444" t="s">
        <v>621</v>
      </c>
      <c r="O36" s="444"/>
      <c r="P36" s="444"/>
      <c r="Q36" s="444"/>
      <c r="R36" s="444"/>
      <c r="S36" s="445" t="s">
        <v>26</v>
      </c>
      <c r="T36" s="444" t="s">
        <v>85</v>
      </c>
      <c r="U36" s="475" t="s">
        <v>231</v>
      </c>
      <c r="V36" s="475" t="s">
        <v>232</v>
      </c>
      <c r="W36" s="475" t="s">
        <v>233</v>
      </c>
      <c r="X36" s="447">
        <v>43313</v>
      </c>
      <c r="Y36" s="477" t="s">
        <v>71</v>
      </c>
      <c r="Z36" s="477">
        <v>43313</v>
      </c>
      <c r="AA36" s="447">
        <f t="shared" si="9"/>
        <v>43320</v>
      </c>
      <c r="AB36" s="447">
        <f t="shared" si="10"/>
        <v>43327</v>
      </c>
      <c r="AC36" s="447">
        <v>43363</v>
      </c>
      <c r="AD36" s="478">
        <v>142783.79999999999</v>
      </c>
      <c r="AE36" s="450">
        <v>0</v>
      </c>
      <c r="AF36" s="451">
        <f t="shared" si="18"/>
        <v>142783.79999999999</v>
      </c>
      <c r="AG36" s="449"/>
      <c r="AH36" s="452"/>
      <c r="AI36" s="450"/>
      <c r="AJ36" s="453">
        <f t="shared" si="17"/>
        <v>142783.79999999999</v>
      </c>
      <c r="AK36" s="454">
        <v>142783.79999999999</v>
      </c>
      <c r="AL36" s="565">
        <v>142783.79999999999</v>
      </c>
      <c r="AM36" s="449">
        <v>0</v>
      </c>
      <c r="AN36" s="450">
        <v>0</v>
      </c>
      <c r="AO36" s="451">
        <f t="shared" si="6"/>
        <v>0</v>
      </c>
      <c r="AP36" s="452">
        <v>0</v>
      </c>
      <c r="AQ36" s="453">
        <v>0</v>
      </c>
      <c r="AR36" s="455"/>
      <c r="AS36" s="456">
        <f t="shared" si="7"/>
        <v>0</v>
      </c>
      <c r="AT36" s="457" t="s">
        <v>1012</v>
      </c>
      <c r="AU36" s="458"/>
      <c r="AV36" s="458"/>
      <c r="AX36" s="463">
        <f>(AP36+AQ36)-(AO36)</f>
        <v>0</v>
      </c>
    </row>
    <row r="37" spans="1:51" s="439" customFormat="1" ht="78.75" customHeight="1" x14ac:dyDescent="0.25">
      <c r="A37" s="442" t="s">
        <v>213</v>
      </c>
      <c r="B37" s="442" t="s">
        <v>124</v>
      </c>
      <c r="C37" s="443"/>
      <c r="D37" s="444" t="s">
        <v>739</v>
      </c>
      <c r="E37" s="444"/>
      <c r="F37" s="444"/>
      <c r="G37" s="444"/>
      <c r="H37" s="444"/>
      <c r="I37" s="444"/>
      <c r="J37" s="444" t="s">
        <v>639</v>
      </c>
      <c r="K37" s="444"/>
      <c r="L37" s="444"/>
      <c r="M37" s="476">
        <v>43558</v>
      </c>
      <c r="N37" s="444" t="s">
        <v>621</v>
      </c>
      <c r="O37" s="444"/>
      <c r="P37" s="444"/>
      <c r="Q37" s="444"/>
      <c r="R37" s="444"/>
      <c r="S37" s="445" t="s">
        <v>26</v>
      </c>
      <c r="T37" s="444" t="s">
        <v>1262</v>
      </c>
      <c r="U37" s="475" t="s">
        <v>214</v>
      </c>
      <c r="V37" s="446" t="s">
        <v>215</v>
      </c>
      <c r="W37" s="446" t="s">
        <v>216</v>
      </c>
      <c r="X37" s="447">
        <v>43356</v>
      </c>
      <c r="Y37" s="477" t="s">
        <v>71</v>
      </c>
      <c r="Z37" s="477">
        <v>43405</v>
      </c>
      <c r="AA37" s="447">
        <f t="shared" si="9"/>
        <v>43363</v>
      </c>
      <c r="AB37" s="447">
        <f t="shared" si="10"/>
        <v>43370</v>
      </c>
      <c r="AC37" s="447">
        <v>43363</v>
      </c>
      <c r="AD37" s="449">
        <v>-79879.09</v>
      </c>
      <c r="AE37" s="450"/>
      <c r="AF37" s="451">
        <f t="shared" si="18"/>
        <v>-79879.09</v>
      </c>
      <c r="AG37" s="490">
        <f>AF37</f>
        <v>-79879.09</v>
      </c>
      <c r="AH37" s="452"/>
      <c r="AI37" s="450"/>
      <c r="AJ37" s="453">
        <f t="shared" si="17"/>
        <v>0</v>
      </c>
      <c r="AK37" s="454">
        <f>AG37</f>
        <v>-79879.09</v>
      </c>
      <c r="AL37" s="565">
        <v>-79879.09</v>
      </c>
      <c r="AM37" s="449">
        <v>0</v>
      </c>
      <c r="AN37" s="450">
        <v>0</v>
      </c>
      <c r="AO37" s="451">
        <f t="shared" si="6"/>
        <v>0</v>
      </c>
      <c r="AP37" s="452">
        <v>0</v>
      </c>
      <c r="AQ37" s="453">
        <v>0</v>
      </c>
      <c r="AR37" s="455"/>
      <c r="AS37" s="456">
        <f t="shared" si="7"/>
        <v>0</v>
      </c>
      <c r="AT37" s="457"/>
      <c r="AU37" s="458"/>
      <c r="AV37" s="458"/>
      <c r="AY37" s="439" t="s">
        <v>558</v>
      </c>
    </row>
    <row r="38" spans="1:51" s="439" customFormat="1" ht="75" x14ac:dyDescent="0.25">
      <c r="A38" s="442" t="s">
        <v>225</v>
      </c>
      <c r="B38" s="442" t="s">
        <v>522</v>
      </c>
      <c r="C38" s="479" t="s">
        <v>348</v>
      </c>
      <c r="D38" s="444" t="s">
        <v>226</v>
      </c>
      <c r="E38" s="444"/>
      <c r="F38" s="444"/>
      <c r="G38" s="444"/>
      <c r="H38" s="444"/>
      <c r="I38" s="444"/>
      <c r="J38" s="444" t="s">
        <v>320</v>
      </c>
      <c r="K38" s="444"/>
      <c r="L38" s="444"/>
      <c r="M38" s="476">
        <v>43424</v>
      </c>
      <c r="N38" s="444" t="s">
        <v>621</v>
      </c>
      <c r="O38" s="444"/>
      <c r="P38" s="444"/>
      <c r="Q38" s="444"/>
      <c r="R38" s="444"/>
      <c r="S38" s="445" t="s">
        <v>26</v>
      </c>
      <c r="T38" s="444" t="s">
        <v>133</v>
      </c>
      <c r="U38" s="475" t="s">
        <v>227</v>
      </c>
      <c r="V38" s="475" t="s">
        <v>619</v>
      </c>
      <c r="W38" s="475" t="s">
        <v>240</v>
      </c>
      <c r="X38" s="447">
        <v>43368</v>
      </c>
      <c r="Y38" s="477" t="s">
        <v>71</v>
      </c>
      <c r="Z38" s="447">
        <v>43393</v>
      </c>
      <c r="AA38" s="447">
        <f t="shared" si="9"/>
        <v>43375</v>
      </c>
      <c r="AB38" s="447">
        <f t="shared" si="10"/>
        <v>43382</v>
      </c>
      <c r="AC38" s="447">
        <v>43374</v>
      </c>
      <c r="AD38" s="449">
        <v>382578</v>
      </c>
      <c r="AE38" s="450"/>
      <c r="AF38" s="451">
        <f t="shared" si="18"/>
        <v>382578</v>
      </c>
      <c r="AG38" s="449"/>
      <c r="AH38" s="452"/>
      <c r="AI38" s="450">
        <f>7.11*24000</f>
        <v>170640</v>
      </c>
      <c r="AJ38" s="453">
        <f t="shared" si="17"/>
        <v>211938</v>
      </c>
      <c r="AK38" s="454">
        <v>382577.55</v>
      </c>
      <c r="AL38" s="565">
        <v>382577.55</v>
      </c>
      <c r="AM38" s="449">
        <v>0</v>
      </c>
      <c r="AN38" s="450">
        <v>0</v>
      </c>
      <c r="AO38" s="451">
        <f t="shared" si="6"/>
        <v>0</v>
      </c>
      <c r="AP38" s="452">
        <v>0</v>
      </c>
      <c r="AQ38" s="453">
        <v>0</v>
      </c>
      <c r="AR38" s="455"/>
      <c r="AS38" s="456">
        <f t="shared" si="7"/>
        <v>0</v>
      </c>
      <c r="AT38" s="466"/>
      <c r="AU38" s="439">
        <v>158460.39000000001</v>
      </c>
      <c r="AV38" s="458" t="e">
        <f>#REF!-200860</f>
        <v>#REF!</v>
      </c>
    </row>
    <row r="39" spans="1:51" s="439" customFormat="1" ht="30" x14ac:dyDescent="0.25">
      <c r="A39" s="442" t="s">
        <v>234</v>
      </c>
      <c r="B39" s="442" t="s">
        <v>522</v>
      </c>
      <c r="C39" s="480" t="s">
        <v>349</v>
      </c>
      <c r="D39" s="444" t="s">
        <v>237</v>
      </c>
      <c r="E39" s="444"/>
      <c r="F39" s="444"/>
      <c r="G39" s="444"/>
      <c r="H39" s="444"/>
      <c r="I39" s="444"/>
      <c r="J39" s="444" t="s">
        <v>403</v>
      </c>
      <c r="K39" s="444"/>
      <c r="L39" s="444"/>
      <c r="M39" s="476">
        <v>43382</v>
      </c>
      <c r="N39" s="444" t="s">
        <v>621</v>
      </c>
      <c r="O39" s="444"/>
      <c r="P39" s="444"/>
      <c r="Q39" s="444"/>
      <c r="R39" s="444"/>
      <c r="S39" s="445" t="s">
        <v>26</v>
      </c>
      <c r="T39" s="444" t="s">
        <v>133</v>
      </c>
      <c r="U39" s="475" t="s">
        <v>239</v>
      </c>
      <c r="V39" s="475" t="s">
        <v>246</v>
      </c>
      <c r="W39" s="475" t="s">
        <v>238</v>
      </c>
      <c r="X39" s="447">
        <v>43375</v>
      </c>
      <c r="Y39" s="447" t="s">
        <v>71</v>
      </c>
      <c r="Z39" s="447">
        <v>43375</v>
      </c>
      <c r="AA39" s="447">
        <f t="shared" si="9"/>
        <v>43382</v>
      </c>
      <c r="AB39" s="447">
        <f t="shared" si="10"/>
        <v>43389</v>
      </c>
      <c r="AC39" s="447">
        <v>43378</v>
      </c>
      <c r="AD39" s="449">
        <v>3192</v>
      </c>
      <c r="AE39" s="450"/>
      <c r="AF39" s="451">
        <f t="shared" si="18"/>
        <v>3192</v>
      </c>
      <c r="AG39" s="449"/>
      <c r="AH39" s="452"/>
      <c r="AI39" s="450">
        <f>AF39</f>
        <v>3192</v>
      </c>
      <c r="AJ39" s="453">
        <f t="shared" si="17"/>
        <v>0</v>
      </c>
      <c r="AK39" s="454">
        <v>3192</v>
      </c>
      <c r="AL39" s="565">
        <v>3192</v>
      </c>
      <c r="AM39" s="449">
        <v>0</v>
      </c>
      <c r="AN39" s="450">
        <v>0</v>
      </c>
      <c r="AO39" s="451">
        <f t="shared" si="6"/>
        <v>0</v>
      </c>
      <c r="AP39" s="452">
        <v>0</v>
      </c>
      <c r="AQ39" s="453">
        <v>0</v>
      </c>
      <c r="AR39" s="455"/>
      <c r="AS39" s="456">
        <f t="shared" si="7"/>
        <v>0</v>
      </c>
      <c r="AT39" s="466"/>
      <c r="AV39" s="467"/>
    </row>
    <row r="40" spans="1:51" s="439" customFormat="1" ht="105" x14ac:dyDescent="0.25">
      <c r="A40" s="442" t="s">
        <v>235</v>
      </c>
      <c r="B40" s="442" t="s">
        <v>833</v>
      </c>
      <c r="C40" s="443">
        <v>45</v>
      </c>
      <c r="D40" s="444" t="s">
        <v>638</v>
      </c>
      <c r="E40" s="444"/>
      <c r="F40" s="444"/>
      <c r="G40" s="444"/>
      <c r="H40" s="444"/>
      <c r="I40" s="444"/>
      <c r="J40" s="444" t="s">
        <v>498</v>
      </c>
      <c r="K40" s="444"/>
      <c r="L40" s="444"/>
      <c r="M40" s="476">
        <v>43535</v>
      </c>
      <c r="N40" s="444" t="s">
        <v>622</v>
      </c>
      <c r="O40" s="444"/>
      <c r="P40" s="444"/>
      <c r="Q40" s="444"/>
      <c r="R40" s="444"/>
      <c r="S40" s="445" t="s">
        <v>26</v>
      </c>
      <c r="T40" s="444" t="s">
        <v>85</v>
      </c>
      <c r="U40" s="475" t="s">
        <v>604</v>
      </c>
      <c r="V40" s="475" t="s">
        <v>248</v>
      </c>
      <c r="W40" s="475" t="s">
        <v>249</v>
      </c>
      <c r="X40" s="447">
        <v>43367</v>
      </c>
      <c r="Y40" s="447" t="s">
        <v>71</v>
      </c>
      <c r="Z40" s="447">
        <v>43367</v>
      </c>
      <c r="AA40" s="447">
        <f t="shared" si="9"/>
        <v>43374</v>
      </c>
      <c r="AB40" s="447">
        <f t="shared" si="10"/>
        <v>43381</v>
      </c>
      <c r="AC40" s="447">
        <v>43378</v>
      </c>
      <c r="AD40" s="449">
        <v>24368.99</v>
      </c>
      <c r="AE40" s="450"/>
      <c r="AF40" s="451">
        <f t="shared" si="18"/>
        <v>24368.99</v>
      </c>
      <c r="AG40" s="449"/>
      <c r="AH40" s="452"/>
      <c r="AI40" s="450">
        <f>AF40</f>
        <v>24368.99</v>
      </c>
      <c r="AJ40" s="453">
        <f t="shared" si="17"/>
        <v>0</v>
      </c>
      <c r="AK40" s="454">
        <v>24369</v>
      </c>
      <c r="AL40" s="565">
        <v>24369</v>
      </c>
      <c r="AM40" s="449">
        <v>0</v>
      </c>
      <c r="AN40" s="450">
        <v>0</v>
      </c>
      <c r="AO40" s="451">
        <f t="shared" si="6"/>
        <v>0</v>
      </c>
      <c r="AP40" s="452">
        <v>0</v>
      </c>
      <c r="AQ40" s="453">
        <v>0</v>
      </c>
      <c r="AR40" s="455"/>
      <c r="AS40" s="456">
        <f t="shared" si="7"/>
        <v>0</v>
      </c>
      <c r="AT40" s="466"/>
      <c r="AV40" s="467"/>
    </row>
    <row r="41" spans="1:51" s="439" customFormat="1" ht="75" x14ac:dyDescent="0.25">
      <c r="A41" s="442" t="s">
        <v>250</v>
      </c>
      <c r="B41" s="442" t="s">
        <v>522</v>
      </c>
      <c r="C41" s="472" t="s">
        <v>350</v>
      </c>
      <c r="D41" s="444" t="s">
        <v>259</v>
      </c>
      <c r="E41" s="444"/>
      <c r="F41" s="444"/>
      <c r="G41" s="444"/>
      <c r="H41" s="444"/>
      <c r="I41" s="444"/>
      <c r="J41" s="444" t="s">
        <v>464</v>
      </c>
      <c r="K41" s="444"/>
      <c r="L41" s="444"/>
      <c r="M41" s="476">
        <v>43482</v>
      </c>
      <c r="N41" s="444" t="s">
        <v>621</v>
      </c>
      <c r="O41" s="444"/>
      <c r="P41" s="444"/>
      <c r="Q41" s="444"/>
      <c r="R41" s="444"/>
      <c r="S41" s="445" t="s">
        <v>26</v>
      </c>
      <c r="T41" s="444" t="s">
        <v>133</v>
      </c>
      <c r="U41" s="475" t="s">
        <v>258</v>
      </c>
      <c r="V41" s="475" t="s">
        <v>258</v>
      </c>
      <c r="W41" s="475" t="s">
        <v>267</v>
      </c>
      <c r="X41" s="447">
        <v>43388</v>
      </c>
      <c r="Y41" s="447" t="s">
        <v>71</v>
      </c>
      <c r="Z41" s="447"/>
      <c r="AA41" s="447">
        <f t="shared" si="9"/>
        <v>43395</v>
      </c>
      <c r="AB41" s="447">
        <f t="shared" si="10"/>
        <v>43402</v>
      </c>
      <c r="AC41" s="447" t="s">
        <v>404</v>
      </c>
      <c r="AD41" s="449">
        <v>19307.669999999998</v>
      </c>
      <c r="AE41" s="450"/>
      <c r="AF41" s="451">
        <f t="shared" si="18"/>
        <v>19307.669999999998</v>
      </c>
      <c r="AG41" s="449"/>
      <c r="AH41" s="452"/>
      <c r="AI41" s="450">
        <f>AF41</f>
        <v>19307.669999999998</v>
      </c>
      <c r="AJ41" s="453">
        <f t="shared" si="17"/>
        <v>0</v>
      </c>
      <c r="AK41" s="454">
        <v>19307.669999999998</v>
      </c>
      <c r="AL41" s="565">
        <v>19307.669999999998</v>
      </c>
      <c r="AM41" s="449">
        <v>0</v>
      </c>
      <c r="AN41" s="450">
        <v>0</v>
      </c>
      <c r="AO41" s="451">
        <f t="shared" si="6"/>
        <v>0</v>
      </c>
      <c r="AP41" s="452">
        <v>0</v>
      </c>
      <c r="AQ41" s="453">
        <v>0</v>
      </c>
      <c r="AR41" s="455"/>
      <c r="AS41" s="456">
        <f t="shared" si="7"/>
        <v>0</v>
      </c>
      <c r="AT41" s="466"/>
      <c r="AU41" s="458" t="s">
        <v>533</v>
      </c>
      <c r="AV41" s="458"/>
    </row>
    <row r="42" spans="1:51" s="439" customFormat="1" ht="90" x14ac:dyDescent="0.25">
      <c r="A42" s="442" t="s">
        <v>262</v>
      </c>
      <c r="B42" s="442" t="s">
        <v>124</v>
      </c>
      <c r="C42" s="443"/>
      <c r="D42" s="444" t="s">
        <v>625</v>
      </c>
      <c r="E42" s="444"/>
      <c r="F42" s="444"/>
      <c r="G42" s="444"/>
      <c r="H42" s="444"/>
      <c r="I42" s="444"/>
      <c r="J42" s="444" t="s">
        <v>766</v>
      </c>
      <c r="K42" s="444"/>
      <c r="L42" s="444"/>
      <c r="M42" s="476">
        <v>43571</v>
      </c>
      <c r="N42" s="444" t="s">
        <v>621</v>
      </c>
      <c r="O42" s="444"/>
      <c r="P42" s="444"/>
      <c r="Q42" s="444"/>
      <c r="R42" s="444"/>
      <c r="S42" s="445" t="s">
        <v>26</v>
      </c>
      <c r="T42" s="444" t="s">
        <v>1262</v>
      </c>
      <c r="U42" s="475" t="s">
        <v>270</v>
      </c>
      <c r="V42" s="475" t="s">
        <v>263</v>
      </c>
      <c r="W42" s="475" t="s">
        <v>268</v>
      </c>
      <c r="X42" s="447">
        <v>43378</v>
      </c>
      <c r="Y42" s="447" t="s">
        <v>71</v>
      </c>
      <c r="Z42" s="447">
        <v>43378</v>
      </c>
      <c r="AA42" s="447">
        <f t="shared" si="9"/>
        <v>43385</v>
      </c>
      <c r="AB42" s="447">
        <f t="shared" si="10"/>
        <v>43392</v>
      </c>
      <c r="AC42" s="447">
        <v>43392</v>
      </c>
      <c r="AD42" s="449">
        <v>4473127.6900000004</v>
      </c>
      <c r="AE42" s="450"/>
      <c r="AF42" s="451">
        <f t="shared" si="18"/>
        <v>4473127.6900000004</v>
      </c>
      <c r="AG42" s="449">
        <v>4473127.6900000004</v>
      </c>
      <c r="AH42" s="452"/>
      <c r="AI42" s="450"/>
      <c r="AJ42" s="453">
        <f t="shared" si="17"/>
        <v>0</v>
      </c>
      <c r="AK42" s="454">
        <f>+AF42</f>
        <v>4473127.6900000004</v>
      </c>
      <c r="AL42" s="565">
        <v>4473127.6900000004</v>
      </c>
      <c r="AM42" s="449">
        <v>0</v>
      </c>
      <c r="AN42" s="450">
        <v>0</v>
      </c>
      <c r="AO42" s="451">
        <f t="shared" si="6"/>
        <v>0</v>
      </c>
      <c r="AP42" s="452">
        <v>0</v>
      </c>
      <c r="AQ42" s="453">
        <v>0</v>
      </c>
      <c r="AR42" s="455"/>
      <c r="AS42" s="456">
        <f t="shared" si="7"/>
        <v>0</v>
      </c>
      <c r="AT42" s="457" t="s">
        <v>1012</v>
      </c>
      <c r="AU42" s="481">
        <f>13317.92*(66-29.67)</f>
        <v>483840.03359999997</v>
      </c>
      <c r="AV42" s="467" t="s">
        <v>538</v>
      </c>
    </row>
    <row r="43" spans="1:51" s="439" customFormat="1" ht="75" x14ac:dyDescent="0.25">
      <c r="A43" s="442" t="s">
        <v>251</v>
      </c>
      <c r="B43" s="442" t="s">
        <v>522</v>
      </c>
      <c r="C43" s="472" t="s">
        <v>351</v>
      </c>
      <c r="D43" s="444" t="s">
        <v>260</v>
      </c>
      <c r="E43" s="444"/>
      <c r="F43" s="444"/>
      <c r="G43" s="444"/>
      <c r="H43" s="444"/>
      <c r="I43" s="444"/>
      <c r="J43" s="444" t="s">
        <v>465</v>
      </c>
      <c r="K43" s="444"/>
      <c r="L43" s="444"/>
      <c r="M43" s="476">
        <v>43482</v>
      </c>
      <c r="N43" s="444" t="s">
        <v>621</v>
      </c>
      <c r="O43" s="444"/>
      <c r="P43" s="444"/>
      <c r="Q43" s="444"/>
      <c r="R43" s="444"/>
      <c r="S43" s="445" t="s">
        <v>26</v>
      </c>
      <c r="T43" s="444" t="s">
        <v>133</v>
      </c>
      <c r="U43" s="475" t="s">
        <v>257</v>
      </c>
      <c r="V43" s="475" t="s">
        <v>257</v>
      </c>
      <c r="W43" s="475" t="s">
        <v>267</v>
      </c>
      <c r="X43" s="447">
        <v>43390</v>
      </c>
      <c r="Y43" s="447" t="s">
        <v>71</v>
      </c>
      <c r="Z43" s="447">
        <v>43399</v>
      </c>
      <c r="AA43" s="447">
        <f t="shared" ref="AA43:AA60" si="19">+IF(X43="","",WORKDAY(X43,5))</f>
        <v>43397</v>
      </c>
      <c r="AB43" s="447">
        <f t="shared" ref="AB43:AB76" si="20">+IF(X43="","",WORKDAY(X43,10))</f>
        <v>43404</v>
      </c>
      <c r="AC43" s="443" t="s">
        <v>254</v>
      </c>
      <c r="AD43" s="449">
        <v>22164.880000000001</v>
      </c>
      <c r="AE43" s="450"/>
      <c r="AF43" s="451">
        <f t="shared" ref="AF43:AF74" si="21">+SUM(AD43:AE43)</f>
        <v>22164.880000000001</v>
      </c>
      <c r="AG43" s="449"/>
      <c r="AH43" s="452"/>
      <c r="AI43" s="450">
        <f t="shared" ref="AI43:AI52" si="22">AF43</f>
        <v>22164.880000000001</v>
      </c>
      <c r="AJ43" s="453">
        <f t="shared" ref="AJ43:AJ79" si="23">+AF43-SUM(AG43:AI43)</f>
        <v>0</v>
      </c>
      <c r="AK43" s="454">
        <v>22164.07</v>
      </c>
      <c r="AL43" s="565">
        <v>22164.07</v>
      </c>
      <c r="AM43" s="449">
        <v>0</v>
      </c>
      <c r="AN43" s="450">
        <v>0</v>
      </c>
      <c r="AO43" s="451">
        <f t="shared" si="6"/>
        <v>0</v>
      </c>
      <c r="AP43" s="452">
        <v>0</v>
      </c>
      <c r="AQ43" s="453">
        <v>0</v>
      </c>
      <c r="AR43" s="455"/>
      <c r="AS43" s="456">
        <f t="shared" si="7"/>
        <v>0</v>
      </c>
      <c r="AT43" s="466"/>
    </row>
    <row r="44" spans="1:51" s="439" customFormat="1" ht="60" x14ac:dyDescent="0.25">
      <c r="A44" s="442" t="s">
        <v>252</v>
      </c>
      <c r="B44" s="442" t="s">
        <v>64</v>
      </c>
      <c r="C44" s="443"/>
      <c r="D44" s="444"/>
      <c r="E44" s="444"/>
      <c r="F44" s="444"/>
      <c r="G44" s="444"/>
      <c r="H44" s="444"/>
      <c r="I44" s="444"/>
      <c r="J44" s="444" t="s">
        <v>271</v>
      </c>
      <c r="K44" s="444"/>
      <c r="L44" s="444"/>
      <c r="M44" s="476">
        <v>43395</v>
      </c>
      <c r="N44" s="444" t="s">
        <v>621</v>
      </c>
      <c r="O44" s="444"/>
      <c r="P44" s="444"/>
      <c r="Q44" s="444"/>
      <c r="R44" s="444"/>
      <c r="S44" s="445" t="s">
        <v>48</v>
      </c>
      <c r="T44" s="444" t="s">
        <v>85</v>
      </c>
      <c r="U44" s="475" t="s">
        <v>264</v>
      </c>
      <c r="V44" s="475" t="s">
        <v>265</v>
      </c>
      <c r="W44" s="475" t="s">
        <v>605</v>
      </c>
      <c r="X44" s="447"/>
      <c r="Y44" s="447" t="s">
        <v>266</v>
      </c>
      <c r="Z44" s="447">
        <v>43399</v>
      </c>
      <c r="AA44" s="447" t="str">
        <f t="shared" si="19"/>
        <v/>
      </c>
      <c r="AB44" s="447" t="str">
        <f t="shared" si="20"/>
        <v/>
      </c>
      <c r="AC44" s="447" t="s">
        <v>301</v>
      </c>
      <c r="AD44" s="449" t="s">
        <v>64</v>
      </c>
      <c r="AE44" s="450"/>
      <c r="AF44" s="451">
        <f t="shared" si="21"/>
        <v>0</v>
      </c>
      <c r="AG44" s="449"/>
      <c r="AH44" s="452"/>
      <c r="AI44" s="450">
        <f t="shared" si="22"/>
        <v>0</v>
      </c>
      <c r="AJ44" s="453">
        <f t="shared" si="23"/>
        <v>0</v>
      </c>
      <c r="AK44" s="454" t="s">
        <v>64</v>
      </c>
      <c r="AL44" s="565" t="s">
        <v>64</v>
      </c>
      <c r="AM44" s="449">
        <v>0</v>
      </c>
      <c r="AN44" s="450">
        <v>0</v>
      </c>
      <c r="AO44" s="451">
        <f t="shared" si="6"/>
        <v>0</v>
      </c>
      <c r="AP44" s="452">
        <v>0</v>
      </c>
      <c r="AQ44" s="453">
        <v>0</v>
      </c>
      <c r="AR44" s="455"/>
      <c r="AS44" s="456" t="e">
        <f t="shared" si="7"/>
        <v>#VALUE!</v>
      </c>
      <c r="AT44" s="457"/>
    </row>
    <row r="45" spans="1:51" s="439" customFormat="1" ht="30" x14ac:dyDescent="0.25">
      <c r="A45" s="442" t="s">
        <v>253</v>
      </c>
      <c r="B45" s="442" t="s">
        <v>522</v>
      </c>
      <c r="C45" s="472" t="s">
        <v>352</v>
      </c>
      <c r="D45" s="444" t="s">
        <v>261</v>
      </c>
      <c r="E45" s="444"/>
      <c r="F45" s="444"/>
      <c r="G45" s="444"/>
      <c r="H45" s="444"/>
      <c r="I45" s="444"/>
      <c r="J45" s="444"/>
      <c r="K45" s="444"/>
      <c r="L45" s="444"/>
      <c r="M45" s="444"/>
      <c r="N45" s="444"/>
      <c r="O45" s="444"/>
      <c r="P45" s="444"/>
      <c r="Q45" s="444"/>
      <c r="R45" s="444"/>
      <c r="S45" s="445" t="s">
        <v>26</v>
      </c>
      <c r="T45" s="444" t="s">
        <v>133</v>
      </c>
      <c r="U45" s="475" t="s">
        <v>256</v>
      </c>
      <c r="V45" s="475" t="s">
        <v>256</v>
      </c>
      <c r="W45" s="475" t="s">
        <v>289</v>
      </c>
      <c r="X45" s="447">
        <v>43399</v>
      </c>
      <c r="Y45" s="447" t="s">
        <v>71</v>
      </c>
      <c r="Z45" s="447">
        <v>43399</v>
      </c>
      <c r="AA45" s="447">
        <f t="shared" si="19"/>
        <v>43406</v>
      </c>
      <c r="AB45" s="447">
        <f t="shared" si="20"/>
        <v>43413</v>
      </c>
      <c r="AC45" s="443" t="s">
        <v>255</v>
      </c>
      <c r="AD45" s="449">
        <v>14257.47</v>
      </c>
      <c r="AE45" s="450"/>
      <c r="AF45" s="451">
        <f t="shared" si="21"/>
        <v>14257.47</v>
      </c>
      <c r="AG45" s="449"/>
      <c r="AH45" s="452"/>
      <c r="AI45" s="450">
        <f t="shared" si="22"/>
        <v>14257.47</v>
      </c>
      <c r="AJ45" s="453">
        <f t="shared" si="23"/>
        <v>0</v>
      </c>
      <c r="AK45" s="454">
        <v>14257.27</v>
      </c>
      <c r="AL45" s="565">
        <v>14257.27</v>
      </c>
      <c r="AM45" s="449">
        <v>0</v>
      </c>
      <c r="AN45" s="450">
        <v>0</v>
      </c>
      <c r="AO45" s="451">
        <f t="shared" si="6"/>
        <v>0</v>
      </c>
      <c r="AP45" s="452">
        <v>0</v>
      </c>
      <c r="AQ45" s="453">
        <v>0</v>
      </c>
      <c r="AR45" s="455"/>
      <c r="AS45" s="456">
        <f t="shared" si="7"/>
        <v>0</v>
      </c>
      <c r="AT45" s="466"/>
    </row>
    <row r="46" spans="1:51" s="439" customFormat="1" ht="45" x14ac:dyDescent="0.25">
      <c r="A46" s="442" t="s">
        <v>284</v>
      </c>
      <c r="B46" s="442" t="s">
        <v>522</v>
      </c>
      <c r="C46" s="472" t="s">
        <v>353</v>
      </c>
      <c r="D46" s="444" t="s">
        <v>285</v>
      </c>
      <c r="E46" s="444"/>
      <c r="F46" s="444"/>
      <c r="G46" s="444"/>
      <c r="H46" s="444"/>
      <c r="I46" s="444"/>
      <c r="J46" s="444" t="s">
        <v>464</v>
      </c>
      <c r="K46" s="444"/>
      <c r="L46" s="444"/>
      <c r="M46" s="476">
        <v>43482</v>
      </c>
      <c r="N46" s="444" t="s">
        <v>621</v>
      </c>
      <c r="O46" s="444"/>
      <c r="P46" s="444"/>
      <c r="Q46" s="444"/>
      <c r="R46" s="444"/>
      <c r="S46" s="445" t="s">
        <v>26</v>
      </c>
      <c r="T46" s="444" t="s">
        <v>133</v>
      </c>
      <c r="U46" s="475" t="s">
        <v>296</v>
      </c>
      <c r="V46" s="446" t="s">
        <v>296</v>
      </c>
      <c r="W46" s="475" t="s">
        <v>289</v>
      </c>
      <c r="X46" s="447">
        <v>43398</v>
      </c>
      <c r="Y46" s="447" t="s">
        <v>71</v>
      </c>
      <c r="Z46" s="447">
        <v>43388</v>
      </c>
      <c r="AA46" s="447">
        <f t="shared" si="19"/>
        <v>43405</v>
      </c>
      <c r="AB46" s="447">
        <f t="shared" si="20"/>
        <v>43412</v>
      </c>
      <c r="AC46" s="443" t="s">
        <v>283</v>
      </c>
      <c r="AD46" s="449">
        <v>7097.3</v>
      </c>
      <c r="AE46" s="450"/>
      <c r="AF46" s="451">
        <f t="shared" si="21"/>
        <v>7097.3</v>
      </c>
      <c r="AG46" s="449"/>
      <c r="AH46" s="452"/>
      <c r="AI46" s="450">
        <f t="shared" si="22"/>
        <v>7097.3</v>
      </c>
      <c r="AJ46" s="453">
        <f t="shared" si="23"/>
        <v>0</v>
      </c>
      <c r="AK46" s="454">
        <v>7097.3</v>
      </c>
      <c r="AL46" s="565">
        <v>7097.3</v>
      </c>
      <c r="AM46" s="449">
        <v>0</v>
      </c>
      <c r="AN46" s="450">
        <v>0</v>
      </c>
      <c r="AO46" s="451">
        <f t="shared" si="6"/>
        <v>0</v>
      </c>
      <c r="AP46" s="452">
        <v>0</v>
      </c>
      <c r="AQ46" s="453">
        <v>0</v>
      </c>
      <c r="AR46" s="455"/>
      <c r="AS46" s="456">
        <f t="shared" si="7"/>
        <v>0</v>
      </c>
      <c r="AT46" s="466"/>
      <c r="AU46" s="439" t="s">
        <v>535</v>
      </c>
      <c r="AV46" s="467"/>
    </row>
    <row r="47" spans="1:51" s="439" customFormat="1" ht="78.75" customHeight="1" x14ac:dyDescent="0.25">
      <c r="A47" s="442" t="s">
        <v>286</v>
      </c>
      <c r="B47" s="442" t="s">
        <v>124</v>
      </c>
      <c r="C47" s="443"/>
      <c r="D47" s="444" t="s">
        <v>739</v>
      </c>
      <c r="E47" s="444"/>
      <c r="F47" s="444"/>
      <c r="G47" s="444"/>
      <c r="H47" s="444"/>
      <c r="I47" s="444"/>
      <c r="J47" s="444" t="s">
        <v>292</v>
      </c>
      <c r="K47" s="444"/>
      <c r="L47" s="444"/>
      <c r="M47" s="476">
        <v>43558</v>
      </c>
      <c r="N47" s="444" t="s">
        <v>621</v>
      </c>
      <c r="O47" s="444" t="s">
        <v>621</v>
      </c>
      <c r="P47" s="444"/>
      <c r="Q47" s="444" t="s">
        <v>741</v>
      </c>
      <c r="R47" s="444"/>
      <c r="S47" s="445" t="s">
        <v>143</v>
      </c>
      <c r="T47" s="444" t="s">
        <v>85</v>
      </c>
      <c r="U47" s="475" t="s">
        <v>293</v>
      </c>
      <c r="V47" s="446" t="s">
        <v>294</v>
      </c>
      <c r="W47" s="446" t="s">
        <v>295</v>
      </c>
      <c r="X47" s="447">
        <v>43392</v>
      </c>
      <c r="Y47" s="447" t="s">
        <v>71</v>
      </c>
      <c r="Z47" s="447"/>
      <c r="AA47" s="447">
        <f t="shared" si="19"/>
        <v>43399</v>
      </c>
      <c r="AB47" s="447">
        <f t="shared" si="20"/>
        <v>43406</v>
      </c>
      <c r="AC47" s="447">
        <v>43397</v>
      </c>
      <c r="AD47" s="449" t="s">
        <v>124</v>
      </c>
      <c r="AE47" s="450"/>
      <c r="AF47" s="451">
        <f t="shared" si="21"/>
        <v>0</v>
      </c>
      <c r="AG47" s="449"/>
      <c r="AH47" s="452"/>
      <c r="AI47" s="450">
        <f t="shared" si="22"/>
        <v>0</v>
      </c>
      <c r="AJ47" s="453">
        <f t="shared" si="23"/>
        <v>0</v>
      </c>
      <c r="AK47" s="454">
        <v>0</v>
      </c>
      <c r="AL47" s="565">
        <v>0</v>
      </c>
      <c r="AM47" s="449">
        <v>0</v>
      </c>
      <c r="AN47" s="450">
        <v>0</v>
      </c>
      <c r="AO47" s="451">
        <f t="shared" si="6"/>
        <v>0</v>
      </c>
      <c r="AP47" s="452">
        <v>0</v>
      </c>
      <c r="AQ47" s="453">
        <v>0</v>
      </c>
      <c r="AR47" s="455"/>
      <c r="AS47" s="456">
        <f t="shared" si="7"/>
        <v>0</v>
      </c>
      <c r="AT47" s="457"/>
      <c r="AY47" s="439" t="s">
        <v>558</v>
      </c>
    </row>
    <row r="48" spans="1:51" s="439" customFormat="1" ht="45" x14ac:dyDescent="0.25">
      <c r="A48" s="442" t="s">
        <v>291</v>
      </c>
      <c r="B48" s="442" t="s">
        <v>1171</v>
      </c>
      <c r="C48" s="443"/>
      <c r="D48" s="444" t="s">
        <v>979</v>
      </c>
      <c r="E48" s="444"/>
      <c r="F48" s="444"/>
      <c r="G48" s="444"/>
      <c r="H48" s="444"/>
      <c r="I48" s="444"/>
      <c r="J48" s="444" t="s">
        <v>337</v>
      </c>
      <c r="K48" s="444"/>
      <c r="L48" s="444"/>
      <c r="M48" s="476">
        <v>43439</v>
      </c>
      <c r="N48" s="444" t="s">
        <v>621</v>
      </c>
      <c r="O48" s="444"/>
      <c r="P48" s="476"/>
      <c r="Q48" s="444"/>
      <c r="R48" s="444"/>
      <c r="S48" s="445" t="s">
        <v>26</v>
      </c>
      <c r="T48" s="444" t="s">
        <v>85</v>
      </c>
      <c r="U48" s="475" t="s">
        <v>287</v>
      </c>
      <c r="V48" s="446" t="s">
        <v>288</v>
      </c>
      <c r="W48" s="446" t="s">
        <v>290</v>
      </c>
      <c r="X48" s="447">
        <v>43388</v>
      </c>
      <c r="Y48" s="447" t="s">
        <v>71</v>
      </c>
      <c r="Z48" s="447">
        <v>43435</v>
      </c>
      <c r="AA48" s="447">
        <f t="shared" si="19"/>
        <v>43395</v>
      </c>
      <c r="AB48" s="447">
        <f t="shared" si="20"/>
        <v>43402</v>
      </c>
      <c r="AC48" s="447">
        <v>43439</v>
      </c>
      <c r="AD48" s="449">
        <v>76527.365000000005</v>
      </c>
      <c r="AE48" s="450"/>
      <c r="AF48" s="451">
        <f t="shared" si="21"/>
        <v>76527.365000000005</v>
      </c>
      <c r="AG48" s="449"/>
      <c r="AH48" s="452"/>
      <c r="AI48" s="450">
        <f t="shared" si="22"/>
        <v>76527.365000000005</v>
      </c>
      <c r="AJ48" s="453">
        <f t="shared" si="23"/>
        <v>0</v>
      </c>
      <c r="AK48" s="454">
        <v>76527.365000000005</v>
      </c>
      <c r="AL48" s="565">
        <v>76527.365000000005</v>
      </c>
      <c r="AM48" s="449">
        <v>0</v>
      </c>
      <c r="AN48" s="450">
        <v>0</v>
      </c>
      <c r="AO48" s="451">
        <f t="shared" si="6"/>
        <v>0</v>
      </c>
      <c r="AP48" s="452">
        <v>0</v>
      </c>
      <c r="AQ48" s="453">
        <v>0</v>
      </c>
      <c r="AR48" s="455"/>
      <c r="AS48" s="456">
        <f t="shared" si="7"/>
        <v>0</v>
      </c>
      <c r="AT48" s="457"/>
    </row>
    <row r="49" spans="1:54" s="439" customFormat="1" ht="78.75" customHeight="1" x14ac:dyDescent="0.25">
      <c r="A49" s="442" t="s">
        <v>297</v>
      </c>
      <c r="B49" s="442" t="s">
        <v>124</v>
      </c>
      <c r="C49" s="443"/>
      <c r="D49" s="444" t="s">
        <v>739</v>
      </c>
      <c r="E49" s="444"/>
      <c r="F49" s="444"/>
      <c r="G49" s="444"/>
      <c r="H49" s="444"/>
      <c r="I49" s="444"/>
      <c r="J49" s="444" t="s">
        <v>298</v>
      </c>
      <c r="K49" s="444"/>
      <c r="L49" s="444"/>
      <c r="M49" s="476">
        <v>43558</v>
      </c>
      <c r="N49" s="444" t="s">
        <v>621</v>
      </c>
      <c r="O49" s="444" t="s">
        <v>621</v>
      </c>
      <c r="P49" s="444"/>
      <c r="Q49" s="444" t="s">
        <v>741</v>
      </c>
      <c r="R49" s="444"/>
      <c r="S49" s="445" t="s">
        <v>143</v>
      </c>
      <c r="T49" s="444" t="s">
        <v>85</v>
      </c>
      <c r="U49" s="475" t="s">
        <v>299</v>
      </c>
      <c r="V49" s="446" t="s">
        <v>606</v>
      </c>
      <c r="W49" s="446" t="s">
        <v>300</v>
      </c>
      <c r="X49" s="447">
        <v>43412</v>
      </c>
      <c r="Y49" s="447" t="s">
        <v>71</v>
      </c>
      <c r="Z49" s="447">
        <v>43525</v>
      </c>
      <c r="AA49" s="447">
        <f t="shared" si="19"/>
        <v>43419</v>
      </c>
      <c r="AB49" s="447">
        <f t="shared" si="20"/>
        <v>43426</v>
      </c>
      <c r="AC49" s="447">
        <v>43413</v>
      </c>
      <c r="AD49" s="449" t="s">
        <v>124</v>
      </c>
      <c r="AE49" s="450"/>
      <c r="AF49" s="451">
        <f t="shared" si="21"/>
        <v>0</v>
      </c>
      <c r="AG49" s="449"/>
      <c r="AH49" s="452"/>
      <c r="AI49" s="450">
        <f t="shared" si="22"/>
        <v>0</v>
      </c>
      <c r="AJ49" s="453">
        <f t="shared" si="23"/>
        <v>0</v>
      </c>
      <c r="AK49" s="454">
        <v>0</v>
      </c>
      <c r="AL49" s="565">
        <v>0</v>
      </c>
      <c r="AM49" s="449">
        <v>0</v>
      </c>
      <c r="AN49" s="450">
        <v>0</v>
      </c>
      <c r="AO49" s="451">
        <f t="shared" si="6"/>
        <v>0</v>
      </c>
      <c r="AP49" s="452">
        <v>0</v>
      </c>
      <c r="AQ49" s="453">
        <v>0</v>
      </c>
      <c r="AR49" s="455"/>
      <c r="AS49" s="456">
        <f t="shared" si="7"/>
        <v>0</v>
      </c>
      <c r="AT49" s="457"/>
      <c r="AV49" s="467"/>
      <c r="AY49" s="439" t="s">
        <v>558</v>
      </c>
    </row>
    <row r="50" spans="1:54" s="439" customFormat="1" ht="60" x14ac:dyDescent="0.25">
      <c r="A50" s="442" t="s">
        <v>305</v>
      </c>
      <c r="B50" s="442" t="s">
        <v>843</v>
      </c>
      <c r="C50" s="443"/>
      <c r="D50" s="444" t="s">
        <v>696</v>
      </c>
      <c r="E50" s="444"/>
      <c r="F50" s="444"/>
      <c r="G50" s="444"/>
      <c r="H50" s="444"/>
      <c r="I50" s="444"/>
      <c r="J50" s="444" t="s">
        <v>637</v>
      </c>
      <c r="K50" s="444"/>
      <c r="L50" s="444"/>
      <c r="M50" s="476">
        <v>43564</v>
      </c>
      <c r="N50" s="444" t="s">
        <v>622</v>
      </c>
      <c r="O50" s="444"/>
      <c r="P50" s="444"/>
      <c r="Q50" s="444"/>
      <c r="R50" s="444"/>
      <c r="S50" s="445" t="s">
        <v>68</v>
      </c>
      <c r="T50" s="444" t="s">
        <v>85</v>
      </c>
      <c r="U50" s="475" t="s">
        <v>306</v>
      </c>
      <c r="V50" s="446" t="s">
        <v>307</v>
      </c>
      <c r="W50" s="446" t="s">
        <v>921</v>
      </c>
      <c r="X50" s="447">
        <v>43411</v>
      </c>
      <c r="Y50" s="447" t="s">
        <v>71</v>
      </c>
      <c r="Z50" s="447"/>
      <c r="AA50" s="447">
        <f t="shared" si="19"/>
        <v>43418</v>
      </c>
      <c r="AB50" s="447">
        <f t="shared" si="20"/>
        <v>43425</v>
      </c>
      <c r="AC50" s="447">
        <v>43418</v>
      </c>
      <c r="AD50" s="449">
        <v>141024</v>
      </c>
      <c r="AE50" s="450">
        <v>-141024</v>
      </c>
      <c r="AF50" s="451">
        <f t="shared" si="21"/>
        <v>0</v>
      </c>
      <c r="AG50" s="449"/>
      <c r="AH50" s="452"/>
      <c r="AI50" s="450">
        <f t="shared" si="22"/>
        <v>0</v>
      </c>
      <c r="AJ50" s="453">
        <f t="shared" si="23"/>
        <v>0</v>
      </c>
      <c r="AK50" s="454" t="s">
        <v>963</v>
      </c>
      <c r="AL50" s="565" t="s">
        <v>963</v>
      </c>
      <c r="AM50" s="449">
        <v>0</v>
      </c>
      <c r="AN50" s="450">
        <v>0</v>
      </c>
      <c r="AO50" s="451">
        <f t="shared" si="6"/>
        <v>0</v>
      </c>
      <c r="AP50" s="452">
        <v>0</v>
      </c>
      <c r="AQ50" s="453">
        <v>0</v>
      </c>
      <c r="AR50" s="455"/>
      <c r="AS50" s="456" t="e">
        <f t="shared" si="7"/>
        <v>#VALUE!</v>
      </c>
      <c r="AT50" s="457"/>
      <c r="AV50" s="467"/>
    </row>
    <row r="51" spans="1:54" s="439" customFormat="1" ht="90" customHeight="1" x14ac:dyDescent="0.25">
      <c r="A51" s="442"/>
      <c r="B51" s="442" t="s">
        <v>124</v>
      </c>
      <c r="C51" s="472" t="s">
        <v>354</v>
      </c>
      <c r="D51" s="444" t="s">
        <v>363</v>
      </c>
      <c r="E51" s="444"/>
      <c r="F51" s="444"/>
      <c r="G51" s="444"/>
      <c r="H51" s="444"/>
      <c r="I51" s="444"/>
      <c r="J51" s="444"/>
      <c r="K51" s="444"/>
      <c r="L51" s="444"/>
      <c r="M51" s="444"/>
      <c r="N51" s="444"/>
      <c r="O51" s="444"/>
      <c r="P51" s="444"/>
      <c r="Q51" s="444"/>
      <c r="R51" s="444"/>
      <c r="S51" s="445" t="s">
        <v>54</v>
      </c>
      <c r="T51" s="444" t="s">
        <v>133</v>
      </c>
      <c r="U51" s="475" t="s">
        <v>312</v>
      </c>
      <c r="V51" s="446" t="s">
        <v>313</v>
      </c>
      <c r="W51" s="446" t="s">
        <v>314</v>
      </c>
      <c r="X51" s="447">
        <v>43416</v>
      </c>
      <c r="Y51" s="447" t="s">
        <v>71</v>
      </c>
      <c r="Z51" s="447"/>
      <c r="AA51" s="447">
        <f t="shared" si="19"/>
        <v>43423</v>
      </c>
      <c r="AB51" s="447">
        <f t="shared" si="20"/>
        <v>43430</v>
      </c>
      <c r="AC51" s="447" t="s">
        <v>1465</v>
      </c>
      <c r="AD51" s="449" t="s">
        <v>124</v>
      </c>
      <c r="AE51" s="450"/>
      <c r="AF51" s="451">
        <f t="shared" si="21"/>
        <v>0</v>
      </c>
      <c r="AG51" s="449"/>
      <c r="AH51" s="452"/>
      <c r="AI51" s="450">
        <f t="shared" si="22"/>
        <v>0</v>
      </c>
      <c r="AJ51" s="453">
        <f t="shared" si="23"/>
        <v>0</v>
      </c>
      <c r="AK51" s="454">
        <v>0</v>
      </c>
      <c r="AL51" s="565">
        <v>0</v>
      </c>
      <c r="AM51" s="449">
        <v>0</v>
      </c>
      <c r="AN51" s="450">
        <v>0</v>
      </c>
      <c r="AO51" s="451">
        <f t="shared" si="6"/>
        <v>0</v>
      </c>
      <c r="AP51" s="452">
        <v>0</v>
      </c>
      <c r="AQ51" s="453">
        <v>0</v>
      </c>
      <c r="AR51" s="455"/>
      <c r="AS51" s="456">
        <f t="shared" si="7"/>
        <v>0</v>
      </c>
      <c r="AT51" s="457"/>
    </row>
    <row r="52" spans="1:54" s="439" customFormat="1" ht="30" x14ac:dyDescent="0.25">
      <c r="A52" s="442" t="s">
        <v>327</v>
      </c>
      <c r="B52" s="442" t="s">
        <v>522</v>
      </c>
      <c r="C52" s="443">
        <v>24</v>
      </c>
      <c r="D52" s="444"/>
      <c r="E52" s="444"/>
      <c r="F52" s="444"/>
      <c r="G52" s="444"/>
      <c r="H52" s="444"/>
      <c r="I52" s="444"/>
      <c r="J52" s="444" t="s">
        <v>328</v>
      </c>
      <c r="K52" s="444"/>
      <c r="L52" s="444"/>
      <c r="M52" s="476">
        <v>43427</v>
      </c>
      <c r="N52" s="444" t="s">
        <v>621</v>
      </c>
      <c r="O52" s="444"/>
      <c r="P52" s="444"/>
      <c r="Q52" s="444"/>
      <c r="R52" s="444"/>
      <c r="S52" s="445" t="s">
        <v>26</v>
      </c>
      <c r="T52" s="444" t="s">
        <v>133</v>
      </c>
      <c r="U52" s="475" t="s">
        <v>529</v>
      </c>
      <c r="V52" s="446" t="s">
        <v>331</v>
      </c>
      <c r="W52" s="446" t="s">
        <v>329</v>
      </c>
      <c r="X52" s="447">
        <v>43417</v>
      </c>
      <c r="Y52" s="447" t="s">
        <v>71</v>
      </c>
      <c r="Z52" s="447"/>
      <c r="AA52" s="447">
        <f t="shared" si="19"/>
        <v>43424</v>
      </c>
      <c r="AB52" s="447">
        <f t="shared" si="20"/>
        <v>43431</v>
      </c>
      <c r="AC52" s="447">
        <v>43427</v>
      </c>
      <c r="AD52" s="449">
        <v>13125.77</v>
      </c>
      <c r="AE52" s="450"/>
      <c r="AF52" s="451">
        <f t="shared" si="21"/>
        <v>13125.77</v>
      </c>
      <c r="AG52" s="449"/>
      <c r="AH52" s="452"/>
      <c r="AI52" s="450">
        <f t="shared" si="22"/>
        <v>13125.77</v>
      </c>
      <c r="AJ52" s="453">
        <f t="shared" si="23"/>
        <v>0</v>
      </c>
      <c r="AK52" s="454">
        <v>13125.23</v>
      </c>
      <c r="AL52" s="565">
        <v>13125.23</v>
      </c>
      <c r="AM52" s="449">
        <v>0</v>
      </c>
      <c r="AN52" s="450">
        <v>0</v>
      </c>
      <c r="AO52" s="451">
        <f t="shared" si="6"/>
        <v>0</v>
      </c>
      <c r="AP52" s="452">
        <v>0</v>
      </c>
      <c r="AQ52" s="453">
        <v>0</v>
      </c>
      <c r="AR52" s="455"/>
      <c r="AS52" s="456">
        <f t="shared" si="7"/>
        <v>0</v>
      </c>
      <c r="AT52" s="466"/>
      <c r="AV52" s="467"/>
    </row>
    <row r="53" spans="1:54" s="439" customFormat="1" ht="60" x14ac:dyDescent="0.25">
      <c r="A53" s="442" t="s">
        <v>321</v>
      </c>
      <c r="B53" s="442" t="s">
        <v>522</v>
      </c>
      <c r="C53" s="443"/>
      <c r="D53" s="444"/>
      <c r="E53" s="444"/>
      <c r="F53" s="444"/>
      <c r="G53" s="444"/>
      <c r="H53" s="444"/>
      <c r="I53" s="444"/>
      <c r="J53" s="444" t="s">
        <v>236</v>
      </c>
      <c r="K53" s="444"/>
      <c r="L53" s="444"/>
      <c r="M53" s="476">
        <v>43424</v>
      </c>
      <c r="N53" s="444" t="s">
        <v>621</v>
      </c>
      <c r="O53" s="444"/>
      <c r="P53" s="444"/>
      <c r="Q53" s="444"/>
      <c r="R53" s="444"/>
      <c r="S53" s="445" t="s">
        <v>26</v>
      </c>
      <c r="T53" s="444" t="s">
        <v>85</v>
      </c>
      <c r="U53" s="475" t="s">
        <v>334</v>
      </c>
      <c r="V53" s="446" t="s">
        <v>322</v>
      </c>
      <c r="W53" s="446" t="s">
        <v>74</v>
      </c>
      <c r="X53" s="447"/>
      <c r="Y53" s="447" t="s">
        <v>71</v>
      </c>
      <c r="Z53" s="447"/>
      <c r="AA53" s="447" t="str">
        <f t="shared" si="19"/>
        <v/>
      </c>
      <c r="AB53" s="447" t="str">
        <f t="shared" si="20"/>
        <v/>
      </c>
      <c r="AC53" s="447">
        <v>43424</v>
      </c>
      <c r="AD53" s="449">
        <v>79234.460000000006</v>
      </c>
      <c r="AE53" s="450"/>
      <c r="AF53" s="451">
        <f t="shared" si="21"/>
        <v>79234.460000000006</v>
      </c>
      <c r="AG53" s="449"/>
      <c r="AH53" s="452"/>
      <c r="AI53" s="450">
        <v>79234.460000000006</v>
      </c>
      <c r="AJ53" s="453">
        <f t="shared" si="23"/>
        <v>0</v>
      </c>
      <c r="AK53" s="454">
        <v>79234.460000000006</v>
      </c>
      <c r="AL53" s="565">
        <v>79234.460000000006</v>
      </c>
      <c r="AM53" s="449">
        <v>0</v>
      </c>
      <c r="AN53" s="450">
        <v>0</v>
      </c>
      <c r="AO53" s="451">
        <f t="shared" si="6"/>
        <v>0</v>
      </c>
      <c r="AP53" s="452">
        <v>0</v>
      </c>
      <c r="AQ53" s="453">
        <v>0</v>
      </c>
      <c r="AR53" s="455"/>
      <c r="AS53" s="456">
        <f t="shared" si="7"/>
        <v>0</v>
      </c>
      <c r="AT53" s="466"/>
      <c r="AV53" s="467"/>
    </row>
    <row r="54" spans="1:54" s="439" customFormat="1" ht="90" customHeight="1" x14ac:dyDescent="0.25">
      <c r="A54" s="442" t="s">
        <v>324</v>
      </c>
      <c r="B54" s="442" t="s">
        <v>124</v>
      </c>
      <c r="C54" s="443"/>
      <c r="D54" s="444" t="s">
        <v>624</v>
      </c>
      <c r="E54" s="444"/>
      <c r="F54" s="444"/>
      <c r="G54" s="444"/>
      <c r="H54" s="444"/>
      <c r="I54" s="444"/>
      <c r="J54" s="444" t="s">
        <v>766</v>
      </c>
      <c r="K54" s="444"/>
      <c r="L54" s="444"/>
      <c r="M54" s="476">
        <v>43571</v>
      </c>
      <c r="N54" s="444" t="s">
        <v>621</v>
      </c>
      <c r="O54" s="444"/>
      <c r="P54" s="444"/>
      <c r="Q54" s="444"/>
      <c r="R54" s="444"/>
      <c r="S54" s="445" t="s">
        <v>68</v>
      </c>
      <c r="T54" s="444" t="s">
        <v>85</v>
      </c>
      <c r="U54" s="475" t="s">
        <v>325</v>
      </c>
      <c r="V54" s="446" t="s">
        <v>326</v>
      </c>
      <c r="W54" s="446" t="s">
        <v>74</v>
      </c>
      <c r="X54" s="447">
        <v>43378</v>
      </c>
      <c r="Y54" s="447" t="s">
        <v>71</v>
      </c>
      <c r="Z54" s="447"/>
      <c r="AA54" s="447">
        <f t="shared" si="19"/>
        <v>43385</v>
      </c>
      <c r="AB54" s="447">
        <f t="shared" si="20"/>
        <v>43392</v>
      </c>
      <c r="AC54" s="447">
        <v>43424</v>
      </c>
      <c r="AD54" s="449">
        <v>302583.39</v>
      </c>
      <c r="AE54" s="450">
        <f>-AD54</f>
        <v>-302583.39</v>
      </c>
      <c r="AF54" s="451">
        <f t="shared" si="21"/>
        <v>0</v>
      </c>
      <c r="AG54" s="449"/>
      <c r="AH54" s="452"/>
      <c r="AI54" s="450"/>
      <c r="AJ54" s="453">
        <f t="shared" si="23"/>
        <v>0</v>
      </c>
      <c r="AK54" s="454">
        <v>0</v>
      </c>
      <c r="AL54" s="565">
        <v>0</v>
      </c>
      <c r="AM54" s="449">
        <v>0</v>
      </c>
      <c r="AN54" s="450">
        <v>0</v>
      </c>
      <c r="AO54" s="451">
        <f t="shared" si="6"/>
        <v>0</v>
      </c>
      <c r="AP54" s="452">
        <v>0</v>
      </c>
      <c r="AQ54" s="453">
        <v>0</v>
      </c>
      <c r="AR54" s="455"/>
      <c r="AS54" s="456">
        <f t="shared" si="7"/>
        <v>0</v>
      </c>
      <c r="AT54" s="457" t="s">
        <v>1012</v>
      </c>
      <c r="AV54" s="467"/>
    </row>
    <row r="55" spans="1:54" s="439" customFormat="1" ht="60" customHeight="1" x14ac:dyDescent="0.25">
      <c r="A55" s="442" t="s">
        <v>364</v>
      </c>
      <c r="B55" s="442" t="s">
        <v>843</v>
      </c>
      <c r="C55" s="443"/>
      <c r="D55" s="444"/>
      <c r="E55" s="444"/>
      <c r="F55" s="444"/>
      <c r="G55" s="444"/>
      <c r="H55" s="444"/>
      <c r="I55" s="444"/>
      <c r="J55" s="444" t="s">
        <v>636</v>
      </c>
      <c r="K55" s="444"/>
      <c r="L55" s="444"/>
      <c r="M55" s="476">
        <v>43496</v>
      </c>
      <c r="N55" s="444" t="s">
        <v>621</v>
      </c>
      <c r="O55" s="444"/>
      <c r="P55" s="444"/>
      <c r="Q55" s="444"/>
      <c r="R55" s="444"/>
      <c r="S55" s="445" t="s">
        <v>68</v>
      </c>
      <c r="T55" s="444" t="s">
        <v>85</v>
      </c>
      <c r="U55" s="475" t="s">
        <v>365</v>
      </c>
      <c r="V55" s="446" t="s">
        <v>366</v>
      </c>
      <c r="W55" s="446" t="s">
        <v>555</v>
      </c>
      <c r="X55" s="447">
        <v>43431</v>
      </c>
      <c r="Y55" s="447" t="s">
        <v>71</v>
      </c>
      <c r="Z55" s="447"/>
      <c r="AA55" s="447">
        <f t="shared" si="19"/>
        <v>43438</v>
      </c>
      <c r="AB55" s="447">
        <f t="shared" si="20"/>
        <v>43445</v>
      </c>
      <c r="AC55" s="447">
        <v>43438</v>
      </c>
      <c r="AD55" s="449" t="s">
        <v>843</v>
      </c>
      <c r="AE55" s="450"/>
      <c r="AF55" s="451">
        <f t="shared" si="21"/>
        <v>0</v>
      </c>
      <c r="AG55" s="449"/>
      <c r="AH55" s="452"/>
      <c r="AI55" s="450"/>
      <c r="AJ55" s="453">
        <f t="shared" si="23"/>
        <v>0</v>
      </c>
      <c r="AK55" s="454">
        <v>0</v>
      </c>
      <c r="AL55" s="565">
        <v>0</v>
      </c>
      <c r="AM55" s="449">
        <v>0</v>
      </c>
      <c r="AN55" s="450">
        <v>0</v>
      </c>
      <c r="AO55" s="451">
        <f t="shared" si="6"/>
        <v>0</v>
      </c>
      <c r="AP55" s="452">
        <v>0</v>
      </c>
      <c r="AQ55" s="453">
        <v>0</v>
      </c>
      <c r="AR55" s="455"/>
      <c r="AS55" s="456">
        <f t="shared" si="7"/>
        <v>0</v>
      </c>
      <c r="AT55" s="457"/>
      <c r="AV55" s="467"/>
    </row>
    <row r="56" spans="1:54" s="439" customFormat="1" ht="60" x14ac:dyDescent="0.25">
      <c r="A56" s="442" t="s">
        <v>360</v>
      </c>
      <c r="B56" s="442" t="s">
        <v>833</v>
      </c>
      <c r="C56" s="472" t="s">
        <v>359</v>
      </c>
      <c r="D56" s="444" t="s">
        <v>626</v>
      </c>
      <c r="E56" s="444"/>
      <c r="F56" s="444"/>
      <c r="G56" s="444"/>
      <c r="H56" s="444"/>
      <c r="I56" s="444"/>
      <c r="J56" s="444" t="s">
        <v>628</v>
      </c>
      <c r="K56" s="444"/>
      <c r="L56" s="444"/>
      <c r="M56" s="476">
        <v>43544</v>
      </c>
      <c r="N56" s="444" t="s">
        <v>621</v>
      </c>
      <c r="O56" s="444"/>
      <c r="P56" s="444"/>
      <c r="Q56" s="444"/>
      <c r="R56" s="444"/>
      <c r="S56" s="445" t="s">
        <v>26</v>
      </c>
      <c r="T56" s="444" t="s">
        <v>133</v>
      </c>
      <c r="U56" s="475" t="s">
        <v>413</v>
      </c>
      <c r="V56" s="446" t="s">
        <v>358</v>
      </c>
      <c r="W56" s="446"/>
      <c r="X56" s="447">
        <v>43419</v>
      </c>
      <c r="Y56" s="447" t="s">
        <v>71</v>
      </c>
      <c r="Z56" s="447"/>
      <c r="AA56" s="447">
        <f t="shared" si="19"/>
        <v>43426</v>
      </c>
      <c r="AB56" s="447">
        <f t="shared" si="20"/>
        <v>43433</v>
      </c>
      <c r="AC56" s="447" t="s">
        <v>1466</v>
      </c>
      <c r="AD56" s="449">
        <v>31820</v>
      </c>
      <c r="AE56" s="450">
        <v>-12000</v>
      </c>
      <c r="AF56" s="451">
        <f t="shared" si="21"/>
        <v>19820</v>
      </c>
      <c r="AG56" s="449"/>
      <c r="AH56" s="452"/>
      <c r="AI56" s="450">
        <f>AF56</f>
        <v>19820</v>
      </c>
      <c r="AJ56" s="453">
        <f t="shared" si="23"/>
        <v>0</v>
      </c>
      <c r="AK56" s="454">
        <v>17019</v>
      </c>
      <c r="AL56" s="565">
        <v>17019</v>
      </c>
      <c r="AM56" s="449">
        <v>0</v>
      </c>
      <c r="AN56" s="450">
        <v>0</v>
      </c>
      <c r="AO56" s="451">
        <f t="shared" si="6"/>
        <v>0</v>
      </c>
      <c r="AP56" s="452">
        <v>0</v>
      </c>
      <c r="AQ56" s="453">
        <v>0</v>
      </c>
      <c r="AR56" s="455"/>
      <c r="AS56" s="456">
        <f t="shared" si="7"/>
        <v>0</v>
      </c>
      <c r="AT56" s="457"/>
      <c r="AV56" s="467"/>
    </row>
    <row r="57" spans="1:54" s="439" customFormat="1" ht="60" x14ac:dyDescent="0.25">
      <c r="A57" s="442" t="s">
        <v>336</v>
      </c>
      <c r="B57" s="442" t="s">
        <v>1085</v>
      </c>
      <c r="C57" s="472" t="s">
        <v>356</v>
      </c>
      <c r="D57" s="444" t="s">
        <v>872</v>
      </c>
      <c r="E57" s="444"/>
      <c r="F57" s="444"/>
      <c r="G57" s="444"/>
      <c r="H57" s="444"/>
      <c r="I57" s="444"/>
      <c r="J57" s="444" t="s">
        <v>849</v>
      </c>
      <c r="K57" s="444"/>
      <c r="L57" s="444"/>
      <c r="M57" s="476">
        <v>43589</v>
      </c>
      <c r="N57" s="444" t="s">
        <v>621</v>
      </c>
      <c r="O57" s="444"/>
      <c r="P57" s="444"/>
      <c r="Q57" s="444"/>
      <c r="R57" s="444"/>
      <c r="S57" s="445" t="s">
        <v>26</v>
      </c>
      <c r="T57" s="444" t="s">
        <v>133</v>
      </c>
      <c r="U57" s="475" t="s">
        <v>335</v>
      </c>
      <c r="V57" s="446" t="s">
        <v>607</v>
      </c>
      <c r="W57" s="446" t="s">
        <v>74</v>
      </c>
      <c r="X57" s="447">
        <v>43433</v>
      </c>
      <c r="Y57" s="447" t="s">
        <v>71</v>
      </c>
      <c r="Z57" s="447"/>
      <c r="AA57" s="447">
        <f t="shared" si="19"/>
        <v>43440</v>
      </c>
      <c r="AB57" s="447">
        <f t="shared" si="20"/>
        <v>43447</v>
      </c>
      <c r="AC57" s="447" t="s">
        <v>1467</v>
      </c>
      <c r="AD57" s="449">
        <v>4279.6400000000003</v>
      </c>
      <c r="AE57" s="450"/>
      <c r="AF57" s="451">
        <f t="shared" si="21"/>
        <v>4279.6400000000003</v>
      </c>
      <c r="AG57" s="449"/>
      <c r="AH57" s="452"/>
      <c r="AI57" s="450">
        <f>AF57</f>
        <v>4279.6400000000003</v>
      </c>
      <c r="AJ57" s="453">
        <f t="shared" si="23"/>
        <v>0</v>
      </c>
      <c r="AK57" s="454">
        <f>+AF57</f>
        <v>4279.6400000000003</v>
      </c>
      <c r="AL57" s="565">
        <v>4279.6400000000003</v>
      </c>
      <c r="AM57" s="449">
        <v>0</v>
      </c>
      <c r="AN57" s="450">
        <v>0</v>
      </c>
      <c r="AO57" s="451">
        <f t="shared" si="6"/>
        <v>0</v>
      </c>
      <c r="AP57" s="452">
        <v>0</v>
      </c>
      <c r="AQ57" s="453">
        <v>0</v>
      </c>
      <c r="AR57" s="455"/>
      <c r="AS57" s="456">
        <f t="shared" si="7"/>
        <v>0</v>
      </c>
      <c r="AT57" s="457" t="s">
        <v>1012</v>
      </c>
    </row>
    <row r="58" spans="1:54" s="439" customFormat="1" ht="75" customHeight="1" x14ac:dyDescent="0.25">
      <c r="A58" s="442" t="s">
        <v>338</v>
      </c>
      <c r="B58" s="442" t="s">
        <v>1353</v>
      </c>
      <c r="C58" s="443"/>
      <c r="D58" s="444" t="s">
        <v>507</v>
      </c>
      <c r="E58" s="444"/>
      <c r="F58" s="444"/>
      <c r="G58" s="444"/>
      <c r="H58" s="444"/>
      <c r="I58" s="444"/>
      <c r="J58" s="444" t="s">
        <v>528</v>
      </c>
      <c r="K58" s="444"/>
      <c r="L58" s="444"/>
      <c r="M58" s="476">
        <v>43511</v>
      </c>
      <c r="N58" s="444" t="s">
        <v>621</v>
      </c>
      <c r="O58" s="444" t="s">
        <v>622</v>
      </c>
      <c r="P58" s="476"/>
      <c r="Q58" s="444"/>
      <c r="R58" s="444"/>
      <c r="S58" s="445" t="s">
        <v>26</v>
      </c>
      <c r="T58" s="444" t="s">
        <v>85</v>
      </c>
      <c r="U58" s="475" t="s">
        <v>339</v>
      </c>
      <c r="V58" s="446" t="s">
        <v>340</v>
      </c>
      <c r="W58" s="446" t="s">
        <v>74</v>
      </c>
      <c r="X58" s="447">
        <v>43433</v>
      </c>
      <c r="Y58" s="447" t="s">
        <v>71</v>
      </c>
      <c r="Z58" s="447"/>
      <c r="AA58" s="447">
        <f t="shared" si="19"/>
        <v>43440</v>
      </c>
      <c r="AB58" s="447">
        <f t="shared" si="20"/>
        <v>43447</v>
      </c>
      <c r="AC58" s="447">
        <v>43444</v>
      </c>
      <c r="AD58" s="449">
        <v>20987.1</v>
      </c>
      <c r="AE58" s="450"/>
      <c r="AF58" s="451">
        <f t="shared" si="21"/>
        <v>20987.1</v>
      </c>
      <c r="AG58" s="449"/>
      <c r="AH58" s="452"/>
      <c r="AI58" s="450">
        <v>20987.1</v>
      </c>
      <c r="AJ58" s="453">
        <f t="shared" si="23"/>
        <v>0</v>
      </c>
      <c r="AK58" s="565">
        <v>20987.1</v>
      </c>
      <c r="AL58" s="565">
        <v>20987.1</v>
      </c>
      <c r="AM58" s="449"/>
      <c r="AN58" s="450">
        <v>0</v>
      </c>
      <c r="AO58" s="451">
        <f t="shared" si="6"/>
        <v>0</v>
      </c>
      <c r="AP58" s="452">
        <f>AO58</f>
        <v>0</v>
      </c>
      <c r="AQ58" s="453">
        <v>0</v>
      </c>
      <c r="AR58" s="462"/>
      <c r="AS58" s="456">
        <f t="shared" si="7"/>
        <v>0</v>
      </c>
      <c r="AT58" s="457"/>
      <c r="AV58" s="467"/>
      <c r="AX58" s="463">
        <f>(AP58+AQ58)-(AO58)</f>
        <v>0</v>
      </c>
      <c r="BB58" s="463">
        <f>(AM58+AN58)-AO58</f>
        <v>0</v>
      </c>
    </row>
    <row r="59" spans="1:54" s="439" customFormat="1" ht="60" x14ac:dyDescent="0.25">
      <c r="A59" s="442" t="s">
        <v>369</v>
      </c>
      <c r="B59" s="442" t="s">
        <v>833</v>
      </c>
      <c r="C59" s="443">
        <v>33</v>
      </c>
      <c r="D59" s="444" t="s">
        <v>661</v>
      </c>
      <c r="E59" s="444"/>
      <c r="F59" s="444"/>
      <c r="G59" s="444"/>
      <c r="H59" s="444"/>
      <c r="I59" s="444"/>
      <c r="J59" s="444" t="s">
        <v>660</v>
      </c>
      <c r="K59" s="444"/>
      <c r="L59" s="444"/>
      <c r="M59" s="476">
        <v>43560</v>
      </c>
      <c r="N59" s="444" t="s">
        <v>621</v>
      </c>
      <c r="O59" s="444"/>
      <c r="P59" s="444"/>
      <c r="Q59" s="444"/>
      <c r="R59" s="444"/>
      <c r="S59" s="445" t="s">
        <v>26</v>
      </c>
      <c r="T59" s="444" t="s">
        <v>85</v>
      </c>
      <c r="U59" s="475" t="s">
        <v>370</v>
      </c>
      <c r="V59" s="446" t="s">
        <v>371</v>
      </c>
      <c r="W59" s="446" t="s">
        <v>74</v>
      </c>
      <c r="X59" s="447">
        <v>43441</v>
      </c>
      <c r="Y59" s="447" t="s">
        <v>71</v>
      </c>
      <c r="Z59" s="447">
        <v>43441</v>
      </c>
      <c r="AA59" s="447">
        <f t="shared" si="19"/>
        <v>43448</v>
      </c>
      <c r="AB59" s="447">
        <f t="shared" si="20"/>
        <v>43455</v>
      </c>
      <c r="AC59" s="447">
        <v>43447</v>
      </c>
      <c r="AD59" s="449">
        <v>6055.56</v>
      </c>
      <c r="AE59" s="450"/>
      <c r="AF59" s="451">
        <f t="shared" si="21"/>
        <v>6055.56</v>
      </c>
      <c r="AG59" s="449"/>
      <c r="AH59" s="452"/>
      <c r="AI59" s="450">
        <f>AF59</f>
        <v>6055.56</v>
      </c>
      <c r="AJ59" s="453">
        <f t="shared" si="23"/>
        <v>0</v>
      </c>
      <c r="AK59" s="454">
        <v>6056</v>
      </c>
      <c r="AL59" s="565">
        <v>6056</v>
      </c>
      <c r="AM59" s="449">
        <v>0</v>
      </c>
      <c r="AN59" s="450">
        <v>0</v>
      </c>
      <c r="AO59" s="451">
        <f t="shared" si="6"/>
        <v>0</v>
      </c>
      <c r="AP59" s="452">
        <v>0</v>
      </c>
      <c r="AQ59" s="453">
        <v>0</v>
      </c>
      <c r="AR59" s="455"/>
      <c r="AS59" s="456">
        <f t="shared" si="7"/>
        <v>0</v>
      </c>
      <c r="AT59" s="466"/>
      <c r="AV59" s="467"/>
    </row>
    <row r="60" spans="1:54" s="439" customFormat="1" ht="30" x14ac:dyDescent="0.25">
      <c r="A60" s="442" t="s">
        <v>372</v>
      </c>
      <c r="B60" s="442" t="s">
        <v>522</v>
      </c>
      <c r="C60" s="443"/>
      <c r="D60" s="444"/>
      <c r="E60" s="444"/>
      <c r="F60" s="444"/>
      <c r="G60" s="444"/>
      <c r="H60" s="444"/>
      <c r="I60" s="444"/>
      <c r="J60" s="444" t="s">
        <v>373</v>
      </c>
      <c r="K60" s="444"/>
      <c r="L60" s="444"/>
      <c r="M60" s="476">
        <v>43509</v>
      </c>
      <c r="N60" s="444" t="s">
        <v>621</v>
      </c>
      <c r="O60" s="444"/>
      <c r="P60" s="444"/>
      <c r="Q60" s="444"/>
      <c r="R60" s="444"/>
      <c r="S60" s="445" t="s">
        <v>26</v>
      </c>
      <c r="T60" s="444" t="s">
        <v>85</v>
      </c>
      <c r="U60" s="475" t="s">
        <v>374</v>
      </c>
      <c r="V60" s="446" t="s">
        <v>375</v>
      </c>
      <c r="W60" s="446" t="s">
        <v>74</v>
      </c>
      <c r="X60" s="447">
        <v>43437</v>
      </c>
      <c r="Y60" s="447" t="s">
        <v>71</v>
      </c>
      <c r="Z60" s="447"/>
      <c r="AA60" s="447">
        <f t="shared" si="19"/>
        <v>43444</v>
      </c>
      <c r="AB60" s="447">
        <f t="shared" si="20"/>
        <v>43451</v>
      </c>
      <c r="AC60" s="447">
        <v>43447</v>
      </c>
      <c r="AD60" s="449">
        <v>1046.4000000000001</v>
      </c>
      <c r="AE60" s="450"/>
      <c r="AF60" s="451">
        <f t="shared" si="21"/>
        <v>1046.4000000000001</v>
      </c>
      <c r="AG60" s="449"/>
      <c r="AH60" s="452"/>
      <c r="AI60" s="450">
        <f>AF60</f>
        <v>1046.4000000000001</v>
      </c>
      <c r="AJ60" s="453">
        <f t="shared" si="23"/>
        <v>0</v>
      </c>
      <c r="AK60" s="454">
        <v>1046.4000000000001</v>
      </c>
      <c r="AL60" s="565">
        <v>1046.4000000000001</v>
      </c>
      <c r="AM60" s="449">
        <v>0</v>
      </c>
      <c r="AN60" s="450">
        <v>0</v>
      </c>
      <c r="AO60" s="451">
        <f t="shared" si="6"/>
        <v>0</v>
      </c>
      <c r="AP60" s="452">
        <v>0</v>
      </c>
      <c r="AQ60" s="453">
        <v>0</v>
      </c>
      <c r="AR60" s="455"/>
      <c r="AS60" s="456">
        <f t="shared" si="7"/>
        <v>0</v>
      </c>
      <c r="AT60" s="466"/>
      <c r="AV60" s="467"/>
    </row>
    <row r="61" spans="1:54" s="439" customFormat="1" ht="60" customHeight="1" x14ac:dyDescent="0.25">
      <c r="A61" s="442"/>
      <c r="B61" s="442" t="s">
        <v>64</v>
      </c>
      <c r="C61" s="443"/>
      <c r="D61" s="444"/>
      <c r="E61" s="444"/>
      <c r="F61" s="444"/>
      <c r="G61" s="444"/>
      <c r="H61" s="444"/>
      <c r="I61" s="444"/>
      <c r="J61" s="444" t="s">
        <v>405</v>
      </c>
      <c r="K61" s="444"/>
      <c r="L61" s="444"/>
      <c r="M61" s="476">
        <v>43448</v>
      </c>
      <c r="N61" s="444" t="s">
        <v>621</v>
      </c>
      <c r="O61" s="444"/>
      <c r="P61" s="444"/>
      <c r="Q61" s="444"/>
      <c r="R61" s="444"/>
      <c r="S61" s="445" t="s">
        <v>48</v>
      </c>
      <c r="T61" s="444" t="s">
        <v>85</v>
      </c>
      <c r="U61" s="475" t="s">
        <v>376</v>
      </c>
      <c r="V61" s="446" t="s">
        <v>377</v>
      </c>
      <c r="W61" s="446" t="s">
        <v>74</v>
      </c>
      <c r="X61" s="447">
        <v>43443</v>
      </c>
      <c r="Y61" s="447" t="s">
        <v>71</v>
      </c>
      <c r="Z61" s="447"/>
      <c r="AA61" s="447">
        <f t="shared" ref="AA61:AA69" si="24">X61+1</f>
        <v>43444</v>
      </c>
      <c r="AB61" s="447">
        <f t="shared" si="20"/>
        <v>43455</v>
      </c>
      <c r="AC61" s="447">
        <v>43444</v>
      </c>
      <c r="AD61" s="449" t="s">
        <v>124</v>
      </c>
      <c r="AE61" s="450"/>
      <c r="AF61" s="451">
        <f t="shared" si="21"/>
        <v>0</v>
      </c>
      <c r="AG61" s="449"/>
      <c r="AH61" s="452"/>
      <c r="AI61" s="450">
        <f>AF61</f>
        <v>0</v>
      </c>
      <c r="AJ61" s="453">
        <f t="shared" si="23"/>
        <v>0</v>
      </c>
      <c r="AK61" s="454"/>
      <c r="AL61" s="565"/>
      <c r="AM61" s="449">
        <v>0</v>
      </c>
      <c r="AN61" s="450">
        <v>0</v>
      </c>
      <c r="AO61" s="451">
        <f t="shared" si="6"/>
        <v>0</v>
      </c>
      <c r="AP61" s="452">
        <v>0</v>
      </c>
      <c r="AQ61" s="453">
        <v>0</v>
      </c>
      <c r="AR61" s="455"/>
      <c r="AS61" s="456">
        <f t="shared" si="7"/>
        <v>0</v>
      </c>
      <c r="AT61" s="457"/>
      <c r="AV61" s="467"/>
    </row>
    <row r="62" spans="1:54" s="439" customFormat="1" ht="45" x14ac:dyDescent="0.25">
      <c r="A62" s="442" t="s">
        <v>406</v>
      </c>
      <c r="B62" s="442" t="s">
        <v>833</v>
      </c>
      <c r="C62" s="443">
        <v>22</v>
      </c>
      <c r="D62" s="444" t="s">
        <v>663</v>
      </c>
      <c r="E62" s="444"/>
      <c r="F62" s="444"/>
      <c r="G62" s="444"/>
      <c r="H62" s="444"/>
      <c r="I62" s="444"/>
      <c r="J62" s="444" t="s">
        <v>662</v>
      </c>
      <c r="K62" s="444"/>
      <c r="L62" s="444"/>
      <c r="M62" s="476">
        <v>43541</v>
      </c>
      <c r="N62" s="444" t="s">
        <v>621</v>
      </c>
      <c r="O62" s="444"/>
      <c r="P62" s="444"/>
      <c r="Q62" s="444"/>
      <c r="R62" s="444"/>
      <c r="S62" s="445" t="s">
        <v>26</v>
      </c>
      <c r="T62" s="444" t="s">
        <v>133</v>
      </c>
      <c r="U62" s="475" t="s">
        <v>407</v>
      </c>
      <c r="V62" s="446" t="s">
        <v>408</v>
      </c>
      <c r="W62" s="446" t="s">
        <v>74</v>
      </c>
      <c r="X62" s="447">
        <v>43444</v>
      </c>
      <c r="Y62" s="447" t="s">
        <v>71</v>
      </c>
      <c r="Z62" s="447"/>
      <c r="AA62" s="447">
        <f t="shared" si="24"/>
        <v>43445</v>
      </c>
      <c r="AB62" s="447">
        <f t="shared" si="20"/>
        <v>43458</v>
      </c>
      <c r="AC62" s="447" t="s">
        <v>1468</v>
      </c>
      <c r="AD62" s="449" t="s">
        <v>1177</v>
      </c>
      <c r="AE62" s="450"/>
      <c r="AF62" s="451">
        <f t="shared" si="21"/>
        <v>0</v>
      </c>
      <c r="AG62" s="449"/>
      <c r="AH62" s="452"/>
      <c r="AI62" s="450"/>
      <c r="AJ62" s="453">
        <f t="shared" si="23"/>
        <v>0</v>
      </c>
      <c r="AK62" s="454" t="s">
        <v>1177</v>
      </c>
      <c r="AL62" s="565" t="s">
        <v>1177</v>
      </c>
      <c r="AM62" s="449">
        <v>0</v>
      </c>
      <c r="AN62" s="450">
        <v>0</v>
      </c>
      <c r="AO62" s="451">
        <f t="shared" si="6"/>
        <v>0</v>
      </c>
      <c r="AP62" s="452">
        <v>0</v>
      </c>
      <c r="AQ62" s="453">
        <v>0</v>
      </c>
      <c r="AR62" s="455"/>
      <c r="AS62" s="456"/>
      <c r="AT62" s="466"/>
      <c r="AU62" s="439" t="s">
        <v>668</v>
      </c>
      <c r="AV62" s="467"/>
    </row>
    <row r="63" spans="1:54" s="439" customFormat="1" ht="30" x14ac:dyDescent="0.25">
      <c r="A63" s="442" t="s">
        <v>669</v>
      </c>
      <c r="B63" s="442" t="s">
        <v>522</v>
      </c>
      <c r="C63" s="443">
        <v>23</v>
      </c>
      <c r="D63" s="444" t="s">
        <v>664</v>
      </c>
      <c r="E63" s="444"/>
      <c r="F63" s="444"/>
      <c r="G63" s="444"/>
      <c r="H63" s="444"/>
      <c r="I63" s="444"/>
      <c r="J63" s="444" t="s">
        <v>470</v>
      </c>
      <c r="K63" s="444"/>
      <c r="L63" s="444"/>
      <c r="M63" s="476" t="s">
        <v>665</v>
      </c>
      <c r="N63" s="444" t="s">
        <v>621</v>
      </c>
      <c r="O63" s="444"/>
      <c r="P63" s="444"/>
      <c r="Q63" s="444"/>
      <c r="R63" s="444"/>
      <c r="S63" s="445" t="s">
        <v>26</v>
      </c>
      <c r="T63" s="444" t="s">
        <v>133</v>
      </c>
      <c r="U63" s="475" t="s">
        <v>666</v>
      </c>
      <c r="V63" s="446" t="s">
        <v>667</v>
      </c>
      <c r="W63" s="446" t="s">
        <v>74</v>
      </c>
      <c r="X63" s="447">
        <v>43444</v>
      </c>
      <c r="Y63" s="447" t="s">
        <v>71</v>
      </c>
      <c r="Z63" s="447"/>
      <c r="AA63" s="447">
        <f t="shared" si="24"/>
        <v>43445</v>
      </c>
      <c r="AB63" s="447">
        <f t="shared" si="20"/>
        <v>43458</v>
      </c>
      <c r="AC63" s="447" t="s">
        <v>1469</v>
      </c>
      <c r="AD63" s="449">
        <v>19441</v>
      </c>
      <c r="AE63" s="450"/>
      <c r="AF63" s="451">
        <f t="shared" si="21"/>
        <v>19441</v>
      </c>
      <c r="AG63" s="449"/>
      <c r="AH63" s="452"/>
      <c r="AI63" s="450">
        <f>AF63</f>
        <v>19441</v>
      </c>
      <c r="AJ63" s="453">
        <f t="shared" si="23"/>
        <v>0</v>
      </c>
      <c r="AK63" s="454">
        <v>19441</v>
      </c>
      <c r="AL63" s="565">
        <v>19441</v>
      </c>
      <c r="AM63" s="449">
        <v>0</v>
      </c>
      <c r="AN63" s="450">
        <v>0</v>
      </c>
      <c r="AO63" s="451">
        <f t="shared" si="6"/>
        <v>0</v>
      </c>
      <c r="AP63" s="452">
        <v>0</v>
      </c>
      <c r="AQ63" s="453">
        <v>0</v>
      </c>
      <c r="AR63" s="455"/>
      <c r="AS63" s="456">
        <f t="shared" si="7"/>
        <v>0</v>
      </c>
      <c r="AT63" s="466"/>
      <c r="AV63" s="467"/>
    </row>
    <row r="64" spans="1:54" s="439" customFormat="1" ht="90" x14ac:dyDescent="0.25">
      <c r="A64" s="442" t="s">
        <v>546</v>
      </c>
      <c r="B64" s="442" t="s">
        <v>833</v>
      </c>
      <c r="C64" s="443"/>
      <c r="D64" s="444" t="s">
        <v>745</v>
      </c>
      <c r="E64" s="444"/>
      <c r="F64" s="444"/>
      <c r="G64" s="444"/>
      <c r="H64" s="444"/>
      <c r="I64" s="444"/>
      <c r="J64" s="444" t="s">
        <v>627</v>
      </c>
      <c r="K64" s="444"/>
      <c r="L64" s="444"/>
      <c r="M64" s="476">
        <v>43567</v>
      </c>
      <c r="N64" s="444" t="s">
        <v>622</v>
      </c>
      <c r="O64" s="444"/>
      <c r="P64" s="444"/>
      <c r="Q64" s="444"/>
      <c r="R64" s="444"/>
      <c r="S64" s="445" t="s">
        <v>26</v>
      </c>
      <c r="T64" s="444" t="s">
        <v>85</v>
      </c>
      <c r="U64" s="475" t="s">
        <v>547</v>
      </c>
      <c r="V64" s="446" t="s">
        <v>548</v>
      </c>
      <c r="W64" s="446" t="s">
        <v>74</v>
      </c>
      <c r="X64" s="447">
        <v>43475</v>
      </c>
      <c r="Y64" s="447" t="s">
        <v>71</v>
      </c>
      <c r="Z64" s="447"/>
      <c r="AA64" s="447">
        <f t="shared" si="24"/>
        <v>43476</v>
      </c>
      <c r="AB64" s="447">
        <f t="shared" si="20"/>
        <v>43489</v>
      </c>
      <c r="AC64" s="447" t="s">
        <v>549</v>
      </c>
      <c r="AD64" s="449">
        <v>172984.67</v>
      </c>
      <c r="AE64" s="450"/>
      <c r="AF64" s="451">
        <f t="shared" si="21"/>
        <v>172984.67</v>
      </c>
      <c r="AG64" s="449"/>
      <c r="AH64" s="452"/>
      <c r="AI64" s="450">
        <f>AF64</f>
        <v>172984.67</v>
      </c>
      <c r="AJ64" s="453">
        <f t="shared" si="23"/>
        <v>0</v>
      </c>
      <c r="AK64" s="454">
        <v>172984.67</v>
      </c>
      <c r="AL64" s="565">
        <v>172984.67</v>
      </c>
      <c r="AM64" s="449">
        <v>0</v>
      </c>
      <c r="AN64" s="450">
        <v>0</v>
      </c>
      <c r="AO64" s="451">
        <f t="shared" si="6"/>
        <v>0</v>
      </c>
      <c r="AP64" s="452">
        <v>0</v>
      </c>
      <c r="AQ64" s="453">
        <v>0</v>
      </c>
      <c r="AR64" s="455"/>
      <c r="AS64" s="456">
        <f t="shared" si="7"/>
        <v>0</v>
      </c>
      <c r="AT64" s="466"/>
      <c r="AU64" s="439" t="s">
        <v>536</v>
      </c>
      <c r="AV64" s="467"/>
    </row>
    <row r="65" spans="1:51" s="439" customFormat="1" ht="45" x14ac:dyDescent="0.25">
      <c r="A65" s="442" t="s">
        <v>380</v>
      </c>
      <c r="B65" s="442" t="s">
        <v>522</v>
      </c>
      <c r="C65" s="443"/>
      <c r="D65" s="444" t="s">
        <v>383</v>
      </c>
      <c r="E65" s="444"/>
      <c r="F65" s="444"/>
      <c r="G65" s="444"/>
      <c r="H65" s="444"/>
      <c r="I65" s="444"/>
      <c r="J65" s="444" t="s">
        <v>381</v>
      </c>
      <c r="K65" s="444"/>
      <c r="L65" s="444"/>
      <c r="M65" s="476">
        <v>43454</v>
      </c>
      <c r="N65" s="444" t="s">
        <v>621</v>
      </c>
      <c r="O65" s="444"/>
      <c r="P65" s="444"/>
      <c r="Q65" s="444"/>
      <c r="R65" s="444"/>
      <c r="S65" s="445" t="s">
        <v>26</v>
      </c>
      <c r="T65" s="444" t="s">
        <v>85</v>
      </c>
      <c r="U65" s="475" t="s">
        <v>382</v>
      </c>
      <c r="V65" s="446" t="s">
        <v>384</v>
      </c>
      <c r="W65" s="446" t="s">
        <v>74</v>
      </c>
      <c r="X65" s="447">
        <v>43448</v>
      </c>
      <c r="Y65" s="447" t="s">
        <v>71</v>
      </c>
      <c r="Z65" s="447"/>
      <c r="AA65" s="447">
        <f t="shared" si="24"/>
        <v>43449</v>
      </c>
      <c r="AB65" s="447">
        <f t="shared" si="20"/>
        <v>43462</v>
      </c>
      <c r="AC65" s="447">
        <v>43454</v>
      </c>
      <c r="AD65" s="449">
        <v>28055.02</v>
      </c>
      <c r="AE65" s="450"/>
      <c r="AF65" s="451">
        <f t="shared" si="21"/>
        <v>28055.02</v>
      </c>
      <c r="AG65" s="449"/>
      <c r="AH65" s="452"/>
      <c r="AI65" s="450">
        <f>AF65</f>
        <v>28055.02</v>
      </c>
      <c r="AJ65" s="453">
        <f t="shared" si="23"/>
        <v>0</v>
      </c>
      <c r="AK65" s="454">
        <v>28055.02</v>
      </c>
      <c r="AL65" s="565">
        <v>28055.02</v>
      </c>
      <c r="AM65" s="449">
        <v>0</v>
      </c>
      <c r="AN65" s="450">
        <v>0</v>
      </c>
      <c r="AO65" s="451">
        <f t="shared" si="6"/>
        <v>0</v>
      </c>
      <c r="AP65" s="452">
        <v>0</v>
      </c>
      <c r="AQ65" s="453">
        <v>0</v>
      </c>
      <c r="AR65" s="455"/>
      <c r="AS65" s="456">
        <f t="shared" si="7"/>
        <v>0</v>
      </c>
      <c r="AT65" s="466"/>
      <c r="AU65" s="439" t="s">
        <v>537</v>
      </c>
      <c r="AV65" s="467"/>
    </row>
    <row r="66" spans="1:51" s="439" customFormat="1" ht="75" customHeight="1" x14ac:dyDescent="0.25">
      <c r="A66" s="442" t="s">
        <v>385</v>
      </c>
      <c r="B66" s="442" t="s">
        <v>64</v>
      </c>
      <c r="C66" s="443"/>
      <c r="D66" s="444" t="s">
        <v>387</v>
      </c>
      <c r="E66" s="444"/>
      <c r="F66" s="444"/>
      <c r="G66" s="444"/>
      <c r="H66" s="444"/>
      <c r="I66" s="444"/>
      <c r="J66" s="444" t="s">
        <v>386</v>
      </c>
      <c r="K66" s="444"/>
      <c r="L66" s="444"/>
      <c r="M66" s="476">
        <v>43455</v>
      </c>
      <c r="N66" s="444" t="s">
        <v>622</v>
      </c>
      <c r="O66" s="444"/>
      <c r="P66" s="444"/>
      <c r="Q66" s="444"/>
      <c r="R66" s="444"/>
      <c r="S66" s="445" t="s">
        <v>48</v>
      </c>
      <c r="T66" s="444" t="s">
        <v>85</v>
      </c>
      <c r="U66" s="475" t="s">
        <v>388</v>
      </c>
      <c r="V66" s="446" t="s">
        <v>389</v>
      </c>
      <c r="W66" s="446" t="s">
        <v>74</v>
      </c>
      <c r="X66" s="447">
        <v>43446</v>
      </c>
      <c r="Y66" s="447" t="s">
        <v>71</v>
      </c>
      <c r="Z66" s="447"/>
      <c r="AA66" s="447">
        <f t="shared" si="24"/>
        <v>43447</v>
      </c>
      <c r="AB66" s="447">
        <f t="shared" si="20"/>
        <v>43460</v>
      </c>
      <c r="AC66" s="447">
        <v>43453</v>
      </c>
      <c r="AD66" s="449" t="s">
        <v>124</v>
      </c>
      <c r="AE66" s="450"/>
      <c r="AF66" s="451">
        <f t="shared" si="21"/>
        <v>0</v>
      </c>
      <c r="AG66" s="449"/>
      <c r="AH66" s="452"/>
      <c r="AI66" s="450"/>
      <c r="AJ66" s="453">
        <f t="shared" si="23"/>
        <v>0</v>
      </c>
      <c r="AK66" s="454">
        <v>0</v>
      </c>
      <c r="AL66" s="565">
        <v>0</v>
      </c>
      <c r="AM66" s="449">
        <v>0</v>
      </c>
      <c r="AN66" s="450">
        <v>0</v>
      </c>
      <c r="AO66" s="451">
        <f t="shared" si="6"/>
        <v>0</v>
      </c>
      <c r="AP66" s="452">
        <v>0</v>
      </c>
      <c r="AQ66" s="453">
        <v>0</v>
      </c>
      <c r="AR66" s="455"/>
      <c r="AS66" s="456">
        <f t="shared" si="7"/>
        <v>0</v>
      </c>
      <c r="AT66" s="457"/>
      <c r="AV66" s="467"/>
    </row>
    <row r="67" spans="1:51" s="439" customFormat="1" ht="55.5" customHeight="1" x14ac:dyDescent="0.25">
      <c r="A67" s="442" t="s">
        <v>390</v>
      </c>
      <c r="B67" s="442" t="s">
        <v>64</v>
      </c>
      <c r="C67" s="443"/>
      <c r="D67" s="444" t="s">
        <v>392</v>
      </c>
      <c r="E67" s="444"/>
      <c r="F67" s="444"/>
      <c r="G67" s="444"/>
      <c r="H67" s="444"/>
      <c r="I67" s="444"/>
      <c r="J67" s="444" t="s">
        <v>391</v>
      </c>
      <c r="K67" s="444"/>
      <c r="L67" s="444"/>
      <c r="M67" s="476">
        <v>43455</v>
      </c>
      <c r="N67" s="444" t="s">
        <v>622</v>
      </c>
      <c r="O67" s="444"/>
      <c r="P67" s="444"/>
      <c r="Q67" s="444"/>
      <c r="R67" s="444"/>
      <c r="S67" s="445" t="s">
        <v>48</v>
      </c>
      <c r="T67" s="444" t="s">
        <v>85</v>
      </c>
      <c r="U67" s="475" t="s">
        <v>393</v>
      </c>
      <c r="V67" s="446" t="s">
        <v>394</v>
      </c>
      <c r="W67" s="446" t="s">
        <v>74</v>
      </c>
      <c r="X67" s="447">
        <v>43447</v>
      </c>
      <c r="Y67" s="447" t="s">
        <v>71</v>
      </c>
      <c r="Z67" s="447"/>
      <c r="AA67" s="447">
        <f t="shared" si="24"/>
        <v>43448</v>
      </c>
      <c r="AB67" s="447">
        <f t="shared" si="20"/>
        <v>43461</v>
      </c>
      <c r="AC67" s="447">
        <v>43453</v>
      </c>
      <c r="AD67" s="449" t="s">
        <v>124</v>
      </c>
      <c r="AE67" s="450"/>
      <c r="AF67" s="451">
        <f t="shared" si="21"/>
        <v>0</v>
      </c>
      <c r="AG67" s="449"/>
      <c r="AH67" s="452"/>
      <c r="AI67" s="450"/>
      <c r="AJ67" s="453">
        <f t="shared" si="23"/>
        <v>0</v>
      </c>
      <c r="AK67" s="454">
        <v>0</v>
      </c>
      <c r="AL67" s="565">
        <v>0</v>
      </c>
      <c r="AM67" s="449">
        <v>0</v>
      </c>
      <c r="AN67" s="450">
        <v>0</v>
      </c>
      <c r="AO67" s="451">
        <f t="shared" si="6"/>
        <v>0</v>
      </c>
      <c r="AP67" s="452">
        <v>0</v>
      </c>
      <c r="AQ67" s="453">
        <v>0</v>
      </c>
      <c r="AR67" s="455"/>
      <c r="AS67" s="456">
        <f t="shared" si="7"/>
        <v>0</v>
      </c>
      <c r="AT67" s="457"/>
      <c r="AV67" s="467"/>
    </row>
    <row r="68" spans="1:51" s="439" customFormat="1" ht="45" customHeight="1" x14ac:dyDescent="0.25">
      <c r="A68" s="442" t="s">
        <v>395</v>
      </c>
      <c r="B68" s="442" t="s">
        <v>64</v>
      </c>
      <c r="C68" s="443"/>
      <c r="D68" s="444" t="s">
        <v>397</v>
      </c>
      <c r="E68" s="444"/>
      <c r="F68" s="444"/>
      <c r="G68" s="444"/>
      <c r="H68" s="444"/>
      <c r="I68" s="444"/>
      <c r="J68" s="444" t="s">
        <v>396</v>
      </c>
      <c r="K68" s="444"/>
      <c r="L68" s="444"/>
      <c r="M68" s="476">
        <v>43455</v>
      </c>
      <c r="N68" s="444" t="s">
        <v>621</v>
      </c>
      <c r="O68" s="444"/>
      <c r="P68" s="444"/>
      <c r="Q68" s="444"/>
      <c r="R68" s="444"/>
      <c r="S68" s="445" t="s">
        <v>48</v>
      </c>
      <c r="T68" s="444" t="s">
        <v>85</v>
      </c>
      <c r="U68" s="475" t="s">
        <v>398</v>
      </c>
      <c r="V68" s="446" t="s">
        <v>399</v>
      </c>
      <c r="W68" s="446" t="s">
        <v>74</v>
      </c>
      <c r="X68" s="447">
        <v>43454</v>
      </c>
      <c r="Y68" s="447" t="s">
        <v>71</v>
      </c>
      <c r="Z68" s="447"/>
      <c r="AA68" s="447">
        <f t="shared" si="24"/>
        <v>43455</v>
      </c>
      <c r="AB68" s="447">
        <f t="shared" si="20"/>
        <v>43468</v>
      </c>
      <c r="AC68" s="447">
        <v>43453</v>
      </c>
      <c r="AD68" s="449" t="s">
        <v>124</v>
      </c>
      <c r="AE68" s="450"/>
      <c r="AF68" s="451">
        <f t="shared" si="21"/>
        <v>0</v>
      </c>
      <c r="AG68" s="449"/>
      <c r="AH68" s="452"/>
      <c r="AI68" s="450"/>
      <c r="AJ68" s="453">
        <f t="shared" si="23"/>
        <v>0</v>
      </c>
      <c r="AK68" s="454">
        <v>0</v>
      </c>
      <c r="AL68" s="565">
        <v>0</v>
      </c>
      <c r="AM68" s="449">
        <v>0</v>
      </c>
      <c r="AN68" s="450">
        <v>0</v>
      </c>
      <c r="AO68" s="451">
        <f t="shared" si="6"/>
        <v>0</v>
      </c>
      <c r="AP68" s="452">
        <v>0</v>
      </c>
      <c r="AQ68" s="453">
        <v>0</v>
      </c>
      <c r="AR68" s="455"/>
      <c r="AS68" s="456">
        <f t="shared" si="7"/>
        <v>0</v>
      </c>
      <c r="AT68" s="457"/>
      <c r="AV68" s="467"/>
    </row>
    <row r="69" spans="1:51" s="439" customFormat="1" ht="90" customHeight="1" x14ac:dyDescent="0.25">
      <c r="A69" s="442" t="s">
        <v>472</v>
      </c>
      <c r="B69" s="442" t="s">
        <v>124</v>
      </c>
      <c r="C69" s="443"/>
      <c r="D69" s="444" t="s">
        <v>900</v>
      </c>
      <c r="E69" s="444"/>
      <c r="F69" s="444"/>
      <c r="G69" s="444"/>
      <c r="H69" s="444"/>
      <c r="I69" s="444"/>
      <c r="J69" s="444" t="s">
        <v>644</v>
      </c>
      <c r="K69" s="444"/>
      <c r="L69" s="444"/>
      <c r="M69" s="476">
        <v>43607</v>
      </c>
      <c r="N69" s="444" t="s">
        <v>622</v>
      </c>
      <c r="O69" s="444" t="s">
        <v>622</v>
      </c>
      <c r="P69" s="442" t="s">
        <v>1883</v>
      </c>
      <c r="Q69" s="444"/>
      <c r="R69" s="444"/>
      <c r="S69" s="445" t="s">
        <v>143</v>
      </c>
      <c r="T69" s="444" t="s">
        <v>85</v>
      </c>
      <c r="U69" s="475" t="s">
        <v>474</v>
      </c>
      <c r="V69" s="446" t="s">
        <v>475</v>
      </c>
      <c r="W69" s="446" t="s">
        <v>74</v>
      </c>
      <c r="X69" s="447">
        <v>43480</v>
      </c>
      <c r="Y69" s="447" t="s">
        <v>71</v>
      </c>
      <c r="Z69" s="447"/>
      <c r="AA69" s="447">
        <f t="shared" si="24"/>
        <v>43481</v>
      </c>
      <c r="AB69" s="447">
        <f t="shared" si="20"/>
        <v>43494</v>
      </c>
      <c r="AC69" s="447">
        <v>43487</v>
      </c>
      <c r="AD69" s="449">
        <v>87224</v>
      </c>
      <c r="AE69" s="450">
        <v>-13924.98</v>
      </c>
      <c r="AF69" s="451">
        <f t="shared" si="21"/>
        <v>73299.02</v>
      </c>
      <c r="AG69" s="449"/>
      <c r="AH69" s="452"/>
      <c r="AI69" s="450"/>
      <c r="AJ69" s="453">
        <f t="shared" si="23"/>
        <v>73299.02</v>
      </c>
      <c r="AK69" s="454">
        <v>0</v>
      </c>
      <c r="AL69" s="565">
        <v>0</v>
      </c>
      <c r="AM69" s="449">
        <v>0</v>
      </c>
      <c r="AN69" s="450">
        <v>0</v>
      </c>
      <c r="AO69" s="451">
        <f t="shared" si="6"/>
        <v>0</v>
      </c>
      <c r="AP69" s="452">
        <v>0</v>
      </c>
      <c r="AQ69" s="453">
        <v>0</v>
      </c>
      <c r="AR69" s="455"/>
      <c r="AS69" s="456">
        <f t="shared" si="7"/>
        <v>0</v>
      </c>
      <c r="AT69" s="457"/>
      <c r="AU69" s="439" t="s">
        <v>532</v>
      </c>
      <c r="AV69" s="467"/>
    </row>
    <row r="70" spans="1:51" s="439" customFormat="1" ht="90" customHeight="1" x14ac:dyDescent="0.25">
      <c r="A70" s="442" t="s">
        <v>400</v>
      </c>
      <c r="B70" s="442" t="s">
        <v>124</v>
      </c>
      <c r="C70" s="443"/>
      <c r="D70" s="444" t="s">
        <v>624</v>
      </c>
      <c r="E70" s="444"/>
      <c r="F70" s="444"/>
      <c r="G70" s="444"/>
      <c r="H70" s="444"/>
      <c r="I70" s="444"/>
      <c r="J70" s="444" t="s">
        <v>767</v>
      </c>
      <c r="K70" s="444"/>
      <c r="L70" s="444"/>
      <c r="M70" s="476">
        <v>43571</v>
      </c>
      <c r="N70" s="444" t="s">
        <v>621</v>
      </c>
      <c r="O70" s="444"/>
      <c r="P70" s="444"/>
      <c r="Q70" s="444"/>
      <c r="R70" s="444"/>
      <c r="S70" s="445" t="s">
        <v>68</v>
      </c>
      <c r="T70" s="444" t="s">
        <v>85</v>
      </c>
      <c r="U70" s="475" t="s">
        <v>325</v>
      </c>
      <c r="V70" s="446" t="s">
        <v>608</v>
      </c>
      <c r="W70" s="446" t="s">
        <v>74</v>
      </c>
      <c r="X70" s="447">
        <v>43378</v>
      </c>
      <c r="Y70" s="447" t="s">
        <v>71</v>
      </c>
      <c r="Z70" s="447"/>
      <c r="AA70" s="447">
        <f>+IF(X70="","",WORKDAY(X70,5))</f>
        <v>43385</v>
      </c>
      <c r="AB70" s="447">
        <f t="shared" si="20"/>
        <v>43392</v>
      </c>
      <c r="AC70" s="447">
        <v>43455</v>
      </c>
      <c r="AD70" s="449">
        <v>408738.32</v>
      </c>
      <c r="AE70" s="450">
        <f>-AD70</f>
        <v>-408738.32</v>
      </c>
      <c r="AF70" s="451">
        <f t="shared" si="21"/>
        <v>0</v>
      </c>
      <c r="AG70" s="449"/>
      <c r="AH70" s="452"/>
      <c r="AI70" s="450"/>
      <c r="AJ70" s="453">
        <f t="shared" si="23"/>
        <v>0</v>
      </c>
      <c r="AK70" s="454">
        <v>0</v>
      </c>
      <c r="AL70" s="565">
        <v>0</v>
      </c>
      <c r="AM70" s="449">
        <f>+AF70</f>
        <v>0</v>
      </c>
      <c r="AN70" s="450">
        <v>0</v>
      </c>
      <c r="AO70" s="451">
        <f t="shared" si="6"/>
        <v>0</v>
      </c>
      <c r="AP70" s="452">
        <v>0</v>
      </c>
      <c r="AQ70" s="453">
        <v>0</v>
      </c>
      <c r="AR70" s="455"/>
      <c r="AS70" s="456">
        <f t="shared" si="7"/>
        <v>0</v>
      </c>
      <c r="AT70" s="457" t="s">
        <v>1012</v>
      </c>
      <c r="AV70" s="467"/>
    </row>
    <row r="71" spans="1:51" s="439" customFormat="1" ht="60" x14ac:dyDescent="0.25">
      <c r="A71" s="442" t="s">
        <v>467</v>
      </c>
      <c r="B71" s="442" t="s">
        <v>522</v>
      </c>
      <c r="C71" s="443">
        <v>35</v>
      </c>
      <c r="D71" s="444" t="s">
        <v>491</v>
      </c>
      <c r="E71" s="444"/>
      <c r="F71" s="444"/>
      <c r="G71" s="444"/>
      <c r="H71" s="444"/>
      <c r="I71" s="444"/>
      <c r="J71" s="444" t="s">
        <v>492</v>
      </c>
      <c r="K71" s="444"/>
      <c r="L71" s="444"/>
      <c r="M71" s="476">
        <v>43495</v>
      </c>
      <c r="N71" s="444" t="s">
        <v>621</v>
      </c>
      <c r="O71" s="444"/>
      <c r="P71" s="444"/>
      <c r="Q71" s="444"/>
      <c r="R71" s="444"/>
      <c r="S71" s="445" t="s">
        <v>26</v>
      </c>
      <c r="T71" s="444" t="s">
        <v>133</v>
      </c>
      <c r="U71" s="475" t="s">
        <v>468</v>
      </c>
      <c r="V71" s="446" t="s">
        <v>469</v>
      </c>
      <c r="W71" s="446" t="s">
        <v>609</v>
      </c>
      <c r="X71" s="447">
        <v>43474</v>
      </c>
      <c r="Y71" s="447" t="s">
        <v>71</v>
      </c>
      <c r="Z71" s="447"/>
      <c r="AA71" s="447">
        <f>X71+1</f>
        <v>43475</v>
      </c>
      <c r="AB71" s="447">
        <f t="shared" si="20"/>
        <v>43488</v>
      </c>
      <c r="AC71" s="447">
        <v>43481</v>
      </c>
      <c r="AD71" s="449">
        <v>6093.72</v>
      </c>
      <c r="AE71" s="450"/>
      <c r="AF71" s="451">
        <f t="shared" si="21"/>
        <v>6093.72</v>
      </c>
      <c r="AG71" s="449"/>
      <c r="AH71" s="452"/>
      <c r="AI71" s="450">
        <f>AF71</f>
        <v>6093.72</v>
      </c>
      <c r="AJ71" s="453">
        <f t="shared" si="23"/>
        <v>0</v>
      </c>
      <c r="AK71" s="454">
        <v>6093.72</v>
      </c>
      <c r="AL71" s="565">
        <v>6093.72</v>
      </c>
      <c r="AM71" s="449">
        <v>0</v>
      </c>
      <c r="AN71" s="450">
        <v>0</v>
      </c>
      <c r="AO71" s="451">
        <f t="shared" si="6"/>
        <v>0</v>
      </c>
      <c r="AP71" s="452">
        <v>0</v>
      </c>
      <c r="AQ71" s="453">
        <v>0</v>
      </c>
      <c r="AR71" s="455"/>
      <c r="AS71" s="456">
        <f t="shared" si="7"/>
        <v>0</v>
      </c>
      <c r="AT71" s="466"/>
      <c r="AV71" s="467"/>
    </row>
    <row r="72" spans="1:51" s="439" customFormat="1" ht="90" customHeight="1" x14ac:dyDescent="0.25">
      <c r="A72" s="442" t="s">
        <v>409</v>
      </c>
      <c r="B72" s="442" t="s">
        <v>841</v>
      </c>
      <c r="C72" s="443">
        <v>16</v>
      </c>
      <c r="D72" s="444" t="s">
        <v>629</v>
      </c>
      <c r="E72" s="444"/>
      <c r="F72" s="444"/>
      <c r="G72" s="444"/>
      <c r="H72" s="444"/>
      <c r="I72" s="444"/>
      <c r="J72" s="444" t="s">
        <v>635</v>
      </c>
      <c r="K72" s="444"/>
      <c r="L72" s="444"/>
      <c r="M72" s="476">
        <v>43486</v>
      </c>
      <c r="N72" s="444" t="s">
        <v>621</v>
      </c>
      <c r="O72" s="444"/>
      <c r="P72" s="444"/>
      <c r="Q72" s="444"/>
      <c r="R72" s="444"/>
      <c r="S72" s="445" t="s">
        <v>68</v>
      </c>
      <c r="T72" s="444" t="s">
        <v>133</v>
      </c>
      <c r="U72" s="475" t="s">
        <v>315</v>
      </c>
      <c r="V72" s="446" t="s">
        <v>361</v>
      </c>
      <c r="W72" s="446" t="s">
        <v>362</v>
      </c>
      <c r="X72" s="447">
        <v>43474</v>
      </c>
      <c r="Y72" s="447" t="s">
        <v>71</v>
      </c>
      <c r="Z72" s="447"/>
      <c r="AA72" s="447">
        <f>X72+1</f>
        <v>43475</v>
      </c>
      <c r="AB72" s="447">
        <f t="shared" si="20"/>
        <v>43488</v>
      </c>
      <c r="AC72" s="447">
        <v>43475</v>
      </c>
      <c r="AD72" s="449" t="s">
        <v>841</v>
      </c>
      <c r="AE72" s="450"/>
      <c r="AF72" s="451">
        <f t="shared" si="21"/>
        <v>0</v>
      </c>
      <c r="AG72" s="449"/>
      <c r="AH72" s="452"/>
      <c r="AI72" s="450"/>
      <c r="AJ72" s="453">
        <f t="shared" si="23"/>
        <v>0</v>
      </c>
      <c r="AK72" s="454">
        <v>0</v>
      </c>
      <c r="AL72" s="565">
        <v>0</v>
      </c>
      <c r="AM72" s="449">
        <v>0</v>
      </c>
      <c r="AN72" s="450">
        <v>0</v>
      </c>
      <c r="AO72" s="451">
        <f t="shared" si="6"/>
        <v>0</v>
      </c>
      <c r="AP72" s="452">
        <v>0</v>
      </c>
      <c r="AQ72" s="453">
        <v>0</v>
      </c>
      <c r="AR72" s="455"/>
      <c r="AS72" s="456">
        <f t="shared" si="7"/>
        <v>0</v>
      </c>
      <c r="AT72" s="457"/>
      <c r="AV72" s="467"/>
    </row>
    <row r="73" spans="1:51" s="439" customFormat="1" ht="78.75" customHeight="1" x14ac:dyDescent="0.25">
      <c r="A73" s="442" t="s">
        <v>410</v>
      </c>
      <c r="B73" s="442" t="s">
        <v>1854</v>
      </c>
      <c r="C73" s="443"/>
      <c r="D73" s="444" t="s">
        <v>1917</v>
      </c>
      <c r="E73" s="444"/>
      <c r="F73" s="444"/>
      <c r="G73" s="444"/>
      <c r="H73" s="444"/>
      <c r="I73" s="444"/>
      <c r="J73" s="444" t="s">
        <v>1688</v>
      </c>
      <c r="K73" s="444"/>
      <c r="L73" s="444"/>
      <c r="M73" s="476">
        <v>43955</v>
      </c>
      <c r="N73" s="444" t="s">
        <v>621</v>
      </c>
      <c r="O73" s="444"/>
      <c r="P73" s="444"/>
      <c r="Q73" s="444"/>
      <c r="R73" s="444"/>
      <c r="S73" s="445" t="s">
        <v>26</v>
      </c>
      <c r="T73" s="444" t="s">
        <v>1262</v>
      </c>
      <c r="U73" s="475" t="s">
        <v>411</v>
      </c>
      <c r="V73" s="446" t="s">
        <v>412</v>
      </c>
      <c r="W73" s="446" t="s">
        <v>74</v>
      </c>
      <c r="X73" s="447">
        <v>43472</v>
      </c>
      <c r="Y73" s="447" t="s">
        <v>71</v>
      </c>
      <c r="Z73" s="447"/>
      <c r="AA73" s="447">
        <f>X73+1</f>
        <v>43473</v>
      </c>
      <c r="AB73" s="447">
        <f t="shared" si="20"/>
        <v>43486</v>
      </c>
      <c r="AC73" s="447">
        <v>43479</v>
      </c>
      <c r="AD73" s="449">
        <v>69794.710000000006</v>
      </c>
      <c r="AE73" s="450"/>
      <c r="AF73" s="451">
        <f t="shared" si="21"/>
        <v>69794.710000000006</v>
      </c>
      <c r="AG73" s="449">
        <f>AF73</f>
        <v>69794.710000000006</v>
      </c>
      <c r="AH73" s="452"/>
      <c r="AI73" s="450"/>
      <c r="AJ73" s="453">
        <f t="shared" si="23"/>
        <v>0</v>
      </c>
      <c r="AK73" s="566">
        <v>19368.96</v>
      </c>
      <c r="AL73" s="565">
        <v>18103.29</v>
      </c>
      <c r="AM73" s="449">
        <v>0</v>
      </c>
      <c r="AN73" s="450">
        <v>0</v>
      </c>
      <c r="AO73" s="451">
        <f t="shared" si="6"/>
        <v>0</v>
      </c>
      <c r="AP73" s="452">
        <v>0</v>
      </c>
      <c r="AQ73" s="453">
        <v>0</v>
      </c>
      <c r="AR73" s="455"/>
      <c r="AS73" s="456">
        <f t="shared" si="7"/>
        <v>1265.6699999999983</v>
      </c>
      <c r="AT73" s="457"/>
      <c r="AV73" s="467"/>
      <c r="AY73" s="439" t="s">
        <v>558</v>
      </c>
    </row>
    <row r="74" spans="1:51" s="439" customFormat="1" ht="78.75" customHeight="1" x14ac:dyDescent="0.25">
      <c r="A74" s="442" t="s">
        <v>415</v>
      </c>
      <c r="B74" s="442" t="s">
        <v>124</v>
      </c>
      <c r="C74" s="443"/>
      <c r="D74" s="444" t="s">
        <v>416</v>
      </c>
      <c r="E74" s="444"/>
      <c r="F74" s="444"/>
      <c r="G74" s="444"/>
      <c r="H74" s="444"/>
      <c r="I74" s="444"/>
      <c r="J74" s="444" t="s">
        <v>466</v>
      </c>
      <c r="K74" s="444"/>
      <c r="L74" s="444"/>
      <c r="M74" s="476">
        <v>43481</v>
      </c>
      <c r="N74" s="444" t="s">
        <v>621</v>
      </c>
      <c r="O74" s="444"/>
      <c r="P74" s="444"/>
      <c r="Q74" s="444"/>
      <c r="R74" s="444"/>
      <c r="S74" s="445" t="s">
        <v>143</v>
      </c>
      <c r="T74" s="444" t="s">
        <v>85</v>
      </c>
      <c r="U74" s="475" t="s">
        <v>414</v>
      </c>
      <c r="V74" s="446" t="s">
        <v>417</v>
      </c>
      <c r="W74" s="446" t="s">
        <v>74</v>
      </c>
      <c r="X74" s="447">
        <v>43476</v>
      </c>
      <c r="Y74" s="447" t="s">
        <v>71</v>
      </c>
      <c r="Z74" s="447"/>
      <c r="AA74" s="447">
        <f>+IF(X74="","",WORKDAY(X74,5))</f>
        <v>43483</v>
      </c>
      <c r="AB74" s="447">
        <f t="shared" si="20"/>
        <v>43490</v>
      </c>
      <c r="AC74" s="447">
        <v>43481</v>
      </c>
      <c r="AD74" s="449" t="s">
        <v>124</v>
      </c>
      <c r="AE74" s="450"/>
      <c r="AF74" s="451">
        <f t="shared" si="21"/>
        <v>0</v>
      </c>
      <c r="AG74" s="449"/>
      <c r="AH74" s="452"/>
      <c r="AI74" s="450"/>
      <c r="AJ74" s="453">
        <f t="shared" si="23"/>
        <v>0</v>
      </c>
      <c r="AK74" s="454">
        <v>0</v>
      </c>
      <c r="AL74" s="565">
        <v>0</v>
      </c>
      <c r="AM74" s="449">
        <v>0</v>
      </c>
      <c r="AN74" s="450">
        <v>0</v>
      </c>
      <c r="AO74" s="451">
        <f t="shared" si="6"/>
        <v>0</v>
      </c>
      <c r="AP74" s="452">
        <v>0</v>
      </c>
      <c r="AQ74" s="453">
        <v>0</v>
      </c>
      <c r="AR74" s="455"/>
      <c r="AS74" s="456">
        <f t="shared" ref="AS74:AS137" si="25">AK74-AL74</f>
        <v>0</v>
      </c>
      <c r="AT74" s="457"/>
      <c r="AV74" s="467"/>
    </row>
    <row r="75" spans="1:51" s="439" customFormat="1" ht="45" customHeight="1" x14ac:dyDescent="0.25">
      <c r="A75" s="442" t="s">
        <v>473</v>
      </c>
      <c r="B75" s="442" t="s">
        <v>833</v>
      </c>
      <c r="C75" s="443">
        <v>26</v>
      </c>
      <c r="D75" s="444" t="s">
        <v>630</v>
      </c>
      <c r="E75" s="444"/>
      <c r="F75" s="444"/>
      <c r="G75" s="444"/>
      <c r="H75" s="444"/>
      <c r="I75" s="444"/>
      <c r="J75" s="444" t="s">
        <v>1505</v>
      </c>
      <c r="K75" s="444"/>
      <c r="L75" s="444"/>
      <c r="M75" s="476">
        <v>43775</v>
      </c>
      <c r="N75" s="444" t="s">
        <v>621</v>
      </c>
      <c r="O75" s="444"/>
      <c r="P75" s="444"/>
      <c r="Q75" s="444"/>
      <c r="R75" s="444"/>
      <c r="S75" s="445" t="s">
        <v>26</v>
      </c>
      <c r="T75" s="444" t="s">
        <v>133</v>
      </c>
      <c r="U75" s="475" t="s">
        <v>610</v>
      </c>
      <c r="V75" s="446" t="s">
        <v>611</v>
      </c>
      <c r="W75" s="446" t="s">
        <v>74</v>
      </c>
      <c r="X75" s="447">
        <v>43488</v>
      </c>
      <c r="Y75" s="447" t="s">
        <v>71</v>
      </c>
      <c r="Z75" s="447"/>
      <c r="AA75" s="447">
        <f>X75+1</f>
        <v>43489</v>
      </c>
      <c r="AB75" s="447">
        <f t="shared" si="20"/>
        <v>43502</v>
      </c>
      <c r="AC75" s="447" t="s">
        <v>1470</v>
      </c>
      <c r="AD75" s="449">
        <v>21801.46</v>
      </c>
      <c r="AE75" s="450"/>
      <c r="AF75" s="451">
        <f t="shared" ref="AF75:AF106" si="26">+SUM(AD75:AE75)</f>
        <v>21801.46</v>
      </c>
      <c r="AG75" s="449"/>
      <c r="AH75" s="452"/>
      <c r="AI75" s="450">
        <f>AF75</f>
        <v>21801.46</v>
      </c>
      <c r="AJ75" s="453">
        <f t="shared" si="23"/>
        <v>0</v>
      </c>
      <c r="AK75" s="454">
        <f>AI75</f>
        <v>21801.46</v>
      </c>
      <c r="AL75" s="565">
        <v>21801.46</v>
      </c>
      <c r="AM75" s="449"/>
      <c r="AN75" s="450"/>
      <c r="AO75" s="451">
        <f t="shared" ref="AO75:AO137" si="27">AN75+AM75</f>
        <v>0</v>
      </c>
      <c r="AP75" s="452">
        <v>0</v>
      </c>
      <c r="AQ75" s="453">
        <v>0</v>
      </c>
      <c r="AR75" s="455"/>
      <c r="AS75" s="456">
        <f t="shared" si="25"/>
        <v>0</v>
      </c>
      <c r="AT75" s="457"/>
      <c r="AV75" s="467"/>
    </row>
    <row r="76" spans="1:51" s="439" customFormat="1" ht="60" x14ac:dyDescent="0.25">
      <c r="A76" s="442" t="s">
        <v>477</v>
      </c>
      <c r="B76" s="442" t="s">
        <v>1169</v>
      </c>
      <c r="C76" s="443"/>
      <c r="D76" s="444"/>
      <c r="E76" s="444"/>
      <c r="F76" s="444"/>
      <c r="G76" s="444"/>
      <c r="H76" s="444"/>
      <c r="I76" s="444"/>
      <c r="J76" s="444" t="s">
        <v>746</v>
      </c>
      <c r="K76" s="444"/>
      <c r="L76" s="444"/>
      <c r="M76" s="476">
        <v>43565</v>
      </c>
      <c r="N76" s="444" t="s">
        <v>621</v>
      </c>
      <c r="O76" s="444"/>
      <c r="P76" s="444"/>
      <c r="Q76" s="444"/>
      <c r="R76" s="444"/>
      <c r="S76" s="445" t="s">
        <v>26</v>
      </c>
      <c r="T76" s="444" t="s">
        <v>85</v>
      </c>
      <c r="U76" s="475" t="s">
        <v>485</v>
      </c>
      <c r="V76" s="446" t="s">
        <v>493</v>
      </c>
      <c r="W76" s="446" t="s">
        <v>74</v>
      </c>
      <c r="X76" s="447">
        <v>43489</v>
      </c>
      <c r="Y76" s="447" t="s">
        <v>71</v>
      </c>
      <c r="Z76" s="447"/>
      <c r="AA76" s="447">
        <f>X76+1</f>
        <v>43490</v>
      </c>
      <c r="AB76" s="447">
        <f t="shared" si="20"/>
        <v>43503</v>
      </c>
      <c r="AC76" s="447">
        <v>43497</v>
      </c>
      <c r="AD76" s="449">
        <v>9803.443347194434</v>
      </c>
      <c r="AE76" s="450"/>
      <c r="AF76" s="451">
        <f t="shared" si="26"/>
        <v>9803.443347194434</v>
      </c>
      <c r="AG76" s="449"/>
      <c r="AH76" s="452"/>
      <c r="AI76" s="450">
        <f>AF76</f>
        <v>9803.443347194434</v>
      </c>
      <c r="AJ76" s="453">
        <f t="shared" si="23"/>
        <v>0</v>
      </c>
      <c r="AK76" s="454">
        <v>8903.4599999999991</v>
      </c>
      <c r="AL76" s="565">
        <v>8903.4599999999991</v>
      </c>
      <c r="AM76" s="449">
        <v>0</v>
      </c>
      <c r="AN76" s="450">
        <v>0</v>
      </c>
      <c r="AO76" s="451">
        <f t="shared" si="27"/>
        <v>0</v>
      </c>
      <c r="AP76" s="452">
        <v>0</v>
      </c>
      <c r="AQ76" s="453">
        <v>0</v>
      </c>
      <c r="AR76" s="455"/>
      <c r="AS76" s="456">
        <f t="shared" si="25"/>
        <v>0</v>
      </c>
      <c r="AT76" s="466"/>
      <c r="AV76" s="467"/>
    </row>
    <row r="77" spans="1:51" s="439" customFormat="1" ht="73.5" customHeight="1" x14ac:dyDescent="0.25">
      <c r="A77" s="442" t="s">
        <v>478</v>
      </c>
      <c r="B77" s="442" t="s">
        <v>522</v>
      </c>
      <c r="C77" s="443">
        <v>36</v>
      </c>
      <c r="D77" s="444" t="s">
        <v>631</v>
      </c>
      <c r="E77" s="444"/>
      <c r="F77" s="444"/>
      <c r="G77" s="444"/>
      <c r="H77" s="444"/>
      <c r="I77" s="444"/>
      <c r="J77" s="444" t="s">
        <v>480</v>
      </c>
      <c r="K77" s="444"/>
      <c r="L77" s="444"/>
      <c r="M77" s="476">
        <v>43510</v>
      </c>
      <c r="N77" s="444" t="s">
        <v>622</v>
      </c>
      <c r="O77" s="444"/>
      <c r="P77" s="444"/>
      <c r="Q77" s="444"/>
      <c r="R77" s="444"/>
      <c r="S77" s="445" t="s">
        <v>26</v>
      </c>
      <c r="T77" s="444" t="s">
        <v>133</v>
      </c>
      <c r="U77" s="475" t="s">
        <v>482</v>
      </c>
      <c r="V77" s="446" t="s">
        <v>612</v>
      </c>
      <c r="W77" s="446" t="s">
        <v>74</v>
      </c>
      <c r="X77" s="447"/>
      <c r="Y77" s="447" t="s">
        <v>71</v>
      </c>
      <c r="Z77" s="447"/>
      <c r="AA77" s="447"/>
      <c r="AB77" s="447"/>
      <c r="AC77" s="447">
        <v>43494</v>
      </c>
      <c r="AD77" s="449">
        <v>4726</v>
      </c>
      <c r="AE77" s="450"/>
      <c r="AF77" s="451">
        <f t="shared" si="26"/>
        <v>4726</v>
      </c>
      <c r="AG77" s="449"/>
      <c r="AH77" s="452"/>
      <c r="AI77" s="450">
        <f>AF77</f>
        <v>4726</v>
      </c>
      <c r="AJ77" s="453">
        <f t="shared" si="23"/>
        <v>0</v>
      </c>
      <c r="AK77" s="454">
        <v>4726</v>
      </c>
      <c r="AL77" s="565">
        <v>4726</v>
      </c>
      <c r="AM77" s="449">
        <v>0</v>
      </c>
      <c r="AN77" s="450">
        <v>0</v>
      </c>
      <c r="AO77" s="451">
        <f t="shared" si="27"/>
        <v>0</v>
      </c>
      <c r="AP77" s="452">
        <v>0</v>
      </c>
      <c r="AQ77" s="453">
        <v>0</v>
      </c>
      <c r="AR77" s="455"/>
      <c r="AS77" s="456">
        <f t="shared" si="25"/>
        <v>0</v>
      </c>
      <c r="AT77" s="466"/>
      <c r="AV77" s="467"/>
    </row>
    <row r="78" spans="1:51" s="439" customFormat="1" ht="45" x14ac:dyDescent="0.25">
      <c r="A78" s="442" t="s">
        <v>479</v>
      </c>
      <c r="B78" s="442" t="s">
        <v>522</v>
      </c>
      <c r="C78" s="443"/>
      <c r="D78" s="444"/>
      <c r="E78" s="444"/>
      <c r="F78" s="444"/>
      <c r="G78" s="444"/>
      <c r="H78" s="444"/>
      <c r="I78" s="444"/>
      <c r="J78" s="444" t="s">
        <v>481</v>
      </c>
      <c r="K78" s="444"/>
      <c r="L78" s="444"/>
      <c r="M78" s="476">
        <v>43494</v>
      </c>
      <c r="N78" s="444" t="s">
        <v>621</v>
      </c>
      <c r="O78" s="444"/>
      <c r="P78" s="444"/>
      <c r="Q78" s="444"/>
      <c r="R78" s="444"/>
      <c r="S78" s="445" t="s">
        <v>26</v>
      </c>
      <c r="T78" s="444" t="s">
        <v>85</v>
      </c>
      <c r="U78" s="475" t="s">
        <v>483</v>
      </c>
      <c r="V78" s="446" t="s">
        <v>613</v>
      </c>
      <c r="W78" s="446" t="s">
        <v>74</v>
      </c>
      <c r="X78" s="447">
        <v>43494</v>
      </c>
      <c r="Y78" s="447" t="s">
        <v>71</v>
      </c>
      <c r="Z78" s="447"/>
      <c r="AA78" s="447">
        <f>X78+1</f>
        <v>43495</v>
      </c>
      <c r="AB78" s="447">
        <f t="shared" ref="AB78:AB95" si="28">+IF(X78="","",WORKDAY(X78,10))</f>
        <v>43508</v>
      </c>
      <c r="AC78" s="447">
        <v>43494</v>
      </c>
      <c r="AD78" s="449">
        <v>10758</v>
      </c>
      <c r="AE78" s="450"/>
      <c r="AF78" s="451">
        <f t="shared" si="26"/>
        <v>10758</v>
      </c>
      <c r="AG78" s="449"/>
      <c r="AH78" s="452"/>
      <c r="AI78" s="450" t="s">
        <v>964</v>
      </c>
      <c r="AJ78" s="453">
        <f t="shared" si="23"/>
        <v>10758</v>
      </c>
      <c r="AK78" s="454" t="s">
        <v>964</v>
      </c>
      <c r="AL78" s="565" t="s">
        <v>964</v>
      </c>
      <c r="AM78" s="449">
        <v>0</v>
      </c>
      <c r="AN78" s="450">
        <v>0</v>
      </c>
      <c r="AO78" s="451">
        <f t="shared" si="27"/>
        <v>0</v>
      </c>
      <c r="AP78" s="452">
        <v>0</v>
      </c>
      <c r="AQ78" s="453">
        <v>0</v>
      </c>
      <c r="AR78" s="455"/>
      <c r="AS78" s="456" t="e">
        <f t="shared" si="25"/>
        <v>#VALUE!</v>
      </c>
      <c r="AT78" s="466"/>
      <c r="AV78" s="467"/>
    </row>
    <row r="79" spans="1:51" s="439" customFormat="1" ht="60" x14ac:dyDescent="0.25">
      <c r="A79" s="442" t="s">
        <v>513</v>
      </c>
      <c r="B79" s="442" t="s">
        <v>833</v>
      </c>
      <c r="C79" s="443">
        <v>27</v>
      </c>
      <c r="D79" s="444" t="s">
        <v>796</v>
      </c>
      <c r="E79" s="444"/>
      <c r="F79" s="444"/>
      <c r="G79" s="444"/>
      <c r="H79" s="444"/>
      <c r="I79" s="444"/>
      <c r="J79" s="444" t="s">
        <v>755</v>
      </c>
      <c r="K79" s="444"/>
      <c r="L79" s="444"/>
      <c r="M79" s="476">
        <v>43578</v>
      </c>
      <c r="N79" s="444" t="s">
        <v>622</v>
      </c>
      <c r="O79" s="444"/>
      <c r="P79" s="444"/>
      <c r="Q79" s="444"/>
      <c r="R79" s="444"/>
      <c r="S79" s="445" t="s">
        <v>26</v>
      </c>
      <c r="T79" s="444" t="s">
        <v>133</v>
      </c>
      <c r="U79" s="475" t="s">
        <v>614</v>
      </c>
      <c r="V79" s="446" t="s">
        <v>514</v>
      </c>
      <c r="W79" s="446" t="s">
        <v>74</v>
      </c>
      <c r="X79" s="447">
        <v>43486</v>
      </c>
      <c r="Y79" s="447" t="s">
        <v>71</v>
      </c>
      <c r="Z79" s="447"/>
      <c r="AA79" s="447">
        <f>X79+1</f>
        <v>43487</v>
      </c>
      <c r="AB79" s="447">
        <f t="shared" si="28"/>
        <v>43500</v>
      </c>
      <c r="AC79" s="447" t="s">
        <v>1467</v>
      </c>
      <c r="AD79" s="449">
        <v>1540</v>
      </c>
      <c r="AE79" s="450"/>
      <c r="AF79" s="451">
        <f t="shared" si="26"/>
        <v>1540</v>
      </c>
      <c r="AG79" s="449"/>
      <c r="AH79" s="452"/>
      <c r="AI79" s="450">
        <f>AF79</f>
        <v>1540</v>
      </c>
      <c r="AJ79" s="453">
        <f t="shared" si="23"/>
        <v>0</v>
      </c>
      <c r="AK79" s="454">
        <v>1540</v>
      </c>
      <c r="AL79" s="565">
        <v>1540</v>
      </c>
      <c r="AM79" s="449">
        <v>0</v>
      </c>
      <c r="AN79" s="450">
        <v>0</v>
      </c>
      <c r="AO79" s="451">
        <f t="shared" si="27"/>
        <v>0</v>
      </c>
      <c r="AP79" s="452">
        <v>0</v>
      </c>
      <c r="AQ79" s="453">
        <v>0</v>
      </c>
      <c r="AR79" s="455"/>
      <c r="AS79" s="456">
        <f t="shared" si="25"/>
        <v>0</v>
      </c>
      <c r="AT79" s="466"/>
      <c r="AV79" s="467"/>
    </row>
    <row r="80" spans="1:51" s="439" customFormat="1" ht="45" x14ac:dyDescent="0.25">
      <c r="A80" s="442" t="s">
        <v>510</v>
      </c>
      <c r="B80" s="442" t="s">
        <v>833</v>
      </c>
      <c r="C80" s="443">
        <v>25</v>
      </c>
      <c r="D80" s="444" t="s">
        <v>633</v>
      </c>
      <c r="E80" s="444"/>
      <c r="F80" s="444"/>
      <c r="G80" s="444"/>
      <c r="H80" s="444"/>
      <c r="I80" s="444"/>
      <c r="J80" s="444" t="s">
        <v>1463</v>
      </c>
      <c r="K80" s="444"/>
      <c r="L80" s="444"/>
      <c r="M80" s="476">
        <v>43773</v>
      </c>
      <c r="N80" s="444" t="s">
        <v>622</v>
      </c>
      <c r="O80" s="444"/>
      <c r="P80" s="444"/>
      <c r="Q80" s="444"/>
      <c r="R80" s="444"/>
      <c r="S80" s="445" t="s">
        <v>26</v>
      </c>
      <c r="T80" s="444" t="s">
        <v>133</v>
      </c>
      <c r="U80" s="475" t="s">
        <v>511</v>
      </c>
      <c r="V80" s="446" t="s">
        <v>512</v>
      </c>
      <c r="W80" s="446" t="s">
        <v>74</v>
      </c>
      <c r="X80" s="447">
        <v>43484</v>
      </c>
      <c r="Y80" s="447" t="s">
        <v>71</v>
      </c>
      <c r="Z80" s="447"/>
      <c r="AA80" s="447">
        <f>X80+1</f>
        <v>43485</v>
      </c>
      <c r="AB80" s="447">
        <f t="shared" si="28"/>
        <v>43497</v>
      </c>
      <c r="AC80" s="447" t="s">
        <v>1471</v>
      </c>
      <c r="AD80" s="449">
        <v>14422.17</v>
      </c>
      <c r="AE80" s="450"/>
      <c r="AF80" s="451">
        <f t="shared" si="26"/>
        <v>14422.17</v>
      </c>
      <c r="AG80" s="449"/>
      <c r="AH80" s="452"/>
      <c r="AI80" s="450">
        <f>AF80</f>
        <v>14422.17</v>
      </c>
      <c r="AJ80" s="453"/>
      <c r="AK80" s="454">
        <f>AI80</f>
        <v>14422.17</v>
      </c>
      <c r="AL80" s="565">
        <v>14422.17</v>
      </c>
      <c r="AM80" s="449">
        <v>0</v>
      </c>
      <c r="AN80" s="450">
        <v>0</v>
      </c>
      <c r="AO80" s="451">
        <f t="shared" si="27"/>
        <v>0</v>
      </c>
      <c r="AP80" s="452">
        <v>0</v>
      </c>
      <c r="AQ80" s="453">
        <v>0</v>
      </c>
      <c r="AR80" s="455"/>
      <c r="AS80" s="456">
        <f t="shared" si="25"/>
        <v>0</v>
      </c>
      <c r="AT80" s="457"/>
      <c r="AV80" s="467"/>
    </row>
    <row r="81" spans="1:54" s="439" customFormat="1" ht="45" x14ac:dyDescent="0.25">
      <c r="A81" s="442" t="s">
        <v>508</v>
      </c>
      <c r="B81" s="442" t="s">
        <v>833</v>
      </c>
      <c r="C81" s="443">
        <v>31</v>
      </c>
      <c r="D81" s="444" t="s">
        <v>634</v>
      </c>
      <c r="E81" s="444"/>
      <c r="F81" s="444"/>
      <c r="G81" s="444"/>
      <c r="H81" s="444"/>
      <c r="I81" s="444"/>
      <c r="J81" s="444"/>
      <c r="K81" s="444"/>
      <c r="L81" s="444"/>
      <c r="M81" s="476">
        <v>43494</v>
      </c>
      <c r="N81" s="444" t="s">
        <v>622</v>
      </c>
      <c r="O81" s="444"/>
      <c r="P81" s="444"/>
      <c r="Q81" s="444"/>
      <c r="R81" s="444"/>
      <c r="S81" s="445" t="s">
        <v>26</v>
      </c>
      <c r="T81" s="444" t="s">
        <v>133</v>
      </c>
      <c r="U81" s="475" t="s">
        <v>509</v>
      </c>
      <c r="V81" s="446" t="s">
        <v>615</v>
      </c>
      <c r="W81" s="446" t="s">
        <v>74</v>
      </c>
      <c r="X81" s="447">
        <v>43494</v>
      </c>
      <c r="Y81" s="447" t="s">
        <v>71</v>
      </c>
      <c r="Z81" s="447"/>
      <c r="AA81" s="447">
        <f>X81+1</f>
        <v>43495</v>
      </c>
      <c r="AB81" s="447">
        <f t="shared" si="28"/>
        <v>43508</v>
      </c>
      <c r="AC81" s="447" t="s">
        <v>1472</v>
      </c>
      <c r="AD81" s="449">
        <v>1414.96</v>
      </c>
      <c r="AE81" s="450"/>
      <c r="AF81" s="451">
        <f t="shared" si="26"/>
        <v>1414.96</v>
      </c>
      <c r="AG81" s="449"/>
      <c r="AH81" s="452"/>
      <c r="AI81" s="450">
        <f>AF81</f>
        <v>1414.96</v>
      </c>
      <c r="AJ81" s="453">
        <f t="shared" ref="AJ81:AJ87" si="29">+AF81-SUM(AG81:AI81)</f>
        <v>0</v>
      </c>
      <c r="AK81" s="454">
        <v>1414.96</v>
      </c>
      <c r="AL81" s="565">
        <v>1414.96</v>
      </c>
      <c r="AM81" s="449">
        <v>0</v>
      </c>
      <c r="AN81" s="450">
        <v>0</v>
      </c>
      <c r="AO81" s="451">
        <f t="shared" si="27"/>
        <v>0</v>
      </c>
      <c r="AP81" s="452">
        <v>0</v>
      </c>
      <c r="AQ81" s="453">
        <v>0</v>
      </c>
      <c r="AR81" s="455"/>
      <c r="AS81" s="456">
        <f t="shared" si="25"/>
        <v>0</v>
      </c>
      <c r="AT81" s="466"/>
      <c r="AV81" s="467"/>
    </row>
    <row r="82" spans="1:54" s="439" customFormat="1" ht="75" x14ac:dyDescent="0.25">
      <c r="A82" s="442" t="s">
        <v>494</v>
      </c>
      <c r="B82" s="442" t="s">
        <v>833</v>
      </c>
      <c r="C82" s="443">
        <v>34</v>
      </c>
      <c r="D82" s="444" t="s">
        <v>632</v>
      </c>
      <c r="E82" s="444"/>
      <c r="F82" s="444"/>
      <c r="G82" s="444"/>
      <c r="H82" s="444"/>
      <c r="I82" s="444"/>
      <c r="J82" s="444" t="s">
        <v>495</v>
      </c>
      <c r="K82" s="444"/>
      <c r="L82" s="444"/>
      <c r="M82" s="476">
        <v>43517</v>
      </c>
      <c r="N82" s="444" t="s">
        <v>622</v>
      </c>
      <c r="O82" s="444"/>
      <c r="P82" s="444"/>
      <c r="Q82" s="444"/>
      <c r="R82" s="444"/>
      <c r="S82" s="445" t="s">
        <v>26</v>
      </c>
      <c r="T82" s="444" t="s">
        <v>133</v>
      </c>
      <c r="U82" s="475" t="s">
        <v>496</v>
      </c>
      <c r="V82" s="446" t="s">
        <v>497</v>
      </c>
      <c r="W82" s="446" t="s">
        <v>74</v>
      </c>
      <c r="X82" s="447">
        <v>43494</v>
      </c>
      <c r="Y82" s="447" t="s">
        <v>71</v>
      </c>
      <c r="Z82" s="447"/>
      <c r="AA82" s="447">
        <f>X82+1</f>
        <v>43495</v>
      </c>
      <c r="AB82" s="447">
        <f t="shared" si="28"/>
        <v>43508</v>
      </c>
      <c r="AC82" s="447">
        <v>43497</v>
      </c>
      <c r="AD82" s="449">
        <v>6400</v>
      </c>
      <c r="AE82" s="450"/>
      <c r="AF82" s="451">
        <f t="shared" si="26"/>
        <v>6400</v>
      </c>
      <c r="AG82" s="449"/>
      <c r="AH82" s="452"/>
      <c r="AI82" s="450">
        <f>AF82</f>
        <v>6400</v>
      </c>
      <c r="AJ82" s="453">
        <f t="shared" si="29"/>
        <v>0</v>
      </c>
      <c r="AK82" s="454">
        <v>6400</v>
      </c>
      <c r="AL82" s="565">
        <v>6400</v>
      </c>
      <c r="AM82" s="449">
        <v>0</v>
      </c>
      <c r="AN82" s="450">
        <v>0</v>
      </c>
      <c r="AO82" s="451">
        <f t="shared" si="27"/>
        <v>0</v>
      </c>
      <c r="AP82" s="452">
        <v>0</v>
      </c>
      <c r="AQ82" s="453">
        <v>0</v>
      </c>
      <c r="AR82" s="455"/>
      <c r="AS82" s="456">
        <f t="shared" si="25"/>
        <v>0</v>
      </c>
      <c r="AT82" s="466"/>
      <c r="AV82" s="467"/>
    </row>
    <row r="83" spans="1:54" s="439" customFormat="1" ht="78.75" customHeight="1" x14ac:dyDescent="0.25">
      <c r="A83" s="442" t="s">
        <v>506</v>
      </c>
      <c r="B83" s="442" t="s">
        <v>124</v>
      </c>
      <c r="C83" s="443"/>
      <c r="D83" s="444" t="s">
        <v>624</v>
      </c>
      <c r="E83" s="444"/>
      <c r="F83" s="444"/>
      <c r="G83" s="444"/>
      <c r="H83" s="444"/>
      <c r="I83" s="444"/>
      <c r="J83" s="444" t="s">
        <v>768</v>
      </c>
      <c r="K83" s="444"/>
      <c r="L83" s="444"/>
      <c r="M83" s="476">
        <v>43571</v>
      </c>
      <c r="N83" s="444" t="s">
        <v>621</v>
      </c>
      <c r="O83" s="444"/>
      <c r="P83" s="444"/>
      <c r="Q83" s="444"/>
      <c r="R83" s="444"/>
      <c r="S83" s="445" t="s">
        <v>68</v>
      </c>
      <c r="T83" s="444" t="s">
        <v>85</v>
      </c>
      <c r="U83" s="475" t="s">
        <v>325</v>
      </c>
      <c r="V83" s="446" t="s">
        <v>616</v>
      </c>
      <c r="W83" s="446" t="s">
        <v>74</v>
      </c>
      <c r="X83" s="447">
        <v>43378</v>
      </c>
      <c r="Y83" s="447" t="s">
        <v>71</v>
      </c>
      <c r="Z83" s="447"/>
      <c r="AA83" s="447">
        <f>+IF(X83="","",WORKDAY(X83,5))</f>
        <v>43385</v>
      </c>
      <c r="AB83" s="447">
        <f t="shared" si="28"/>
        <v>43392</v>
      </c>
      <c r="AC83" s="447">
        <v>43502</v>
      </c>
      <c r="AD83" s="449">
        <v>1418214.3254999998</v>
      </c>
      <c r="AE83" s="450">
        <f>-AD83</f>
        <v>-1418214.3254999998</v>
      </c>
      <c r="AF83" s="451">
        <f t="shared" si="26"/>
        <v>0</v>
      </c>
      <c r="AG83" s="449"/>
      <c r="AH83" s="452"/>
      <c r="AI83" s="450"/>
      <c r="AJ83" s="453">
        <f t="shared" si="29"/>
        <v>0</v>
      </c>
      <c r="AK83" s="454">
        <v>0</v>
      </c>
      <c r="AL83" s="565">
        <v>0</v>
      </c>
      <c r="AM83" s="449">
        <v>0</v>
      </c>
      <c r="AN83" s="450">
        <v>0</v>
      </c>
      <c r="AO83" s="451">
        <f t="shared" si="27"/>
        <v>0</v>
      </c>
      <c r="AP83" s="452">
        <v>0</v>
      </c>
      <c r="AQ83" s="453">
        <v>0</v>
      </c>
      <c r="AR83" s="455"/>
      <c r="AS83" s="456">
        <f t="shared" si="25"/>
        <v>0</v>
      </c>
      <c r="AT83" s="457"/>
      <c r="AU83" s="439">
        <v>81.27</v>
      </c>
      <c r="AV83" s="467">
        <v>23905</v>
      </c>
      <c r="AW83" s="439" t="s">
        <v>758</v>
      </c>
      <c r="AX83" s="482">
        <v>0.73</v>
      </c>
      <c r="AY83" s="439" t="s">
        <v>759</v>
      </c>
    </row>
    <row r="84" spans="1:54" s="439" customFormat="1" ht="90" customHeight="1" x14ac:dyDescent="0.25">
      <c r="A84" s="442" t="s">
        <v>515</v>
      </c>
      <c r="B84" s="442" t="s">
        <v>64</v>
      </c>
      <c r="C84" s="443"/>
      <c r="D84" s="444" t="s">
        <v>623</v>
      </c>
      <c r="E84" s="444"/>
      <c r="F84" s="444"/>
      <c r="G84" s="444"/>
      <c r="H84" s="444"/>
      <c r="I84" s="444"/>
      <c r="J84" s="444" t="s">
        <v>530</v>
      </c>
      <c r="K84" s="444"/>
      <c r="L84" s="444"/>
      <c r="M84" s="476">
        <v>43507</v>
      </c>
      <c r="N84" s="444" t="s">
        <v>622</v>
      </c>
      <c r="O84" s="444"/>
      <c r="P84" s="444"/>
      <c r="Q84" s="444"/>
      <c r="R84" s="444"/>
      <c r="S84" s="445" t="s">
        <v>48</v>
      </c>
      <c r="T84" s="444" t="s">
        <v>85</v>
      </c>
      <c r="U84" s="475" t="s">
        <v>516</v>
      </c>
      <c r="V84" s="446" t="s">
        <v>517</v>
      </c>
      <c r="W84" s="446" t="s">
        <v>74</v>
      </c>
      <c r="X84" s="447">
        <v>43496</v>
      </c>
      <c r="Y84" s="447" t="s">
        <v>71</v>
      </c>
      <c r="Z84" s="447"/>
      <c r="AA84" s="447">
        <f t="shared" ref="AA84:AA95" si="30">X84+1</f>
        <v>43497</v>
      </c>
      <c r="AB84" s="447">
        <f t="shared" si="28"/>
        <v>43510</v>
      </c>
      <c r="AC84" s="447">
        <v>43503</v>
      </c>
      <c r="AD84" s="449" t="s">
        <v>64</v>
      </c>
      <c r="AE84" s="450"/>
      <c r="AF84" s="451">
        <f t="shared" si="26"/>
        <v>0</v>
      </c>
      <c r="AG84" s="449"/>
      <c r="AH84" s="452"/>
      <c r="AI84" s="450"/>
      <c r="AJ84" s="453">
        <f t="shared" si="29"/>
        <v>0</v>
      </c>
      <c r="AK84" s="454">
        <v>0</v>
      </c>
      <c r="AL84" s="565">
        <v>0</v>
      </c>
      <c r="AM84" s="449">
        <v>0</v>
      </c>
      <c r="AN84" s="450">
        <v>0</v>
      </c>
      <c r="AO84" s="451">
        <f t="shared" si="27"/>
        <v>0</v>
      </c>
      <c r="AP84" s="452">
        <v>0</v>
      </c>
      <c r="AQ84" s="453">
        <v>0</v>
      </c>
      <c r="AR84" s="455"/>
      <c r="AS84" s="456">
        <f t="shared" si="25"/>
        <v>0</v>
      </c>
      <c r="AT84" s="457"/>
      <c r="AU84" s="483"/>
      <c r="AV84" s="483"/>
      <c r="AW84" s="483"/>
      <c r="AX84" s="483"/>
      <c r="AY84" s="483"/>
      <c r="AZ84" s="483"/>
      <c r="BA84" s="483"/>
      <c r="BB84" s="483"/>
    </row>
    <row r="85" spans="1:54" s="439" customFormat="1" ht="90" x14ac:dyDescent="0.25">
      <c r="A85" s="442" t="s">
        <v>523</v>
      </c>
      <c r="B85" s="442" t="s">
        <v>833</v>
      </c>
      <c r="C85" s="443"/>
      <c r="D85" s="444" t="s">
        <v>832</v>
      </c>
      <c r="E85" s="444"/>
      <c r="F85" s="444"/>
      <c r="G85" s="444"/>
      <c r="H85" s="444"/>
      <c r="I85" s="444"/>
      <c r="J85" s="444" t="s">
        <v>524</v>
      </c>
      <c r="K85" s="444"/>
      <c r="L85" s="444"/>
      <c r="M85" s="476">
        <v>43578</v>
      </c>
      <c r="N85" s="444" t="s">
        <v>622</v>
      </c>
      <c r="O85" s="444"/>
      <c r="P85" s="444"/>
      <c r="Q85" s="444"/>
      <c r="R85" s="444"/>
      <c r="S85" s="445" t="s">
        <v>26</v>
      </c>
      <c r="T85" s="444" t="s">
        <v>85</v>
      </c>
      <c r="U85" s="475" t="s">
        <v>525</v>
      </c>
      <c r="V85" s="446" t="s">
        <v>526</v>
      </c>
      <c r="W85" s="446" t="s">
        <v>74</v>
      </c>
      <c r="X85" s="447">
        <v>43496</v>
      </c>
      <c r="Y85" s="447" t="s">
        <v>71</v>
      </c>
      <c r="Z85" s="447"/>
      <c r="AA85" s="447">
        <f t="shared" si="30"/>
        <v>43497</v>
      </c>
      <c r="AB85" s="447">
        <f t="shared" si="28"/>
        <v>43510</v>
      </c>
      <c r="AC85" s="447">
        <v>43509</v>
      </c>
      <c r="AD85" s="449">
        <v>15257.15</v>
      </c>
      <c r="AE85" s="450"/>
      <c r="AF85" s="451">
        <f t="shared" si="26"/>
        <v>15257.15</v>
      </c>
      <c r="AG85" s="449"/>
      <c r="AH85" s="452"/>
      <c r="AI85" s="450">
        <f>AF85</f>
        <v>15257.15</v>
      </c>
      <c r="AJ85" s="453">
        <f t="shared" si="29"/>
        <v>0</v>
      </c>
      <c r="AK85" s="454">
        <v>3257.15</v>
      </c>
      <c r="AL85" s="565">
        <v>3257.15</v>
      </c>
      <c r="AM85" s="449">
        <v>0</v>
      </c>
      <c r="AN85" s="450">
        <v>0</v>
      </c>
      <c r="AO85" s="451">
        <f t="shared" si="27"/>
        <v>0</v>
      </c>
      <c r="AP85" s="452">
        <v>0</v>
      </c>
      <c r="AQ85" s="453">
        <v>0</v>
      </c>
      <c r="AR85" s="455"/>
      <c r="AS85" s="456">
        <f t="shared" si="25"/>
        <v>0</v>
      </c>
      <c r="AT85" s="466"/>
      <c r="AU85" s="483"/>
      <c r="AV85" s="483"/>
      <c r="AW85" s="483"/>
      <c r="AX85" s="483"/>
      <c r="AY85" s="483"/>
      <c r="AZ85" s="483"/>
      <c r="BA85" s="483"/>
      <c r="BB85" s="483"/>
    </row>
    <row r="86" spans="1:54" s="439" customFormat="1" ht="60" x14ac:dyDescent="0.25">
      <c r="A86" s="442" t="s">
        <v>539</v>
      </c>
      <c r="B86" s="442" t="s">
        <v>1085</v>
      </c>
      <c r="C86" s="443"/>
      <c r="D86" s="444"/>
      <c r="E86" s="444"/>
      <c r="F86" s="444"/>
      <c r="G86" s="444"/>
      <c r="H86" s="444"/>
      <c r="I86" s="444"/>
      <c r="J86" s="444" t="s">
        <v>684</v>
      </c>
      <c r="K86" s="444"/>
      <c r="L86" s="444"/>
      <c r="M86" s="476">
        <v>43564</v>
      </c>
      <c r="N86" s="444" t="s">
        <v>621</v>
      </c>
      <c r="O86" s="444"/>
      <c r="P86" s="444"/>
      <c r="Q86" s="444"/>
      <c r="R86" s="444"/>
      <c r="S86" s="445" t="s">
        <v>26</v>
      </c>
      <c r="T86" s="444" t="s">
        <v>85</v>
      </c>
      <c r="U86" s="475" t="s">
        <v>542</v>
      </c>
      <c r="V86" s="446" t="s">
        <v>544</v>
      </c>
      <c r="W86" s="446" t="s">
        <v>74</v>
      </c>
      <c r="X86" s="447">
        <v>43508</v>
      </c>
      <c r="Y86" s="447" t="s">
        <v>71</v>
      </c>
      <c r="Z86" s="447"/>
      <c r="AA86" s="447">
        <f t="shared" si="30"/>
        <v>43509</v>
      </c>
      <c r="AB86" s="447">
        <f t="shared" si="28"/>
        <v>43522</v>
      </c>
      <c r="AC86" s="447">
        <v>43515</v>
      </c>
      <c r="AD86" s="449">
        <v>71027.25</v>
      </c>
      <c r="AE86" s="450">
        <f>+AK86-AD86</f>
        <v>-28602</v>
      </c>
      <c r="AF86" s="451">
        <f t="shared" si="26"/>
        <v>42425.25</v>
      </c>
      <c r="AG86" s="449"/>
      <c r="AH86" s="452"/>
      <c r="AI86" s="450">
        <f>AF86</f>
        <v>42425.25</v>
      </c>
      <c r="AJ86" s="453">
        <f t="shared" si="29"/>
        <v>0</v>
      </c>
      <c r="AK86" s="454">
        <v>42425.25</v>
      </c>
      <c r="AL86" s="565">
        <v>42425.25</v>
      </c>
      <c r="AM86" s="449"/>
      <c r="AN86" s="450">
        <v>0</v>
      </c>
      <c r="AO86" s="451">
        <f t="shared" si="27"/>
        <v>0</v>
      </c>
      <c r="AP86" s="452">
        <v>0</v>
      </c>
      <c r="AQ86" s="453">
        <v>0</v>
      </c>
      <c r="AR86" s="455"/>
      <c r="AS86" s="456">
        <f t="shared" si="25"/>
        <v>0</v>
      </c>
      <c r="AT86" s="457" t="s">
        <v>1012</v>
      </c>
      <c r="AU86" s="483"/>
      <c r="AV86" s="483"/>
      <c r="AW86" s="483"/>
      <c r="AX86" s="483"/>
      <c r="AY86" s="483"/>
      <c r="AZ86" s="483"/>
      <c r="BA86" s="483"/>
      <c r="BB86" s="483"/>
    </row>
    <row r="87" spans="1:54" s="439" customFormat="1" ht="30" x14ac:dyDescent="0.25">
      <c r="A87" s="442" t="s">
        <v>540</v>
      </c>
      <c r="B87" s="442" t="s">
        <v>1298</v>
      </c>
      <c r="C87" s="443"/>
      <c r="D87" s="444" t="s">
        <v>695</v>
      </c>
      <c r="E87" s="444"/>
      <c r="F87" s="444"/>
      <c r="G87" s="444"/>
      <c r="H87" s="444"/>
      <c r="I87" s="444"/>
      <c r="J87" s="444" t="s">
        <v>545</v>
      </c>
      <c r="K87" s="444"/>
      <c r="L87" s="444"/>
      <c r="M87" s="476">
        <v>43564</v>
      </c>
      <c r="N87" s="444" t="s">
        <v>622</v>
      </c>
      <c r="O87" s="444"/>
      <c r="P87" s="444"/>
      <c r="Q87" s="444"/>
      <c r="R87" s="444"/>
      <c r="S87" s="445" t="s">
        <v>26</v>
      </c>
      <c r="T87" s="444" t="s">
        <v>1262</v>
      </c>
      <c r="U87" s="475" t="s">
        <v>543</v>
      </c>
      <c r="V87" s="446" t="s">
        <v>1317</v>
      </c>
      <c r="W87" s="446" t="s">
        <v>74</v>
      </c>
      <c r="X87" s="447">
        <v>43508</v>
      </c>
      <c r="Y87" s="447" t="s">
        <v>71</v>
      </c>
      <c r="Z87" s="447"/>
      <c r="AA87" s="447">
        <f t="shared" si="30"/>
        <v>43509</v>
      </c>
      <c r="AB87" s="447">
        <f t="shared" si="28"/>
        <v>43522</v>
      </c>
      <c r="AC87" s="447">
        <v>43515</v>
      </c>
      <c r="AD87" s="449">
        <v>448406</v>
      </c>
      <c r="AE87" s="450">
        <v>0</v>
      </c>
      <c r="AF87" s="451">
        <f t="shared" si="26"/>
        <v>448406</v>
      </c>
      <c r="AG87" s="449">
        <f>AF87</f>
        <v>448406</v>
      </c>
      <c r="AH87" s="452"/>
      <c r="AI87" s="450"/>
      <c r="AJ87" s="453">
        <f t="shared" si="29"/>
        <v>0</v>
      </c>
      <c r="AK87" s="454">
        <f>AG87</f>
        <v>448406</v>
      </c>
      <c r="AL87" s="565">
        <v>448406</v>
      </c>
      <c r="AM87" s="449">
        <v>0</v>
      </c>
      <c r="AN87" s="450">
        <v>0</v>
      </c>
      <c r="AO87" s="451">
        <f t="shared" si="27"/>
        <v>0</v>
      </c>
      <c r="AP87" s="452">
        <v>0</v>
      </c>
      <c r="AQ87" s="453">
        <v>0</v>
      </c>
      <c r="AR87" s="455"/>
      <c r="AS87" s="456">
        <f t="shared" si="25"/>
        <v>0</v>
      </c>
      <c r="AT87" s="457" t="s">
        <v>1012</v>
      </c>
      <c r="AU87" s="483"/>
      <c r="AV87" s="483"/>
      <c r="AW87" s="483">
        <v>2489148</v>
      </c>
      <c r="AX87" s="483"/>
      <c r="AY87" s="483"/>
      <c r="AZ87" s="483"/>
      <c r="BA87" s="483"/>
      <c r="BB87" s="483"/>
    </row>
    <row r="88" spans="1:54" s="439" customFormat="1" ht="30" x14ac:dyDescent="0.25">
      <c r="A88" s="442" t="s">
        <v>1423</v>
      </c>
      <c r="B88" s="442" t="s">
        <v>1298</v>
      </c>
      <c r="C88" s="443"/>
      <c r="D88" s="444" t="s">
        <v>695</v>
      </c>
      <c r="E88" s="444"/>
      <c r="F88" s="444"/>
      <c r="G88" s="444"/>
      <c r="H88" s="444"/>
      <c r="I88" s="444"/>
      <c r="J88" s="444" t="s">
        <v>545</v>
      </c>
      <c r="K88" s="444"/>
      <c r="L88" s="444"/>
      <c r="M88" s="476">
        <v>43564</v>
      </c>
      <c r="N88" s="444" t="s">
        <v>622</v>
      </c>
      <c r="O88" s="444"/>
      <c r="P88" s="444"/>
      <c r="Q88" s="444"/>
      <c r="R88" s="444"/>
      <c r="S88" s="523" t="s">
        <v>26</v>
      </c>
      <c r="T88" s="444" t="s">
        <v>1262</v>
      </c>
      <c r="U88" s="475" t="s">
        <v>543</v>
      </c>
      <c r="V88" s="446" t="s">
        <v>1317</v>
      </c>
      <c r="W88" s="446" t="s">
        <v>74</v>
      </c>
      <c r="X88" s="447">
        <v>43508</v>
      </c>
      <c r="Y88" s="447" t="s">
        <v>71</v>
      </c>
      <c r="Z88" s="447"/>
      <c r="AA88" s="447">
        <f t="shared" si="30"/>
        <v>43509</v>
      </c>
      <c r="AB88" s="447">
        <f t="shared" si="28"/>
        <v>43522</v>
      </c>
      <c r="AC88" s="447">
        <v>43515</v>
      </c>
      <c r="AD88" s="449">
        <f>742134.42-AD87</f>
        <v>293728.42000000004</v>
      </c>
      <c r="AE88" s="450">
        <v>0</v>
      </c>
      <c r="AF88" s="451">
        <f t="shared" si="26"/>
        <v>293728.42000000004</v>
      </c>
      <c r="AG88" s="449">
        <v>265812.42</v>
      </c>
      <c r="AH88" s="484"/>
      <c r="AI88" s="450"/>
      <c r="AJ88" s="453">
        <v>0</v>
      </c>
      <c r="AK88" s="454">
        <f>AG88</f>
        <v>265812.42</v>
      </c>
      <c r="AL88" s="565">
        <v>265812.42</v>
      </c>
      <c r="AM88" s="449">
        <v>0</v>
      </c>
      <c r="AN88" s="450">
        <v>0</v>
      </c>
      <c r="AO88" s="451">
        <f t="shared" si="27"/>
        <v>0</v>
      </c>
      <c r="AP88" s="452">
        <v>0</v>
      </c>
      <c r="AQ88" s="453">
        <v>0</v>
      </c>
      <c r="AR88" s="462"/>
      <c r="AS88" s="456">
        <f t="shared" si="25"/>
        <v>0</v>
      </c>
      <c r="AT88" s="457" t="s">
        <v>1012</v>
      </c>
      <c r="AU88" s="483"/>
      <c r="AV88" s="483"/>
      <c r="AW88" s="483">
        <v>2489148</v>
      </c>
      <c r="AX88" s="483"/>
      <c r="AY88" s="483"/>
      <c r="AZ88" s="483"/>
      <c r="BA88" s="483"/>
      <c r="BB88" s="463">
        <f>(AM88+AN88)-AO88</f>
        <v>0</v>
      </c>
    </row>
    <row r="89" spans="1:54" s="439" customFormat="1" ht="78.75" customHeight="1" x14ac:dyDescent="0.25">
      <c r="A89" s="442" t="s">
        <v>541</v>
      </c>
      <c r="B89" s="442" t="s">
        <v>124</v>
      </c>
      <c r="C89" s="443"/>
      <c r="D89" s="444" t="s">
        <v>739</v>
      </c>
      <c r="E89" s="444"/>
      <c r="F89" s="444"/>
      <c r="G89" s="444"/>
      <c r="H89" s="444"/>
      <c r="I89" s="444"/>
      <c r="J89" s="444" t="s">
        <v>556</v>
      </c>
      <c r="K89" s="444"/>
      <c r="L89" s="444"/>
      <c r="M89" s="476">
        <v>43558</v>
      </c>
      <c r="N89" s="444" t="s">
        <v>621</v>
      </c>
      <c r="O89" s="444" t="s">
        <v>621</v>
      </c>
      <c r="P89" s="444"/>
      <c r="Q89" s="444" t="s">
        <v>741</v>
      </c>
      <c r="R89" s="444"/>
      <c r="S89" s="445" t="s">
        <v>143</v>
      </c>
      <c r="T89" s="444" t="s">
        <v>85</v>
      </c>
      <c r="U89" s="475" t="s">
        <v>1480</v>
      </c>
      <c r="V89" s="446" t="s">
        <v>617</v>
      </c>
      <c r="W89" s="446" t="s">
        <v>74</v>
      </c>
      <c r="X89" s="447">
        <v>43516</v>
      </c>
      <c r="Y89" s="447" t="s">
        <v>71</v>
      </c>
      <c r="Z89" s="447"/>
      <c r="AA89" s="447">
        <f t="shared" si="30"/>
        <v>43517</v>
      </c>
      <c r="AB89" s="447">
        <f t="shared" si="28"/>
        <v>43530</v>
      </c>
      <c r="AC89" s="447">
        <v>43509</v>
      </c>
      <c r="AD89" s="449" t="s">
        <v>124</v>
      </c>
      <c r="AE89" s="450"/>
      <c r="AF89" s="451">
        <f t="shared" si="26"/>
        <v>0</v>
      </c>
      <c r="AG89" s="485"/>
      <c r="AH89" s="452"/>
      <c r="AI89" s="450"/>
      <c r="AJ89" s="453">
        <f t="shared" ref="AJ89:AJ94" si="31">+AF89-SUM(AG89:AI89)</f>
        <v>0</v>
      </c>
      <c r="AK89" s="454">
        <v>0</v>
      </c>
      <c r="AL89" s="565">
        <v>0</v>
      </c>
      <c r="AM89" s="449">
        <v>0</v>
      </c>
      <c r="AN89" s="450">
        <v>0</v>
      </c>
      <c r="AO89" s="451">
        <f t="shared" si="27"/>
        <v>0</v>
      </c>
      <c r="AP89" s="452">
        <v>0</v>
      </c>
      <c r="AQ89" s="453">
        <v>0</v>
      </c>
      <c r="AR89" s="455"/>
      <c r="AS89" s="456">
        <f t="shared" si="25"/>
        <v>0</v>
      </c>
      <c r="AT89" s="457"/>
      <c r="AV89" s="467"/>
      <c r="AW89" s="439">
        <v>120</v>
      </c>
      <c r="AY89" s="439" t="s">
        <v>558</v>
      </c>
    </row>
    <row r="90" spans="1:54" s="439" customFormat="1" ht="78.75" customHeight="1" x14ac:dyDescent="0.25">
      <c r="A90" s="442" t="s">
        <v>1331</v>
      </c>
      <c r="B90" s="442" t="s">
        <v>124</v>
      </c>
      <c r="C90" s="443"/>
      <c r="D90" s="444" t="s">
        <v>739</v>
      </c>
      <c r="E90" s="444"/>
      <c r="F90" s="444"/>
      <c r="G90" s="444"/>
      <c r="H90" s="444"/>
      <c r="I90" s="444"/>
      <c r="J90" s="444" t="s">
        <v>1397</v>
      </c>
      <c r="K90" s="444"/>
      <c r="L90" s="444"/>
      <c r="M90" s="476">
        <v>43721</v>
      </c>
      <c r="N90" s="444" t="s">
        <v>621</v>
      </c>
      <c r="O90" s="444" t="s">
        <v>621</v>
      </c>
      <c r="P90" s="444"/>
      <c r="Q90" s="444"/>
      <c r="R90" s="444"/>
      <c r="S90" s="445" t="s">
        <v>26</v>
      </c>
      <c r="T90" s="444" t="s">
        <v>85</v>
      </c>
      <c r="U90" s="475" t="s">
        <v>1332</v>
      </c>
      <c r="V90" s="446" t="s">
        <v>1481</v>
      </c>
      <c r="W90" s="446" t="s">
        <v>74</v>
      </c>
      <c r="X90" s="447">
        <v>43516</v>
      </c>
      <c r="Y90" s="447" t="s">
        <v>71</v>
      </c>
      <c r="Z90" s="447"/>
      <c r="AA90" s="447">
        <f t="shared" si="30"/>
        <v>43517</v>
      </c>
      <c r="AB90" s="447">
        <f t="shared" si="28"/>
        <v>43530</v>
      </c>
      <c r="AC90" s="447">
        <v>43509</v>
      </c>
      <c r="AD90" s="449">
        <v>42869.91</v>
      </c>
      <c r="AE90" s="450"/>
      <c r="AF90" s="451">
        <f t="shared" si="26"/>
        <v>42869.91</v>
      </c>
      <c r="AG90" s="449"/>
      <c r="AH90" s="452"/>
      <c r="AI90" s="450">
        <v>30264.52</v>
      </c>
      <c r="AJ90" s="453">
        <f t="shared" si="31"/>
        <v>12605.390000000003</v>
      </c>
      <c r="AK90" s="454">
        <f>AI90</f>
        <v>30264.52</v>
      </c>
      <c r="AL90" s="565">
        <v>30264.52</v>
      </c>
      <c r="AM90" s="449">
        <v>0</v>
      </c>
      <c r="AN90" s="450">
        <v>0</v>
      </c>
      <c r="AO90" s="451">
        <f t="shared" si="27"/>
        <v>0</v>
      </c>
      <c r="AP90" s="452">
        <v>0</v>
      </c>
      <c r="AQ90" s="453">
        <v>0</v>
      </c>
      <c r="AR90" s="462"/>
      <c r="AS90" s="456">
        <f t="shared" si="25"/>
        <v>0</v>
      </c>
      <c r="AT90" s="457"/>
      <c r="AV90" s="467"/>
      <c r="AW90" s="439">
        <v>120</v>
      </c>
      <c r="AY90" s="439" t="s">
        <v>558</v>
      </c>
      <c r="BB90" s="463">
        <f>(AM90+AN90)-AO90</f>
        <v>0</v>
      </c>
    </row>
    <row r="91" spans="1:54" s="439" customFormat="1" ht="78.75" customHeight="1" x14ac:dyDescent="0.25">
      <c r="A91" s="442" t="s">
        <v>561</v>
      </c>
      <c r="B91" s="442" t="s">
        <v>124</v>
      </c>
      <c r="C91" s="443"/>
      <c r="D91" s="444" t="s">
        <v>902</v>
      </c>
      <c r="E91" s="444"/>
      <c r="F91" s="444"/>
      <c r="G91" s="444"/>
      <c r="H91" s="444"/>
      <c r="I91" s="444"/>
      <c r="J91" s="444" t="s">
        <v>901</v>
      </c>
      <c r="K91" s="444"/>
      <c r="L91" s="444"/>
      <c r="M91" s="476">
        <v>43623</v>
      </c>
      <c r="N91" s="444" t="s">
        <v>622</v>
      </c>
      <c r="O91" s="444" t="s">
        <v>622</v>
      </c>
      <c r="P91" s="442" t="s">
        <v>1883</v>
      </c>
      <c r="Q91" s="444"/>
      <c r="R91" s="444"/>
      <c r="S91" s="445" t="s">
        <v>26</v>
      </c>
      <c r="T91" s="444" t="s">
        <v>1262</v>
      </c>
      <c r="U91" s="475" t="s">
        <v>562</v>
      </c>
      <c r="V91" s="446" t="s">
        <v>563</v>
      </c>
      <c r="W91" s="446" t="s">
        <v>74</v>
      </c>
      <c r="X91" s="447">
        <v>43525</v>
      </c>
      <c r="Y91" s="447" t="s">
        <v>71</v>
      </c>
      <c r="Z91" s="447"/>
      <c r="AA91" s="447">
        <f t="shared" si="30"/>
        <v>43526</v>
      </c>
      <c r="AB91" s="447">
        <f t="shared" si="28"/>
        <v>43539</v>
      </c>
      <c r="AC91" s="447">
        <v>43529</v>
      </c>
      <c r="AD91" s="449">
        <v>400000</v>
      </c>
      <c r="AE91" s="450"/>
      <c r="AF91" s="451">
        <f t="shared" si="26"/>
        <v>400000</v>
      </c>
      <c r="AG91" s="449">
        <v>400000</v>
      </c>
      <c r="AH91" s="452"/>
      <c r="AI91" s="450"/>
      <c r="AJ91" s="453">
        <f t="shared" si="31"/>
        <v>0</v>
      </c>
      <c r="AK91" s="454">
        <v>400000</v>
      </c>
      <c r="AL91" s="565">
        <v>400000</v>
      </c>
      <c r="AM91" s="449">
        <v>0</v>
      </c>
      <c r="AN91" s="450">
        <v>0</v>
      </c>
      <c r="AO91" s="451">
        <f t="shared" si="27"/>
        <v>0</v>
      </c>
      <c r="AP91" s="452">
        <v>0</v>
      </c>
      <c r="AQ91" s="453">
        <v>0</v>
      </c>
      <c r="AR91" s="455"/>
      <c r="AS91" s="456">
        <f t="shared" si="25"/>
        <v>0</v>
      </c>
      <c r="AT91" s="457"/>
      <c r="AV91" s="467"/>
    </row>
    <row r="92" spans="1:54" s="439" customFormat="1" ht="78.75" customHeight="1" x14ac:dyDescent="0.25">
      <c r="A92" s="442" t="s">
        <v>564</v>
      </c>
      <c r="B92" s="442" t="s">
        <v>1545</v>
      </c>
      <c r="C92" s="443"/>
      <c r="D92" s="444"/>
      <c r="E92" s="444"/>
      <c r="F92" s="444"/>
      <c r="G92" s="444"/>
      <c r="H92" s="444"/>
      <c r="I92" s="444"/>
      <c r="J92" s="444" t="s">
        <v>1326</v>
      </c>
      <c r="K92" s="444"/>
      <c r="L92" s="444"/>
      <c r="M92" s="476">
        <v>43532</v>
      </c>
      <c r="N92" s="444" t="s">
        <v>621</v>
      </c>
      <c r="O92" s="444"/>
      <c r="P92" s="444"/>
      <c r="Q92" s="444"/>
      <c r="R92" s="444"/>
      <c r="S92" s="445" t="s">
        <v>26</v>
      </c>
      <c r="T92" s="444" t="s">
        <v>1262</v>
      </c>
      <c r="U92" s="475" t="s">
        <v>565</v>
      </c>
      <c r="V92" s="446" t="s">
        <v>618</v>
      </c>
      <c r="W92" s="446" t="s">
        <v>74</v>
      </c>
      <c r="X92" s="447">
        <v>43526</v>
      </c>
      <c r="Y92" s="447" t="s">
        <v>71</v>
      </c>
      <c r="Z92" s="447"/>
      <c r="AA92" s="447">
        <f t="shared" si="30"/>
        <v>43527</v>
      </c>
      <c r="AB92" s="447">
        <f t="shared" si="28"/>
        <v>43539</v>
      </c>
      <c r="AC92" s="447">
        <v>43167</v>
      </c>
      <c r="AD92" s="449">
        <v>217998.09</v>
      </c>
      <c r="AE92" s="450"/>
      <c r="AF92" s="451">
        <f t="shared" si="26"/>
        <v>217998.09</v>
      </c>
      <c r="AG92" s="449">
        <v>217998.09</v>
      </c>
      <c r="AH92" s="452"/>
      <c r="AI92" s="450"/>
      <c r="AJ92" s="453">
        <f t="shared" si="31"/>
        <v>0</v>
      </c>
      <c r="AK92" s="454">
        <f>AG92</f>
        <v>217998.09</v>
      </c>
      <c r="AL92" s="565">
        <v>217998.09</v>
      </c>
      <c r="AM92" s="449">
        <v>0</v>
      </c>
      <c r="AN92" s="450">
        <v>0</v>
      </c>
      <c r="AO92" s="451">
        <f t="shared" si="27"/>
        <v>0</v>
      </c>
      <c r="AP92" s="452">
        <v>0</v>
      </c>
      <c r="AQ92" s="453">
        <v>0</v>
      </c>
      <c r="AR92" s="462"/>
      <c r="AS92" s="456">
        <f t="shared" si="25"/>
        <v>0</v>
      </c>
      <c r="AT92" s="457" t="s">
        <v>1012</v>
      </c>
      <c r="AV92" s="486"/>
      <c r="AX92" s="463">
        <f>(AP92+AQ92)-(AO92)</f>
        <v>0</v>
      </c>
      <c r="BB92" s="463">
        <f>(AM92+AN92)-AO92</f>
        <v>0</v>
      </c>
    </row>
    <row r="93" spans="1:54" s="439" customFormat="1" ht="78.75" customHeight="1" x14ac:dyDescent="0.25">
      <c r="A93" s="442" t="s">
        <v>559</v>
      </c>
      <c r="B93" s="442" t="s">
        <v>124</v>
      </c>
      <c r="C93" s="443"/>
      <c r="D93" s="444"/>
      <c r="E93" s="444"/>
      <c r="F93" s="444"/>
      <c r="G93" s="444"/>
      <c r="H93" s="444"/>
      <c r="I93" s="444"/>
      <c r="J93" s="444" t="s">
        <v>1276</v>
      </c>
      <c r="K93" s="444"/>
      <c r="L93" s="444"/>
      <c r="M93" s="476">
        <v>43715</v>
      </c>
      <c r="N93" s="444" t="s">
        <v>621</v>
      </c>
      <c r="O93" s="444"/>
      <c r="P93" s="444"/>
      <c r="Q93" s="444"/>
      <c r="R93" s="444"/>
      <c r="S93" s="445" t="s">
        <v>48</v>
      </c>
      <c r="T93" s="444" t="s">
        <v>85</v>
      </c>
      <c r="U93" s="475" t="s">
        <v>590</v>
      </c>
      <c r="V93" s="446" t="s">
        <v>560</v>
      </c>
      <c r="W93" s="446" t="s">
        <v>74</v>
      </c>
      <c r="X93" s="447">
        <v>43525</v>
      </c>
      <c r="Y93" s="447" t="s">
        <v>71</v>
      </c>
      <c r="Z93" s="447"/>
      <c r="AA93" s="447">
        <f t="shared" si="30"/>
        <v>43526</v>
      </c>
      <c r="AB93" s="447">
        <f t="shared" si="28"/>
        <v>43539</v>
      </c>
      <c r="AC93" s="447">
        <v>43529</v>
      </c>
      <c r="AD93" s="449">
        <v>0</v>
      </c>
      <c r="AE93" s="450"/>
      <c r="AF93" s="451">
        <f t="shared" si="26"/>
        <v>0</v>
      </c>
      <c r="AG93" s="449"/>
      <c r="AH93" s="452"/>
      <c r="AI93" s="450">
        <f>AF93</f>
        <v>0</v>
      </c>
      <c r="AJ93" s="453">
        <f t="shared" si="31"/>
        <v>0</v>
      </c>
      <c r="AK93" s="454">
        <v>0</v>
      </c>
      <c r="AL93" s="565">
        <v>0</v>
      </c>
      <c r="AM93" s="449"/>
      <c r="AN93" s="450">
        <v>0</v>
      </c>
      <c r="AO93" s="451">
        <f t="shared" si="27"/>
        <v>0</v>
      </c>
      <c r="AP93" s="452">
        <v>0</v>
      </c>
      <c r="AQ93" s="453">
        <v>0</v>
      </c>
      <c r="AR93" s="455"/>
      <c r="AS93" s="456">
        <f t="shared" si="25"/>
        <v>0</v>
      </c>
      <c r="AT93" s="457"/>
      <c r="AV93" s="486"/>
    </row>
    <row r="94" spans="1:54" s="439" customFormat="1" ht="60" x14ac:dyDescent="0.25">
      <c r="A94" s="442" t="s">
        <v>566</v>
      </c>
      <c r="B94" s="442" t="s">
        <v>1298</v>
      </c>
      <c r="C94" s="443"/>
      <c r="D94" s="444" t="s">
        <v>570</v>
      </c>
      <c r="E94" s="444"/>
      <c r="F94" s="444"/>
      <c r="G94" s="444"/>
      <c r="H94" s="444"/>
      <c r="I94" s="444"/>
      <c r="J94" s="444" t="s">
        <v>903</v>
      </c>
      <c r="K94" s="444"/>
      <c r="L94" s="444"/>
      <c r="M94" s="444"/>
      <c r="N94" s="444" t="s">
        <v>621</v>
      </c>
      <c r="O94" s="444"/>
      <c r="P94" s="444"/>
      <c r="Q94" s="444"/>
      <c r="R94" s="444"/>
      <c r="S94" s="445" t="s">
        <v>26</v>
      </c>
      <c r="T94" s="444" t="s">
        <v>85</v>
      </c>
      <c r="U94" s="475" t="s">
        <v>571</v>
      </c>
      <c r="V94" s="446" t="s">
        <v>572</v>
      </c>
      <c r="W94" s="446" t="s">
        <v>74</v>
      </c>
      <c r="X94" s="447">
        <v>43487</v>
      </c>
      <c r="Y94" s="447" t="s">
        <v>71</v>
      </c>
      <c r="Z94" s="447"/>
      <c r="AA94" s="447">
        <f t="shared" si="30"/>
        <v>43488</v>
      </c>
      <c r="AB94" s="447">
        <f t="shared" si="28"/>
        <v>43501</v>
      </c>
      <c r="AC94" s="447" t="s">
        <v>573</v>
      </c>
      <c r="AD94" s="449">
        <v>12622.37</v>
      </c>
      <c r="AE94" s="450">
        <f>-AD94+8452.3</f>
        <v>-4170.0700000000015</v>
      </c>
      <c r="AF94" s="451">
        <f t="shared" si="26"/>
        <v>8452.2999999999993</v>
      </c>
      <c r="AG94" s="449"/>
      <c r="AH94" s="452"/>
      <c r="AI94" s="450">
        <f>AF94</f>
        <v>8452.2999999999993</v>
      </c>
      <c r="AJ94" s="453">
        <f t="shared" si="31"/>
        <v>0</v>
      </c>
      <c r="AK94" s="454">
        <v>8452.2999999999993</v>
      </c>
      <c r="AL94" s="565">
        <v>8452.2999999999993</v>
      </c>
      <c r="AM94" s="449"/>
      <c r="AN94" s="450">
        <v>0</v>
      </c>
      <c r="AO94" s="451">
        <f t="shared" si="27"/>
        <v>0</v>
      </c>
      <c r="AP94" s="452">
        <v>0</v>
      </c>
      <c r="AQ94" s="453">
        <v>0</v>
      </c>
      <c r="AR94" s="455"/>
      <c r="AS94" s="456">
        <f t="shared" si="25"/>
        <v>0</v>
      </c>
      <c r="AT94" s="457"/>
      <c r="AV94" s="486"/>
    </row>
    <row r="95" spans="1:54" s="439" customFormat="1" ht="60" x14ac:dyDescent="0.25">
      <c r="A95" s="442" t="s">
        <v>567</v>
      </c>
      <c r="B95" s="442" t="s">
        <v>833</v>
      </c>
      <c r="C95" s="443">
        <v>39</v>
      </c>
      <c r="D95" s="444"/>
      <c r="E95" s="444"/>
      <c r="F95" s="444"/>
      <c r="G95" s="444"/>
      <c r="H95" s="444"/>
      <c r="I95" s="444"/>
      <c r="J95" s="444" t="s">
        <v>904</v>
      </c>
      <c r="K95" s="444"/>
      <c r="L95" s="444"/>
      <c r="M95" s="476">
        <v>43627</v>
      </c>
      <c r="N95" s="444" t="s">
        <v>621</v>
      </c>
      <c r="O95" s="444"/>
      <c r="P95" s="444"/>
      <c r="Q95" s="444"/>
      <c r="R95" s="444"/>
      <c r="S95" s="445" t="s">
        <v>26</v>
      </c>
      <c r="T95" s="444" t="s">
        <v>1262</v>
      </c>
      <c r="U95" s="475" t="s">
        <v>584</v>
      </c>
      <c r="V95" s="446" t="s">
        <v>1319</v>
      </c>
      <c r="W95" s="446" t="s">
        <v>74</v>
      </c>
      <c r="X95" s="447">
        <v>43518</v>
      </c>
      <c r="Y95" s="447" t="s">
        <v>71</v>
      </c>
      <c r="Z95" s="447"/>
      <c r="AA95" s="447">
        <f t="shared" si="30"/>
        <v>43519</v>
      </c>
      <c r="AB95" s="447">
        <f t="shared" si="28"/>
        <v>43532</v>
      </c>
      <c r="AC95" s="447">
        <v>43535</v>
      </c>
      <c r="AD95" s="449">
        <v>120100</v>
      </c>
      <c r="AE95" s="450">
        <v>4885</v>
      </c>
      <c r="AF95" s="473">
        <f t="shared" si="26"/>
        <v>124985</v>
      </c>
      <c r="AG95" s="490">
        <f>AF95</f>
        <v>124985</v>
      </c>
      <c r="AH95" s="452"/>
      <c r="AI95" s="450"/>
      <c r="AJ95" s="453">
        <v>0</v>
      </c>
      <c r="AK95" s="454">
        <f>+AF95</f>
        <v>124985</v>
      </c>
      <c r="AL95" s="565">
        <v>124985</v>
      </c>
      <c r="AM95" s="449"/>
      <c r="AN95" s="450">
        <v>0</v>
      </c>
      <c r="AO95" s="451">
        <f t="shared" si="27"/>
        <v>0</v>
      </c>
      <c r="AP95" s="452">
        <v>0</v>
      </c>
      <c r="AQ95" s="453">
        <v>0</v>
      </c>
      <c r="AR95" s="455"/>
      <c r="AS95" s="456">
        <f t="shared" si="25"/>
        <v>0</v>
      </c>
      <c r="AT95" s="457"/>
      <c r="AV95" s="486"/>
    </row>
    <row r="96" spans="1:54" s="439" customFormat="1" ht="30" x14ac:dyDescent="0.25">
      <c r="A96" s="442" t="s">
        <v>961</v>
      </c>
      <c r="B96" s="442"/>
      <c r="C96" s="443"/>
      <c r="D96" s="444"/>
      <c r="E96" s="444"/>
      <c r="F96" s="444"/>
      <c r="G96" s="444"/>
      <c r="H96" s="444"/>
      <c r="I96" s="444"/>
      <c r="J96" s="444"/>
      <c r="K96" s="444"/>
      <c r="L96" s="444"/>
      <c r="M96" s="476">
        <v>43627</v>
      </c>
      <c r="N96" s="444" t="s">
        <v>621</v>
      </c>
      <c r="O96" s="444"/>
      <c r="P96" s="444"/>
      <c r="Q96" s="444"/>
      <c r="R96" s="444"/>
      <c r="S96" s="445" t="s">
        <v>26</v>
      </c>
      <c r="T96" s="444" t="s">
        <v>1262</v>
      </c>
      <c r="U96" s="475" t="s">
        <v>584</v>
      </c>
      <c r="V96" s="446" t="s">
        <v>962</v>
      </c>
      <c r="W96" s="446" t="s">
        <v>74</v>
      </c>
      <c r="X96" s="447"/>
      <c r="Y96" s="447"/>
      <c r="Z96" s="447"/>
      <c r="AA96" s="447"/>
      <c r="AB96" s="447"/>
      <c r="AC96" s="447"/>
      <c r="AD96" s="449">
        <v>0</v>
      </c>
      <c r="AE96" s="450"/>
      <c r="AF96" s="451">
        <f t="shared" si="26"/>
        <v>0</v>
      </c>
      <c r="AG96" s="490">
        <f>+AK96</f>
        <v>0</v>
      </c>
      <c r="AH96" s="452"/>
      <c r="AI96" s="450"/>
      <c r="AJ96" s="453">
        <f>+AF96-SUM(AG96:AI96)</f>
        <v>0</v>
      </c>
      <c r="AK96" s="454">
        <v>0</v>
      </c>
      <c r="AL96" s="565">
        <v>0</v>
      </c>
      <c r="AM96" s="449"/>
      <c r="AN96" s="450">
        <v>0</v>
      </c>
      <c r="AO96" s="451">
        <f t="shared" si="27"/>
        <v>0</v>
      </c>
      <c r="AP96" s="452">
        <v>0</v>
      </c>
      <c r="AQ96" s="453">
        <v>0</v>
      </c>
      <c r="AR96" s="455"/>
      <c r="AS96" s="456">
        <f t="shared" si="25"/>
        <v>0</v>
      </c>
      <c r="AT96" s="457"/>
      <c r="AV96" s="486"/>
    </row>
    <row r="97" spans="1:50" s="439" customFormat="1" ht="30" x14ac:dyDescent="0.25">
      <c r="A97" s="442" t="s">
        <v>1260</v>
      </c>
      <c r="B97" s="442"/>
      <c r="C97" s="443"/>
      <c r="D97" s="444"/>
      <c r="E97" s="444"/>
      <c r="F97" s="444"/>
      <c r="G97" s="444"/>
      <c r="H97" s="444"/>
      <c r="I97" s="444"/>
      <c r="J97" s="444" t="s">
        <v>1421</v>
      </c>
      <c r="K97" s="444"/>
      <c r="L97" s="444"/>
      <c r="M97" s="476">
        <v>43627</v>
      </c>
      <c r="N97" s="444" t="s">
        <v>621</v>
      </c>
      <c r="O97" s="444"/>
      <c r="P97" s="444"/>
      <c r="Q97" s="444"/>
      <c r="R97" s="444"/>
      <c r="S97" s="445" t="s">
        <v>26</v>
      </c>
      <c r="T97" s="444" t="s">
        <v>1262</v>
      </c>
      <c r="U97" s="475" t="s">
        <v>584</v>
      </c>
      <c r="V97" s="446" t="s">
        <v>1261</v>
      </c>
      <c r="W97" s="446" t="s">
        <v>74</v>
      </c>
      <c r="X97" s="447"/>
      <c r="Y97" s="447"/>
      <c r="Z97" s="447"/>
      <c r="AA97" s="447"/>
      <c r="AB97" s="447"/>
      <c r="AC97" s="447">
        <v>43718</v>
      </c>
      <c r="AD97" s="449">
        <v>542234</v>
      </c>
      <c r="AE97" s="450"/>
      <c r="AF97" s="473">
        <f t="shared" si="26"/>
        <v>542234</v>
      </c>
      <c r="AG97" s="449">
        <v>542234</v>
      </c>
      <c r="AH97" s="452"/>
      <c r="AI97" s="450"/>
      <c r="AJ97" s="453">
        <v>0</v>
      </c>
      <c r="AK97" s="454">
        <f>+AF97</f>
        <v>542234</v>
      </c>
      <c r="AL97" s="565">
        <v>542234</v>
      </c>
      <c r="AM97" s="449">
        <v>0</v>
      </c>
      <c r="AN97" s="450">
        <v>0</v>
      </c>
      <c r="AO97" s="451">
        <f t="shared" si="27"/>
        <v>0</v>
      </c>
      <c r="AP97" s="452">
        <v>0</v>
      </c>
      <c r="AQ97" s="453">
        <v>0</v>
      </c>
      <c r="AR97" s="455"/>
      <c r="AS97" s="456">
        <f t="shared" si="25"/>
        <v>0</v>
      </c>
      <c r="AT97" s="457"/>
      <c r="AV97" s="486"/>
    </row>
    <row r="98" spans="1:50" s="439" customFormat="1" ht="60" x14ac:dyDescent="0.25">
      <c r="A98" s="442" t="s">
        <v>568</v>
      </c>
      <c r="B98" s="442" t="s">
        <v>833</v>
      </c>
      <c r="C98" s="443">
        <v>44</v>
      </c>
      <c r="D98" s="444" t="s">
        <v>797</v>
      </c>
      <c r="E98" s="444"/>
      <c r="F98" s="444"/>
      <c r="G98" s="444"/>
      <c r="H98" s="444"/>
      <c r="I98" s="444"/>
      <c r="J98" s="444" t="s">
        <v>755</v>
      </c>
      <c r="K98" s="444"/>
      <c r="L98" s="444"/>
      <c r="M98" s="476">
        <v>43578</v>
      </c>
      <c r="N98" s="444" t="s">
        <v>622</v>
      </c>
      <c r="O98" s="444"/>
      <c r="P98" s="444"/>
      <c r="Q98" s="444"/>
      <c r="R98" s="444"/>
      <c r="S98" s="445" t="s">
        <v>26</v>
      </c>
      <c r="T98" s="444" t="s">
        <v>133</v>
      </c>
      <c r="U98" s="475" t="s">
        <v>574</v>
      </c>
      <c r="V98" s="446" t="s">
        <v>575</v>
      </c>
      <c r="W98" s="446" t="s">
        <v>74</v>
      </c>
      <c r="X98" s="447">
        <v>43535</v>
      </c>
      <c r="Y98" s="447" t="s">
        <v>71</v>
      </c>
      <c r="Z98" s="447"/>
      <c r="AA98" s="447">
        <f t="shared" ref="AA98:AA107" si="32">X98+1</f>
        <v>43536</v>
      </c>
      <c r="AB98" s="447">
        <f t="shared" ref="AB98:AB108" si="33">+IF(X98="","",WORKDAY(X98,10))</f>
        <v>43549</v>
      </c>
      <c r="AC98" s="447" t="s">
        <v>1473</v>
      </c>
      <c r="AD98" s="449">
        <v>2419.33</v>
      </c>
      <c r="AE98" s="450"/>
      <c r="AF98" s="451">
        <f t="shared" si="26"/>
        <v>2419.33</v>
      </c>
      <c r="AG98" s="449"/>
      <c r="AH98" s="452"/>
      <c r="AI98" s="450">
        <f>AF98</f>
        <v>2419.33</v>
      </c>
      <c r="AJ98" s="453">
        <f t="shared" ref="AJ98:AJ107" si="34">+AF98-SUM(AG98:AI98)</f>
        <v>0</v>
      </c>
      <c r="AK98" s="454">
        <v>2419</v>
      </c>
      <c r="AL98" s="565">
        <v>2419</v>
      </c>
      <c r="AM98" s="449">
        <v>0</v>
      </c>
      <c r="AN98" s="450">
        <v>0</v>
      </c>
      <c r="AO98" s="451">
        <f t="shared" si="27"/>
        <v>0</v>
      </c>
      <c r="AP98" s="452">
        <v>0</v>
      </c>
      <c r="AQ98" s="453">
        <v>0</v>
      </c>
      <c r="AR98" s="455"/>
      <c r="AS98" s="456">
        <f t="shared" si="25"/>
        <v>0</v>
      </c>
      <c r="AT98" s="457"/>
      <c r="AV98" s="486"/>
    </row>
    <row r="99" spans="1:50" s="439" customFormat="1" ht="78.75" customHeight="1" x14ac:dyDescent="0.25">
      <c r="A99" s="442" t="s">
        <v>569</v>
      </c>
      <c r="B99" s="442" t="s">
        <v>124</v>
      </c>
      <c r="C99" s="443"/>
      <c r="D99" s="444"/>
      <c r="E99" s="444"/>
      <c r="F99" s="444"/>
      <c r="G99" s="444"/>
      <c r="H99" s="444"/>
      <c r="I99" s="444"/>
      <c r="J99" s="444" t="s">
        <v>577</v>
      </c>
      <c r="K99" s="444"/>
      <c r="L99" s="444"/>
      <c r="M99" s="476">
        <v>43538</v>
      </c>
      <c r="N99" s="444" t="s">
        <v>621</v>
      </c>
      <c r="O99" s="444"/>
      <c r="P99" s="444"/>
      <c r="Q99" s="444"/>
      <c r="R99" s="444"/>
      <c r="S99" s="445" t="s">
        <v>68</v>
      </c>
      <c r="T99" s="444" t="s">
        <v>85</v>
      </c>
      <c r="U99" s="475" t="s">
        <v>576</v>
      </c>
      <c r="V99" s="446" t="s">
        <v>581</v>
      </c>
      <c r="W99" s="446" t="s">
        <v>747</v>
      </c>
      <c r="X99" s="447">
        <v>43533</v>
      </c>
      <c r="Y99" s="447" t="s">
        <v>71</v>
      </c>
      <c r="Z99" s="447"/>
      <c r="AA99" s="447">
        <f t="shared" si="32"/>
        <v>43534</v>
      </c>
      <c r="AB99" s="447">
        <f t="shared" si="33"/>
        <v>43546</v>
      </c>
      <c r="AC99" s="447">
        <v>43538</v>
      </c>
      <c r="AD99" s="449" t="s">
        <v>484</v>
      </c>
      <c r="AE99" s="450"/>
      <c r="AF99" s="451">
        <f t="shared" si="26"/>
        <v>0</v>
      </c>
      <c r="AG99" s="449"/>
      <c r="AH99" s="452"/>
      <c r="AI99" s="450"/>
      <c r="AJ99" s="453">
        <f t="shared" si="34"/>
        <v>0</v>
      </c>
      <c r="AK99" s="454">
        <v>0</v>
      </c>
      <c r="AL99" s="565">
        <v>0</v>
      </c>
      <c r="AM99" s="449">
        <v>0</v>
      </c>
      <c r="AN99" s="450">
        <v>0</v>
      </c>
      <c r="AO99" s="451">
        <f t="shared" si="27"/>
        <v>0</v>
      </c>
      <c r="AP99" s="452">
        <v>0</v>
      </c>
      <c r="AQ99" s="453">
        <v>0</v>
      </c>
      <c r="AR99" s="455"/>
      <c r="AS99" s="456">
        <f t="shared" si="25"/>
        <v>0</v>
      </c>
      <c r="AT99" s="457"/>
      <c r="AV99" s="467"/>
    </row>
    <row r="100" spans="1:50" s="439" customFormat="1" ht="45" customHeight="1" x14ac:dyDescent="0.25">
      <c r="A100" s="442" t="s">
        <v>578</v>
      </c>
      <c r="B100" s="442" t="s">
        <v>843</v>
      </c>
      <c r="C100" s="443"/>
      <c r="D100" s="444"/>
      <c r="E100" s="444"/>
      <c r="F100" s="444"/>
      <c r="G100" s="444"/>
      <c r="H100" s="444"/>
      <c r="I100" s="444"/>
      <c r="J100" s="444" t="s">
        <v>579</v>
      </c>
      <c r="K100" s="444"/>
      <c r="L100" s="444"/>
      <c r="M100" s="476">
        <v>43539</v>
      </c>
      <c r="N100" s="444" t="s">
        <v>621</v>
      </c>
      <c r="O100" s="444"/>
      <c r="P100" s="444"/>
      <c r="Q100" s="444"/>
      <c r="R100" s="444"/>
      <c r="S100" s="445" t="s">
        <v>68</v>
      </c>
      <c r="T100" s="444" t="s">
        <v>85</v>
      </c>
      <c r="U100" s="475" t="s">
        <v>580</v>
      </c>
      <c r="V100" s="446" t="s">
        <v>591</v>
      </c>
      <c r="W100" s="446" t="s">
        <v>921</v>
      </c>
      <c r="X100" s="447">
        <v>43530</v>
      </c>
      <c r="Y100" s="447" t="s">
        <v>71</v>
      </c>
      <c r="Z100" s="447"/>
      <c r="AA100" s="447">
        <f t="shared" si="32"/>
        <v>43531</v>
      </c>
      <c r="AB100" s="447">
        <f t="shared" si="33"/>
        <v>43544</v>
      </c>
      <c r="AC100" s="447">
        <v>43539</v>
      </c>
      <c r="AD100" s="449" t="s">
        <v>843</v>
      </c>
      <c r="AE100" s="450"/>
      <c r="AF100" s="451">
        <f t="shared" si="26"/>
        <v>0</v>
      </c>
      <c r="AG100" s="449"/>
      <c r="AH100" s="452"/>
      <c r="AI100" s="450">
        <f>AF100</f>
        <v>0</v>
      </c>
      <c r="AJ100" s="453">
        <f t="shared" si="34"/>
        <v>0</v>
      </c>
      <c r="AK100" s="454">
        <v>0</v>
      </c>
      <c r="AL100" s="565">
        <v>0</v>
      </c>
      <c r="AM100" s="449">
        <v>0</v>
      </c>
      <c r="AN100" s="450">
        <v>0</v>
      </c>
      <c r="AO100" s="451">
        <f t="shared" si="27"/>
        <v>0</v>
      </c>
      <c r="AP100" s="452">
        <v>0</v>
      </c>
      <c r="AQ100" s="453">
        <v>0</v>
      </c>
      <c r="AR100" s="455"/>
      <c r="AS100" s="456">
        <f t="shared" si="25"/>
        <v>0</v>
      </c>
      <c r="AT100" s="457"/>
      <c r="AV100" s="467"/>
    </row>
    <row r="101" spans="1:50" s="439" customFormat="1" ht="45" customHeight="1" x14ac:dyDescent="0.25">
      <c r="A101" s="442" t="s">
        <v>646</v>
      </c>
      <c r="B101" s="442" t="s">
        <v>124</v>
      </c>
      <c r="C101" s="443"/>
      <c r="D101" s="444"/>
      <c r="E101" s="444"/>
      <c r="F101" s="444"/>
      <c r="G101" s="444"/>
      <c r="H101" s="444"/>
      <c r="I101" s="444"/>
      <c r="J101" s="444" t="s">
        <v>647</v>
      </c>
      <c r="K101" s="444"/>
      <c r="L101" s="444"/>
      <c r="M101" s="476">
        <v>43547</v>
      </c>
      <c r="N101" s="444" t="s">
        <v>621</v>
      </c>
      <c r="O101" s="444"/>
      <c r="P101" s="444"/>
      <c r="Q101" s="444"/>
      <c r="R101" s="444"/>
      <c r="S101" s="445" t="s">
        <v>48</v>
      </c>
      <c r="T101" s="444" t="s">
        <v>85</v>
      </c>
      <c r="U101" s="475" t="s">
        <v>648</v>
      </c>
      <c r="V101" s="446" t="s">
        <v>649</v>
      </c>
      <c r="W101" s="446" t="s">
        <v>74</v>
      </c>
      <c r="X101" s="447">
        <v>43535</v>
      </c>
      <c r="Y101" s="447" t="s">
        <v>71</v>
      </c>
      <c r="Z101" s="447"/>
      <c r="AA101" s="447">
        <f t="shared" si="32"/>
        <v>43536</v>
      </c>
      <c r="AB101" s="447">
        <f t="shared" si="33"/>
        <v>43549</v>
      </c>
      <c r="AC101" s="447">
        <v>43547</v>
      </c>
      <c r="AD101" s="449" t="s">
        <v>64</v>
      </c>
      <c r="AE101" s="450"/>
      <c r="AF101" s="451">
        <f t="shared" si="26"/>
        <v>0</v>
      </c>
      <c r="AG101" s="449"/>
      <c r="AH101" s="452"/>
      <c r="AI101" s="450">
        <f>AF101</f>
        <v>0</v>
      </c>
      <c r="AJ101" s="453">
        <f t="shared" si="34"/>
        <v>0</v>
      </c>
      <c r="AK101" s="454">
        <v>0</v>
      </c>
      <c r="AL101" s="565">
        <v>0</v>
      </c>
      <c r="AM101" s="449">
        <v>0</v>
      </c>
      <c r="AN101" s="450">
        <v>0</v>
      </c>
      <c r="AO101" s="451">
        <f t="shared" si="27"/>
        <v>0</v>
      </c>
      <c r="AP101" s="452">
        <v>0</v>
      </c>
      <c r="AQ101" s="453">
        <v>0</v>
      </c>
      <c r="AR101" s="455"/>
      <c r="AS101" s="456">
        <f t="shared" si="25"/>
        <v>0</v>
      </c>
      <c r="AT101" s="457"/>
      <c r="AV101" s="467"/>
    </row>
    <row r="102" spans="1:50" s="439" customFormat="1" ht="78.75" customHeight="1" x14ac:dyDescent="0.25">
      <c r="A102" s="442" t="s">
        <v>585</v>
      </c>
      <c r="B102" s="442" t="s">
        <v>124</v>
      </c>
      <c r="C102" s="443"/>
      <c r="D102" s="444"/>
      <c r="E102" s="444"/>
      <c r="F102" s="444"/>
      <c r="G102" s="444"/>
      <c r="H102" s="444"/>
      <c r="I102" s="444"/>
      <c r="J102" s="444" t="s">
        <v>586</v>
      </c>
      <c r="K102" s="444"/>
      <c r="L102" s="444"/>
      <c r="M102" s="476">
        <v>43558</v>
      </c>
      <c r="N102" s="444" t="s">
        <v>621</v>
      </c>
      <c r="O102" s="444" t="s">
        <v>621</v>
      </c>
      <c r="P102" s="444"/>
      <c r="Q102" s="444"/>
      <c r="R102" s="444"/>
      <c r="S102" s="445" t="s">
        <v>143</v>
      </c>
      <c r="T102" s="444" t="s">
        <v>85</v>
      </c>
      <c r="U102" s="475" t="s">
        <v>587</v>
      </c>
      <c r="V102" s="446" t="s">
        <v>588</v>
      </c>
      <c r="W102" s="446" t="s">
        <v>589</v>
      </c>
      <c r="X102" s="447">
        <v>43529</v>
      </c>
      <c r="Y102" s="447" t="s">
        <v>71</v>
      </c>
      <c r="Z102" s="447"/>
      <c r="AA102" s="447">
        <f t="shared" si="32"/>
        <v>43530</v>
      </c>
      <c r="AB102" s="447">
        <f t="shared" si="33"/>
        <v>43543</v>
      </c>
      <c r="AC102" s="447">
        <v>43542</v>
      </c>
      <c r="AD102" s="449" t="s">
        <v>124</v>
      </c>
      <c r="AE102" s="450"/>
      <c r="AF102" s="451">
        <f t="shared" si="26"/>
        <v>0</v>
      </c>
      <c r="AG102" s="449"/>
      <c r="AH102" s="452"/>
      <c r="AI102" s="450"/>
      <c r="AJ102" s="453">
        <f t="shared" si="34"/>
        <v>0</v>
      </c>
      <c r="AK102" s="454">
        <v>0</v>
      </c>
      <c r="AL102" s="565">
        <v>0</v>
      </c>
      <c r="AM102" s="449">
        <v>0</v>
      </c>
      <c r="AN102" s="450">
        <v>0</v>
      </c>
      <c r="AO102" s="451">
        <f t="shared" si="27"/>
        <v>0</v>
      </c>
      <c r="AP102" s="452">
        <v>0</v>
      </c>
      <c r="AQ102" s="453">
        <v>0</v>
      </c>
      <c r="AR102" s="455"/>
      <c r="AS102" s="456">
        <f t="shared" si="25"/>
        <v>0</v>
      </c>
      <c r="AT102" s="457"/>
      <c r="AV102" s="467"/>
    </row>
    <row r="103" spans="1:50" s="439" customFormat="1" ht="45" x14ac:dyDescent="0.25">
      <c r="A103" s="442" t="s">
        <v>640</v>
      </c>
      <c r="B103" s="442" t="s">
        <v>1085</v>
      </c>
      <c r="C103" s="443"/>
      <c r="D103" s="444" t="s">
        <v>977</v>
      </c>
      <c r="E103" s="444"/>
      <c r="F103" s="444"/>
      <c r="G103" s="444"/>
      <c r="H103" s="444"/>
      <c r="I103" s="444"/>
      <c r="J103" s="444" t="s">
        <v>642</v>
      </c>
      <c r="K103" s="444"/>
      <c r="L103" s="444"/>
      <c r="M103" s="476">
        <v>43542</v>
      </c>
      <c r="N103" s="444" t="s">
        <v>621</v>
      </c>
      <c r="O103" s="444"/>
      <c r="P103" s="444"/>
      <c r="Q103" s="444"/>
      <c r="R103" s="444"/>
      <c r="S103" s="445" t="s">
        <v>26</v>
      </c>
      <c r="T103" s="444" t="s">
        <v>1262</v>
      </c>
      <c r="U103" s="475" t="s">
        <v>641</v>
      </c>
      <c r="V103" s="446" t="s">
        <v>643</v>
      </c>
      <c r="W103" s="446" t="s">
        <v>74</v>
      </c>
      <c r="X103" s="447">
        <v>43538</v>
      </c>
      <c r="Y103" s="447" t="s">
        <v>71</v>
      </c>
      <c r="Z103" s="447"/>
      <c r="AA103" s="447">
        <f t="shared" si="32"/>
        <v>43539</v>
      </c>
      <c r="AB103" s="447">
        <f t="shared" si="33"/>
        <v>43552</v>
      </c>
      <c r="AC103" s="447">
        <v>43546</v>
      </c>
      <c r="AD103" s="449">
        <v>58051.26</v>
      </c>
      <c r="AE103" s="450">
        <v>-21850.450000000004</v>
      </c>
      <c r="AF103" s="451">
        <f t="shared" si="26"/>
        <v>36200.81</v>
      </c>
      <c r="AG103" s="449">
        <f>AF103</f>
        <v>36200.81</v>
      </c>
      <c r="AH103" s="452"/>
      <c r="AI103" s="450"/>
      <c r="AJ103" s="453">
        <f t="shared" si="34"/>
        <v>0</v>
      </c>
      <c r="AK103" s="454">
        <f>AG103</f>
        <v>36200.81</v>
      </c>
      <c r="AL103" s="565">
        <v>36200.81</v>
      </c>
      <c r="AM103" s="449">
        <v>0</v>
      </c>
      <c r="AN103" s="450">
        <v>0</v>
      </c>
      <c r="AO103" s="451">
        <f t="shared" si="27"/>
        <v>0</v>
      </c>
      <c r="AP103" s="452">
        <v>0</v>
      </c>
      <c r="AQ103" s="453">
        <v>0</v>
      </c>
      <c r="AR103" s="455"/>
      <c r="AS103" s="456">
        <f t="shared" si="25"/>
        <v>0</v>
      </c>
      <c r="AT103" s="457"/>
      <c r="AV103" s="467"/>
    </row>
    <row r="104" spans="1:50" s="439" customFormat="1" ht="30" x14ac:dyDescent="0.25">
      <c r="A104" s="442" t="s">
        <v>651</v>
      </c>
      <c r="B104" s="442" t="s">
        <v>1085</v>
      </c>
      <c r="C104" s="443"/>
      <c r="D104" s="444" t="s">
        <v>978</v>
      </c>
      <c r="E104" s="444"/>
      <c r="F104" s="444"/>
      <c r="G104" s="444"/>
      <c r="H104" s="444"/>
      <c r="I104" s="444"/>
      <c r="J104" s="444" t="s">
        <v>652</v>
      </c>
      <c r="K104" s="444"/>
      <c r="L104" s="444"/>
      <c r="M104" s="476">
        <v>43549</v>
      </c>
      <c r="N104" s="444" t="s">
        <v>621</v>
      </c>
      <c r="O104" s="444"/>
      <c r="P104" s="444"/>
      <c r="Q104" s="444"/>
      <c r="R104" s="444"/>
      <c r="S104" s="445" t="s">
        <v>26</v>
      </c>
      <c r="T104" s="444" t="s">
        <v>85</v>
      </c>
      <c r="U104" s="475" t="s">
        <v>650</v>
      </c>
      <c r="V104" s="446" t="s">
        <v>912</v>
      </c>
      <c r="W104" s="446" t="s">
        <v>74</v>
      </c>
      <c r="X104" s="447">
        <v>43539</v>
      </c>
      <c r="Y104" s="447" t="s">
        <v>71</v>
      </c>
      <c r="Z104" s="447"/>
      <c r="AA104" s="447">
        <f t="shared" si="32"/>
        <v>43540</v>
      </c>
      <c r="AB104" s="447">
        <f t="shared" si="33"/>
        <v>43553</v>
      </c>
      <c r="AC104" s="447">
        <v>43549</v>
      </c>
      <c r="AD104" s="449">
        <v>13432.89</v>
      </c>
      <c r="AE104" s="450">
        <v>-611.91999999999996</v>
      </c>
      <c r="AF104" s="451">
        <f t="shared" si="26"/>
        <v>12820.97</v>
      </c>
      <c r="AG104" s="449"/>
      <c r="AH104" s="452"/>
      <c r="AI104" s="450">
        <f>AF104</f>
        <v>12820.97</v>
      </c>
      <c r="AJ104" s="453">
        <f t="shared" si="34"/>
        <v>0</v>
      </c>
      <c r="AK104" s="454">
        <f>+AI104</f>
        <v>12820.97</v>
      </c>
      <c r="AL104" s="565">
        <v>12820.97</v>
      </c>
      <c r="AM104" s="449">
        <v>0</v>
      </c>
      <c r="AN104" s="450">
        <v>0</v>
      </c>
      <c r="AO104" s="451">
        <f t="shared" si="27"/>
        <v>0</v>
      </c>
      <c r="AP104" s="452">
        <v>0</v>
      </c>
      <c r="AQ104" s="453">
        <v>0</v>
      </c>
      <c r="AR104" s="455"/>
      <c r="AS104" s="456">
        <f t="shared" si="25"/>
        <v>0</v>
      </c>
      <c r="AT104" s="457"/>
      <c r="AV104" s="467"/>
    </row>
    <row r="105" spans="1:50" s="439" customFormat="1" ht="45" customHeight="1" x14ac:dyDescent="0.25">
      <c r="A105" s="442" t="s">
        <v>655</v>
      </c>
      <c r="B105" s="442" t="s">
        <v>843</v>
      </c>
      <c r="C105" s="443"/>
      <c r="D105" s="444"/>
      <c r="E105" s="444"/>
      <c r="F105" s="444"/>
      <c r="G105" s="444"/>
      <c r="H105" s="444"/>
      <c r="I105" s="444"/>
      <c r="J105" s="444" t="s">
        <v>654</v>
      </c>
      <c r="K105" s="444"/>
      <c r="L105" s="444"/>
      <c r="M105" s="476">
        <v>43550</v>
      </c>
      <c r="N105" s="444" t="s">
        <v>621</v>
      </c>
      <c r="O105" s="444"/>
      <c r="P105" s="444"/>
      <c r="Q105" s="444"/>
      <c r="R105" s="444"/>
      <c r="S105" s="445" t="s">
        <v>68</v>
      </c>
      <c r="T105" s="444" t="s">
        <v>85</v>
      </c>
      <c r="U105" s="475" t="s">
        <v>653</v>
      </c>
      <c r="V105" s="446" t="s">
        <v>656</v>
      </c>
      <c r="W105" s="446" t="s">
        <v>74</v>
      </c>
      <c r="X105" s="447">
        <v>43539</v>
      </c>
      <c r="Y105" s="447" t="s">
        <v>71</v>
      </c>
      <c r="Z105" s="447"/>
      <c r="AA105" s="447">
        <f t="shared" si="32"/>
        <v>43540</v>
      </c>
      <c r="AB105" s="447">
        <f t="shared" si="33"/>
        <v>43553</v>
      </c>
      <c r="AC105" s="447">
        <v>43550</v>
      </c>
      <c r="AD105" s="449" t="s">
        <v>843</v>
      </c>
      <c r="AE105" s="450"/>
      <c r="AF105" s="451">
        <f t="shared" si="26"/>
        <v>0</v>
      </c>
      <c r="AG105" s="449"/>
      <c r="AH105" s="452"/>
      <c r="AI105" s="450"/>
      <c r="AJ105" s="453">
        <f t="shared" si="34"/>
        <v>0</v>
      </c>
      <c r="AK105" s="454">
        <v>0</v>
      </c>
      <c r="AL105" s="565">
        <v>0</v>
      </c>
      <c r="AM105" s="449">
        <v>0</v>
      </c>
      <c r="AN105" s="450">
        <v>0</v>
      </c>
      <c r="AO105" s="451">
        <f t="shared" si="27"/>
        <v>0</v>
      </c>
      <c r="AP105" s="452">
        <v>0</v>
      </c>
      <c r="AQ105" s="453">
        <v>0</v>
      </c>
      <c r="AR105" s="455"/>
      <c r="AS105" s="456">
        <f t="shared" si="25"/>
        <v>0</v>
      </c>
      <c r="AT105" s="457"/>
      <c r="AV105" s="467"/>
    </row>
    <row r="106" spans="1:50" s="439" customFormat="1" ht="78.75" customHeight="1" x14ac:dyDescent="0.25">
      <c r="A106" s="442" t="s">
        <v>657</v>
      </c>
      <c r="B106" s="442" t="s">
        <v>1854</v>
      </c>
      <c r="C106" s="443"/>
      <c r="D106" s="444" t="s">
        <v>1915</v>
      </c>
      <c r="E106" s="444"/>
      <c r="F106" s="444"/>
      <c r="G106" s="444"/>
      <c r="H106" s="444"/>
      <c r="I106" s="444"/>
      <c r="J106" s="444" t="s">
        <v>1557</v>
      </c>
      <c r="K106" s="444"/>
      <c r="L106" s="444"/>
      <c r="M106" s="476">
        <v>43955</v>
      </c>
      <c r="N106" s="444" t="s">
        <v>621</v>
      </c>
      <c r="O106" s="444"/>
      <c r="P106" s="444"/>
      <c r="Q106" s="444"/>
      <c r="R106" s="444"/>
      <c r="S106" s="445" t="s">
        <v>26</v>
      </c>
      <c r="T106" s="444" t="s">
        <v>85</v>
      </c>
      <c r="U106" s="475" t="s">
        <v>658</v>
      </c>
      <c r="V106" s="446" t="s">
        <v>913</v>
      </c>
      <c r="W106" s="446" t="s">
        <v>74</v>
      </c>
      <c r="X106" s="447">
        <v>43545</v>
      </c>
      <c r="Y106" s="447" t="s">
        <v>71</v>
      </c>
      <c r="Z106" s="447"/>
      <c r="AA106" s="447">
        <f t="shared" si="32"/>
        <v>43546</v>
      </c>
      <c r="AB106" s="447">
        <f t="shared" si="33"/>
        <v>43559</v>
      </c>
      <c r="AC106" s="447">
        <v>43552</v>
      </c>
      <c r="AD106" s="449">
        <v>125746.27</v>
      </c>
      <c r="AE106" s="450"/>
      <c r="AF106" s="451">
        <f t="shared" si="26"/>
        <v>125746.27</v>
      </c>
      <c r="AG106" s="449"/>
      <c r="AH106" s="452"/>
      <c r="AI106" s="450">
        <f>AF106</f>
        <v>125746.27</v>
      </c>
      <c r="AJ106" s="453">
        <f t="shared" si="34"/>
        <v>0</v>
      </c>
      <c r="AK106" s="565">
        <v>106283.63</v>
      </c>
      <c r="AL106" s="565">
        <v>98081.19</v>
      </c>
      <c r="AM106" s="449">
        <f>AG106</f>
        <v>0</v>
      </c>
      <c r="AN106" s="450">
        <v>0</v>
      </c>
      <c r="AO106" s="451">
        <f t="shared" si="27"/>
        <v>0</v>
      </c>
      <c r="AP106" s="452">
        <v>0</v>
      </c>
      <c r="AQ106" s="453">
        <v>0</v>
      </c>
      <c r="AR106" s="455"/>
      <c r="AS106" s="456">
        <f t="shared" si="25"/>
        <v>8202.4400000000023</v>
      </c>
      <c r="AT106" s="457"/>
      <c r="AV106" s="467"/>
    </row>
    <row r="107" spans="1:50" s="439" customFormat="1" ht="86.25" customHeight="1" x14ac:dyDescent="0.25">
      <c r="A107" s="442" t="s">
        <v>726</v>
      </c>
      <c r="B107" s="442"/>
      <c r="C107" s="443">
        <v>56</v>
      </c>
      <c r="D107" s="444"/>
      <c r="E107" s="444"/>
      <c r="F107" s="444"/>
      <c r="G107" s="444"/>
      <c r="H107" s="444"/>
      <c r="I107" s="444"/>
      <c r="J107" s="444" t="s">
        <v>1313</v>
      </c>
      <c r="K107" s="444"/>
      <c r="L107" s="444"/>
      <c r="M107" s="476">
        <v>43724</v>
      </c>
      <c r="N107" s="444" t="s">
        <v>621</v>
      </c>
      <c r="O107" s="444"/>
      <c r="P107" s="444"/>
      <c r="Q107" s="444"/>
      <c r="R107" s="444"/>
      <c r="S107" s="445" t="s">
        <v>26</v>
      </c>
      <c r="T107" s="444" t="s">
        <v>1262</v>
      </c>
      <c r="U107" s="475" t="s">
        <v>728</v>
      </c>
      <c r="V107" s="446" t="s">
        <v>864</v>
      </c>
      <c r="W107" s="446" t="s">
        <v>74</v>
      </c>
      <c r="X107" s="447">
        <v>43601</v>
      </c>
      <c r="Y107" s="447"/>
      <c r="Z107" s="447"/>
      <c r="AA107" s="447">
        <f t="shared" si="32"/>
        <v>43602</v>
      </c>
      <c r="AB107" s="447">
        <f t="shared" si="33"/>
        <v>43615</v>
      </c>
      <c r="AC107" s="447">
        <v>43608</v>
      </c>
      <c r="AD107" s="449">
        <v>167939.64</v>
      </c>
      <c r="AE107" s="450">
        <f>167939.64-AD107</f>
        <v>0</v>
      </c>
      <c r="AF107" s="451">
        <f t="shared" ref="AF107:AF140" si="35">+SUM(AD107:AE107)</f>
        <v>167939.64</v>
      </c>
      <c r="AG107" s="449">
        <v>167939.64</v>
      </c>
      <c r="AH107" s="452"/>
      <c r="AI107" s="450"/>
      <c r="AJ107" s="453">
        <f t="shared" si="34"/>
        <v>0</v>
      </c>
      <c r="AK107" s="454">
        <v>167939.64</v>
      </c>
      <c r="AL107" s="565">
        <v>167939.64</v>
      </c>
      <c r="AM107" s="449">
        <v>0</v>
      </c>
      <c r="AN107" s="450">
        <v>0</v>
      </c>
      <c r="AO107" s="451">
        <f t="shared" si="27"/>
        <v>0</v>
      </c>
      <c r="AP107" s="452">
        <v>0</v>
      </c>
      <c r="AQ107" s="453">
        <v>0</v>
      </c>
      <c r="AR107" s="455"/>
      <c r="AS107" s="456">
        <f t="shared" si="25"/>
        <v>0</v>
      </c>
      <c r="AT107" s="457" t="s">
        <v>1012</v>
      </c>
      <c r="AV107" s="467"/>
      <c r="AX107" s="463">
        <f>(AP107+AQ107)-(AO107)</f>
        <v>0</v>
      </c>
    </row>
    <row r="108" spans="1:50" s="439" customFormat="1" ht="75" customHeight="1" x14ac:dyDescent="0.25">
      <c r="A108" s="442" t="s">
        <v>727</v>
      </c>
      <c r="B108" s="442" t="s">
        <v>124</v>
      </c>
      <c r="C108" s="443">
        <v>46</v>
      </c>
      <c r="D108" s="444" t="s">
        <v>775</v>
      </c>
      <c r="E108" s="444"/>
      <c r="F108" s="444"/>
      <c r="G108" s="444"/>
      <c r="H108" s="444"/>
      <c r="I108" s="444"/>
      <c r="J108" s="444" t="s">
        <v>774</v>
      </c>
      <c r="K108" s="444"/>
      <c r="L108" s="444"/>
      <c r="M108" s="476">
        <v>43578</v>
      </c>
      <c r="N108" s="444" t="s">
        <v>622</v>
      </c>
      <c r="O108" s="444"/>
      <c r="P108" s="444"/>
      <c r="Q108" s="444"/>
      <c r="R108" s="444"/>
      <c r="S108" s="445" t="s">
        <v>26</v>
      </c>
      <c r="T108" s="444" t="s">
        <v>1262</v>
      </c>
      <c r="U108" s="475" t="s">
        <v>1566</v>
      </c>
      <c r="V108" s="446" t="s">
        <v>729</v>
      </c>
      <c r="W108" s="446" t="s">
        <v>914</v>
      </c>
      <c r="X108" s="447">
        <v>43553</v>
      </c>
      <c r="Y108" s="447" t="s">
        <v>71</v>
      </c>
      <c r="Z108" s="447"/>
      <c r="AA108" s="447">
        <f>+IF(X108="","",WORKDAY(X108,5))</f>
        <v>43560</v>
      </c>
      <c r="AB108" s="447">
        <f t="shared" si="33"/>
        <v>43567</v>
      </c>
      <c r="AC108" s="447">
        <v>43571</v>
      </c>
      <c r="AD108" s="449">
        <v>9408</v>
      </c>
      <c r="AE108" s="450">
        <v>0</v>
      </c>
      <c r="AF108" s="451">
        <f t="shared" si="35"/>
        <v>9408</v>
      </c>
      <c r="AG108" s="490">
        <v>47379</v>
      </c>
      <c r="AH108" s="452"/>
      <c r="AI108" s="450"/>
      <c r="AJ108" s="453">
        <v>0</v>
      </c>
      <c r="AK108" s="454">
        <v>47379</v>
      </c>
      <c r="AL108" s="565">
        <v>47379</v>
      </c>
      <c r="AM108" s="449"/>
      <c r="AN108" s="450">
        <v>0</v>
      </c>
      <c r="AO108" s="451">
        <f t="shared" si="27"/>
        <v>0</v>
      </c>
      <c r="AP108" s="452">
        <v>0</v>
      </c>
      <c r="AQ108" s="453">
        <v>0</v>
      </c>
      <c r="AR108" s="455"/>
      <c r="AS108" s="456">
        <f t="shared" si="25"/>
        <v>0</v>
      </c>
      <c r="AT108" s="457" t="s">
        <v>1012</v>
      </c>
      <c r="AX108" s="463">
        <f>(AP108+AQ108)-(AO108)</f>
        <v>0</v>
      </c>
    </row>
    <row r="109" spans="1:50" s="439" customFormat="1" ht="30" x14ac:dyDescent="0.25">
      <c r="A109" s="442" t="s">
        <v>1565</v>
      </c>
      <c r="B109" s="442" t="s">
        <v>124</v>
      </c>
      <c r="C109" s="443">
        <v>46</v>
      </c>
      <c r="D109" s="444" t="s">
        <v>1567</v>
      </c>
      <c r="E109" s="444"/>
      <c r="F109" s="444"/>
      <c r="G109" s="444"/>
      <c r="H109" s="444"/>
      <c r="I109" s="444"/>
      <c r="J109" s="444"/>
      <c r="K109" s="444"/>
      <c r="L109" s="444"/>
      <c r="M109" s="476">
        <v>43578</v>
      </c>
      <c r="N109" s="444"/>
      <c r="O109" s="444"/>
      <c r="P109" s="444"/>
      <c r="Q109" s="444"/>
      <c r="R109" s="444"/>
      <c r="S109" s="445" t="s">
        <v>26</v>
      </c>
      <c r="T109" s="444" t="s">
        <v>1262</v>
      </c>
      <c r="U109" s="475" t="s">
        <v>1669</v>
      </c>
      <c r="V109" s="446" t="s">
        <v>1670</v>
      </c>
      <c r="W109" s="446"/>
      <c r="X109" s="447"/>
      <c r="Y109" s="447"/>
      <c r="Z109" s="447"/>
      <c r="AA109" s="447"/>
      <c r="AB109" s="447"/>
      <c r="AC109" s="476">
        <v>43578</v>
      </c>
      <c r="AD109" s="449">
        <v>84860</v>
      </c>
      <c r="AE109" s="450"/>
      <c r="AF109" s="451">
        <f t="shared" si="35"/>
        <v>84860</v>
      </c>
      <c r="AG109" s="490">
        <f>AF109</f>
        <v>84860</v>
      </c>
      <c r="AH109" s="452"/>
      <c r="AI109" s="450"/>
      <c r="AJ109" s="453"/>
      <c r="AK109" s="454">
        <v>84860</v>
      </c>
      <c r="AL109" s="565">
        <v>84860</v>
      </c>
      <c r="AM109" s="449"/>
      <c r="AN109" s="450"/>
      <c r="AO109" s="451">
        <f t="shared" si="27"/>
        <v>0</v>
      </c>
      <c r="AP109" s="452">
        <v>0</v>
      </c>
      <c r="AQ109" s="453">
        <v>0</v>
      </c>
      <c r="AR109" s="455"/>
      <c r="AS109" s="456">
        <f t="shared" si="25"/>
        <v>0</v>
      </c>
      <c r="AT109" s="457"/>
      <c r="AX109" s="463"/>
    </row>
    <row r="110" spans="1:50" s="439" customFormat="1" ht="30" x14ac:dyDescent="0.25">
      <c r="A110" s="442" t="s">
        <v>670</v>
      </c>
      <c r="B110" s="442" t="s">
        <v>833</v>
      </c>
      <c r="C110" s="443"/>
      <c r="D110" s="444"/>
      <c r="E110" s="444"/>
      <c r="F110" s="444"/>
      <c r="G110" s="444"/>
      <c r="H110" s="444"/>
      <c r="I110" s="444"/>
      <c r="J110" s="444" t="s">
        <v>671</v>
      </c>
      <c r="K110" s="444"/>
      <c r="L110" s="444"/>
      <c r="M110" s="476">
        <v>43560</v>
      </c>
      <c r="N110" s="444" t="s">
        <v>621</v>
      </c>
      <c r="O110" s="444"/>
      <c r="P110" s="444"/>
      <c r="Q110" s="444"/>
      <c r="R110" s="444"/>
      <c r="S110" s="445" t="s">
        <v>26</v>
      </c>
      <c r="T110" s="444" t="s">
        <v>1262</v>
      </c>
      <c r="U110" s="475" t="s">
        <v>672</v>
      </c>
      <c r="V110" s="446" t="s">
        <v>673</v>
      </c>
      <c r="W110" s="446" t="s">
        <v>74</v>
      </c>
      <c r="X110" s="447">
        <v>43550</v>
      </c>
      <c r="Y110" s="447" t="s">
        <v>71</v>
      </c>
      <c r="Z110" s="447"/>
      <c r="AA110" s="447">
        <f>X110+1</f>
        <v>43551</v>
      </c>
      <c r="AB110" s="447">
        <f>+IF(X110="","",WORKDAY(X110,10))</f>
        <v>43564</v>
      </c>
      <c r="AC110" s="447">
        <v>43560</v>
      </c>
      <c r="AD110" s="449">
        <v>20547.61</v>
      </c>
      <c r="AE110" s="450"/>
      <c r="AF110" s="451">
        <f t="shared" si="35"/>
        <v>20547.61</v>
      </c>
      <c r="AG110" s="449">
        <f>AF110</f>
        <v>20547.61</v>
      </c>
      <c r="AH110" s="452"/>
      <c r="AI110" s="450"/>
      <c r="AJ110" s="453">
        <f t="shared" ref="AJ110:AJ115" si="36">+AF110-SUM(AG110:AI110)</f>
        <v>0</v>
      </c>
      <c r="AK110" s="454">
        <v>20547.61</v>
      </c>
      <c r="AL110" s="565">
        <v>20547.61</v>
      </c>
      <c r="AM110" s="449">
        <v>0</v>
      </c>
      <c r="AN110" s="450">
        <v>0</v>
      </c>
      <c r="AO110" s="451">
        <f t="shared" si="27"/>
        <v>0</v>
      </c>
      <c r="AP110" s="452">
        <v>0</v>
      </c>
      <c r="AQ110" s="453">
        <v>0</v>
      </c>
      <c r="AR110" s="455"/>
      <c r="AS110" s="456">
        <f t="shared" si="25"/>
        <v>0</v>
      </c>
      <c r="AT110" s="457"/>
      <c r="AV110" s="467"/>
    </row>
    <row r="111" spans="1:50" s="439" customFormat="1" ht="30" x14ac:dyDescent="0.25">
      <c r="A111" s="442" t="s">
        <v>685</v>
      </c>
      <c r="B111" s="442" t="s">
        <v>1170</v>
      </c>
      <c r="C111" s="443"/>
      <c r="D111" s="444" t="s">
        <v>862</v>
      </c>
      <c r="E111" s="444"/>
      <c r="F111" s="444"/>
      <c r="G111" s="444"/>
      <c r="H111" s="444"/>
      <c r="I111" s="444"/>
      <c r="J111" s="444" t="s">
        <v>686</v>
      </c>
      <c r="K111" s="444"/>
      <c r="L111" s="444"/>
      <c r="M111" s="476">
        <v>43606</v>
      </c>
      <c r="N111" s="444" t="s">
        <v>622</v>
      </c>
      <c r="O111" s="444"/>
      <c r="P111" s="444"/>
      <c r="Q111" s="444"/>
      <c r="R111" s="444"/>
      <c r="S111" s="445" t="s">
        <v>26</v>
      </c>
      <c r="T111" s="444" t="s">
        <v>1262</v>
      </c>
      <c r="U111" s="475" t="s">
        <v>687</v>
      </c>
      <c r="V111" s="446" t="s">
        <v>915</v>
      </c>
      <c r="W111" s="446" t="s">
        <v>74</v>
      </c>
      <c r="X111" s="447">
        <v>43550</v>
      </c>
      <c r="Y111" s="447" t="s">
        <v>71</v>
      </c>
      <c r="Z111" s="447"/>
      <c r="AA111" s="447">
        <f>X111+1</f>
        <v>43551</v>
      </c>
      <c r="AB111" s="447">
        <f>+IF(X111="","",WORKDAY(X111,10))</f>
        <v>43564</v>
      </c>
      <c r="AC111" s="447">
        <v>43560</v>
      </c>
      <c r="AD111" s="449">
        <v>82123.77</v>
      </c>
      <c r="AE111" s="450"/>
      <c r="AF111" s="451">
        <f t="shared" si="35"/>
        <v>82123.77</v>
      </c>
      <c r="AG111" s="449">
        <f>AF111</f>
        <v>82123.77</v>
      </c>
      <c r="AH111" s="452"/>
      <c r="AI111" s="450"/>
      <c r="AJ111" s="453">
        <f t="shared" si="36"/>
        <v>0</v>
      </c>
      <c r="AK111" s="454">
        <v>82123.77</v>
      </c>
      <c r="AL111" s="565">
        <v>82123.77</v>
      </c>
      <c r="AM111" s="449">
        <v>0</v>
      </c>
      <c r="AN111" s="450">
        <v>0</v>
      </c>
      <c r="AO111" s="451">
        <f t="shared" si="27"/>
        <v>0</v>
      </c>
      <c r="AP111" s="452">
        <v>0</v>
      </c>
      <c r="AQ111" s="453">
        <v>0</v>
      </c>
      <c r="AR111" s="455"/>
      <c r="AS111" s="456">
        <f t="shared" si="25"/>
        <v>0</v>
      </c>
      <c r="AT111" s="457"/>
      <c r="AV111" s="467"/>
    </row>
    <row r="112" spans="1:50" s="439" customFormat="1" ht="78.75" customHeight="1" x14ac:dyDescent="0.25">
      <c r="A112" s="442" t="s">
        <v>691</v>
      </c>
      <c r="B112" s="442" t="s">
        <v>124</v>
      </c>
      <c r="C112" s="443"/>
      <c r="D112" s="444" t="s">
        <v>905</v>
      </c>
      <c r="E112" s="444"/>
      <c r="F112" s="444"/>
      <c r="G112" s="444"/>
      <c r="H112" s="444"/>
      <c r="I112" s="444"/>
      <c r="J112" s="444" t="s">
        <v>692</v>
      </c>
      <c r="K112" s="444"/>
      <c r="L112" s="444"/>
      <c r="M112" s="476">
        <v>43627</v>
      </c>
      <c r="N112" s="444" t="s">
        <v>622</v>
      </c>
      <c r="O112" s="444"/>
      <c r="P112" s="444"/>
      <c r="Q112" s="444"/>
      <c r="R112" s="444"/>
      <c r="S112" s="445" t="s">
        <v>48</v>
      </c>
      <c r="T112" s="444" t="s">
        <v>85</v>
      </c>
      <c r="U112" s="475" t="s">
        <v>693</v>
      </c>
      <c r="V112" s="446" t="s">
        <v>694</v>
      </c>
      <c r="W112" s="446" t="s">
        <v>74</v>
      </c>
      <c r="X112" s="447">
        <v>43557</v>
      </c>
      <c r="Y112" s="447" t="s">
        <v>71</v>
      </c>
      <c r="Z112" s="447"/>
      <c r="AA112" s="447">
        <f>X112+1</f>
        <v>43558</v>
      </c>
      <c r="AB112" s="447">
        <f>+IF(X112="","",WORKDAY(X112,10))</f>
        <v>43571</v>
      </c>
      <c r="AC112" s="447">
        <v>43560</v>
      </c>
      <c r="AD112" s="449">
        <v>0</v>
      </c>
      <c r="AE112" s="450">
        <v>0</v>
      </c>
      <c r="AF112" s="451">
        <f t="shared" si="35"/>
        <v>0</v>
      </c>
      <c r="AG112" s="449"/>
      <c r="AH112" s="452"/>
      <c r="AI112" s="450">
        <f>AF112</f>
        <v>0</v>
      </c>
      <c r="AJ112" s="453">
        <f t="shared" si="36"/>
        <v>0</v>
      </c>
      <c r="AK112" s="454">
        <v>0</v>
      </c>
      <c r="AL112" s="565">
        <v>0</v>
      </c>
      <c r="AM112" s="449">
        <v>0</v>
      </c>
      <c r="AN112" s="450">
        <v>0</v>
      </c>
      <c r="AO112" s="451">
        <f t="shared" si="27"/>
        <v>0</v>
      </c>
      <c r="AP112" s="452">
        <v>0</v>
      </c>
      <c r="AQ112" s="453">
        <v>0</v>
      </c>
      <c r="AR112" s="455"/>
      <c r="AS112" s="456">
        <f t="shared" si="25"/>
        <v>0</v>
      </c>
      <c r="AT112" s="457"/>
      <c r="AV112" s="467"/>
    </row>
    <row r="113" spans="1:54" s="439" customFormat="1" ht="78.75" customHeight="1" x14ac:dyDescent="0.25">
      <c r="A113" s="442" t="s">
        <v>688</v>
      </c>
      <c r="B113" s="442" t="s">
        <v>124</v>
      </c>
      <c r="C113" s="443"/>
      <c r="D113" s="444"/>
      <c r="E113" s="444"/>
      <c r="F113" s="444"/>
      <c r="G113" s="444"/>
      <c r="H113" s="444"/>
      <c r="I113" s="444"/>
      <c r="J113" s="444" t="s">
        <v>689</v>
      </c>
      <c r="K113" s="444"/>
      <c r="L113" s="444"/>
      <c r="M113" s="476">
        <v>43561</v>
      </c>
      <c r="N113" s="444" t="s">
        <v>621</v>
      </c>
      <c r="O113" s="444" t="s">
        <v>621</v>
      </c>
      <c r="P113" s="444"/>
      <c r="Q113" s="444"/>
      <c r="R113" s="444"/>
      <c r="S113" s="445" t="s">
        <v>143</v>
      </c>
      <c r="T113" s="444" t="s">
        <v>85</v>
      </c>
      <c r="U113" s="475" t="s">
        <v>690</v>
      </c>
      <c r="V113" s="446" t="s">
        <v>913</v>
      </c>
      <c r="W113" s="446" t="s">
        <v>74</v>
      </c>
      <c r="X113" s="447">
        <v>43546</v>
      </c>
      <c r="Y113" s="447" t="s">
        <v>71</v>
      </c>
      <c r="Z113" s="447"/>
      <c r="AA113" s="447">
        <f>X113+1</f>
        <v>43547</v>
      </c>
      <c r="AB113" s="447">
        <f>+IF(X113="","",WORKDAY(X113,10))</f>
        <v>43560</v>
      </c>
      <c r="AC113" s="447">
        <v>43560</v>
      </c>
      <c r="AD113" s="449" t="s">
        <v>124</v>
      </c>
      <c r="AE113" s="450"/>
      <c r="AF113" s="451">
        <f t="shared" si="35"/>
        <v>0</v>
      </c>
      <c r="AG113" s="449"/>
      <c r="AH113" s="452"/>
      <c r="AI113" s="450"/>
      <c r="AJ113" s="453">
        <f t="shared" si="36"/>
        <v>0</v>
      </c>
      <c r="AK113" s="454">
        <v>0</v>
      </c>
      <c r="AL113" s="565">
        <v>0</v>
      </c>
      <c r="AM113" s="449">
        <v>0</v>
      </c>
      <c r="AN113" s="450">
        <v>0</v>
      </c>
      <c r="AO113" s="451">
        <f t="shared" si="27"/>
        <v>0</v>
      </c>
      <c r="AP113" s="452">
        <v>0</v>
      </c>
      <c r="AQ113" s="453">
        <v>0</v>
      </c>
      <c r="AR113" s="455"/>
      <c r="AS113" s="456">
        <f t="shared" si="25"/>
        <v>0</v>
      </c>
      <c r="AT113" s="457"/>
      <c r="AV113" s="467"/>
    </row>
    <row r="114" spans="1:54" s="439" customFormat="1" ht="45" x14ac:dyDescent="0.25">
      <c r="A114" s="442" t="s">
        <v>754</v>
      </c>
      <c r="B114" s="442" t="s">
        <v>833</v>
      </c>
      <c r="C114" s="443"/>
      <c r="D114" s="444" t="s">
        <v>798</v>
      </c>
      <c r="E114" s="444"/>
      <c r="F114" s="444"/>
      <c r="G114" s="444"/>
      <c r="H114" s="444"/>
      <c r="I114" s="444"/>
      <c r="J114" s="444" t="s">
        <v>755</v>
      </c>
      <c r="K114" s="444"/>
      <c r="L114" s="444"/>
      <c r="M114" s="476">
        <v>43578</v>
      </c>
      <c r="N114" s="444" t="s">
        <v>622</v>
      </c>
      <c r="O114" s="444"/>
      <c r="P114" s="444"/>
      <c r="Q114" s="444"/>
      <c r="R114" s="444"/>
      <c r="S114" s="445" t="s">
        <v>26</v>
      </c>
      <c r="T114" s="444" t="s">
        <v>85</v>
      </c>
      <c r="U114" s="475" t="s">
        <v>756</v>
      </c>
      <c r="V114" s="446" t="s">
        <v>757</v>
      </c>
      <c r="W114" s="446" t="s">
        <v>74</v>
      </c>
      <c r="X114" s="447">
        <v>43563</v>
      </c>
      <c r="Y114" s="447" t="s">
        <v>71</v>
      </c>
      <c r="Z114" s="447"/>
      <c r="AA114" s="447"/>
      <c r="AB114" s="447"/>
      <c r="AC114" s="447">
        <v>43569</v>
      </c>
      <c r="AD114" s="449">
        <v>108</v>
      </c>
      <c r="AE114" s="450"/>
      <c r="AF114" s="451">
        <f t="shared" si="35"/>
        <v>108</v>
      </c>
      <c r="AG114" s="449"/>
      <c r="AH114" s="452"/>
      <c r="AI114" s="450">
        <f>AF114</f>
        <v>108</v>
      </c>
      <c r="AJ114" s="453">
        <f t="shared" si="36"/>
        <v>0</v>
      </c>
      <c r="AK114" s="454">
        <v>108</v>
      </c>
      <c r="AL114" s="565">
        <v>108</v>
      </c>
      <c r="AM114" s="449">
        <v>0</v>
      </c>
      <c r="AN114" s="450">
        <v>0</v>
      </c>
      <c r="AO114" s="451">
        <f t="shared" si="27"/>
        <v>0</v>
      </c>
      <c r="AP114" s="452">
        <v>0</v>
      </c>
      <c r="AQ114" s="453">
        <v>0</v>
      </c>
      <c r="AR114" s="455"/>
      <c r="AS114" s="456">
        <f t="shared" si="25"/>
        <v>0</v>
      </c>
      <c r="AT114" s="457"/>
      <c r="AV114" s="467"/>
    </row>
    <row r="115" spans="1:54" s="439" customFormat="1" ht="45" customHeight="1" x14ac:dyDescent="0.25">
      <c r="A115" s="442" t="s">
        <v>762</v>
      </c>
      <c r="B115" s="442" t="s">
        <v>124</v>
      </c>
      <c r="C115" s="443"/>
      <c r="D115" s="444"/>
      <c r="E115" s="444"/>
      <c r="F115" s="444"/>
      <c r="G115" s="444"/>
      <c r="H115" s="444"/>
      <c r="I115" s="444"/>
      <c r="J115" s="444" t="s">
        <v>763</v>
      </c>
      <c r="K115" s="444"/>
      <c r="L115" s="444"/>
      <c r="M115" s="476">
        <v>43571</v>
      </c>
      <c r="N115" s="444" t="s">
        <v>621</v>
      </c>
      <c r="O115" s="444"/>
      <c r="P115" s="444"/>
      <c r="Q115" s="444"/>
      <c r="R115" s="444"/>
      <c r="S115" s="445" t="s">
        <v>68</v>
      </c>
      <c r="T115" s="444" t="s">
        <v>85</v>
      </c>
      <c r="U115" s="475" t="s">
        <v>764</v>
      </c>
      <c r="V115" s="446" t="s">
        <v>765</v>
      </c>
      <c r="W115" s="446" t="s">
        <v>74</v>
      </c>
      <c r="X115" s="447">
        <v>43563</v>
      </c>
      <c r="Y115" s="447" t="s">
        <v>71</v>
      </c>
      <c r="Z115" s="447"/>
      <c r="AA115" s="447">
        <f>X115+1</f>
        <v>43564</v>
      </c>
      <c r="AB115" s="447">
        <f>+IF(X115="","",WORKDAY(X115,10))</f>
        <v>43577</v>
      </c>
      <c r="AC115" s="447">
        <v>43571</v>
      </c>
      <c r="AD115" s="449" t="s">
        <v>64</v>
      </c>
      <c r="AE115" s="450"/>
      <c r="AF115" s="451">
        <f t="shared" si="35"/>
        <v>0</v>
      </c>
      <c r="AG115" s="449"/>
      <c r="AH115" s="452"/>
      <c r="AI115" s="450"/>
      <c r="AJ115" s="453">
        <f t="shared" si="36"/>
        <v>0</v>
      </c>
      <c r="AK115" s="454">
        <v>0</v>
      </c>
      <c r="AL115" s="565">
        <v>0</v>
      </c>
      <c r="AM115" s="449">
        <v>0</v>
      </c>
      <c r="AN115" s="450">
        <v>0</v>
      </c>
      <c r="AO115" s="451">
        <f t="shared" si="27"/>
        <v>0</v>
      </c>
      <c r="AP115" s="452">
        <v>0</v>
      </c>
      <c r="AQ115" s="453">
        <v>0</v>
      </c>
      <c r="AR115" s="455"/>
      <c r="AS115" s="456">
        <f t="shared" si="25"/>
        <v>0</v>
      </c>
      <c r="AT115" s="457"/>
      <c r="AV115" s="467"/>
    </row>
    <row r="116" spans="1:54" s="439" customFormat="1" ht="78.75" customHeight="1" x14ac:dyDescent="0.25">
      <c r="A116" s="442" t="s">
        <v>760</v>
      </c>
      <c r="B116" s="442" t="s">
        <v>124</v>
      </c>
      <c r="C116" s="443"/>
      <c r="D116" s="444"/>
      <c r="E116" s="444"/>
      <c r="F116" s="444"/>
      <c r="G116" s="444"/>
      <c r="H116" s="444"/>
      <c r="I116" s="444"/>
      <c r="J116" s="444" t="s">
        <v>906</v>
      </c>
      <c r="K116" s="444"/>
      <c r="L116" s="444"/>
      <c r="M116" s="476">
        <v>43629</v>
      </c>
      <c r="N116" s="444" t="s">
        <v>621</v>
      </c>
      <c r="O116" s="444"/>
      <c r="P116" s="444"/>
      <c r="Q116" s="444"/>
      <c r="R116" s="444"/>
      <c r="S116" s="523" t="s">
        <v>68</v>
      </c>
      <c r="T116" s="444" t="s">
        <v>85</v>
      </c>
      <c r="U116" s="475" t="s">
        <v>761</v>
      </c>
      <c r="V116" s="446" t="s">
        <v>916</v>
      </c>
      <c r="W116" s="446" t="s">
        <v>74</v>
      </c>
      <c r="X116" s="447"/>
      <c r="Y116" s="447" t="s">
        <v>71</v>
      </c>
      <c r="Z116" s="447"/>
      <c r="AA116" s="447"/>
      <c r="AB116" s="447"/>
      <c r="AC116" s="447">
        <v>43571</v>
      </c>
      <c r="AD116" s="449">
        <v>1043689.22</v>
      </c>
      <c r="AE116" s="450">
        <f>-1043689</f>
        <v>-1043689</v>
      </c>
      <c r="AF116" s="451">
        <f t="shared" si="35"/>
        <v>0.21999999997206032</v>
      </c>
      <c r="AG116" s="449"/>
      <c r="AH116" s="452"/>
      <c r="AI116" s="450">
        <v>0</v>
      </c>
      <c r="AJ116" s="453">
        <v>0</v>
      </c>
      <c r="AK116" s="454">
        <v>0</v>
      </c>
      <c r="AL116" s="565">
        <v>0</v>
      </c>
      <c r="AM116" s="449">
        <v>0</v>
      </c>
      <c r="AN116" s="450">
        <v>0</v>
      </c>
      <c r="AO116" s="451">
        <f t="shared" si="27"/>
        <v>0</v>
      </c>
      <c r="AP116" s="452">
        <v>0</v>
      </c>
      <c r="AQ116" s="453">
        <v>0</v>
      </c>
      <c r="AR116" s="455"/>
      <c r="AS116" s="456">
        <f t="shared" si="25"/>
        <v>0</v>
      </c>
      <c r="AT116" s="457" t="s">
        <v>1012</v>
      </c>
      <c r="AV116" s="467"/>
      <c r="AX116" s="463">
        <f>(AP116+AQ116)-(AO116)</f>
        <v>0</v>
      </c>
    </row>
    <row r="117" spans="1:54" s="439" customFormat="1" ht="45" customHeight="1" x14ac:dyDescent="0.25">
      <c r="A117" s="442" t="s">
        <v>769</v>
      </c>
      <c r="B117" s="442" t="s">
        <v>124</v>
      </c>
      <c r="C117" s="443"/>
      <c r="D117" s="444"/>
      <c r="E117" s="444"/>
      <c r="F117" s="444"/>
      <c r="G117" s="444"/>
      <c r="H117" s="444"/>
      <c r="I117" s="444"/>
      <c r="J117" s="444" t="s">
        <v>770</v>
      </c>
      <c r="K117" s="444"/>
      <c r="L117" s="444"/>
      <c r="M117" s="476">
        <v>43579</v>
      </c>
      <c r="N117" s="444" t="s">
        <v>621</v>
      </c>
      <c r="O117" s="444"/>
      <c r="P117" s="444"/>
      <c r="Q117" s="444"/>
      <c r="R117" s="444"/>
      <c r="S117" s="445" t="s">
        <v>68</v>
      </c>
      <c r="T117" s="444" t="s">
        <v>85</v>
      </c>
      <c r="U117" s="475" t="s">
        <v>476</v>
      </c>
      <c r="V117" s="446" t="s">
        <v>917</v>
      </c>
      <c r="W117" s="446" t="s">
        <v>922</v>
      </c>
      <c r="X117" s="447"/>
      <c r="Y117" s="447" t="s">
        <v>71</v>
      </c>
      <c r="Z117" s="447"/>
      <c r="AA117" s="447"/>
      <c r="AB117" s="447"/>
      <c r="AC117" s="447">
        <v>43579</v>
      </c>
      <c r="AD117" s="449">
        <v>714501.71</v>
      </c>
      <c r="AE117" s="450">
        <v>-714501.71</v>
      </c>
      <c r="AF117" s="451">
        <f t="shared" si="35"/>
        <v>0</v>
      </c>
      <c r="AG117" s="449"/>
      <c r="AH117" s="452"/>
      <c r="AI117" s="450"/>
      <c r="AJ117" s="453">
        <f t="shared" ref="AJ117:AJ122" si="37">+AF117-SUM(AG117:AI117)</f>
        <v>0</v>
      </c>
      <c r="AK117" s="454">
        <v>0</v>
      </c>
      <c r="AL117" s="565">
        <v>0</v>
      </c>
      <c r="AM117" s="449">
        <v>0</v>
      </c>
      <c r="AN117" s="450">
        <v>0</v>
      </c>
      <c r="AO117" s="451">
        <f t="shared" si="27"/>
        <v>0</v>
      </c>
      <c r="AP117" s="452">
        <v>0</v>
      </c>
      <c r="AQ117" s="453">
        <v>0</v>
      </c>
      <c r="AR117" s="455"/>
      <c r="AS117" s="456">
        <f t="shared" si="25"/>
        <v>0</v>
      </c>
      <c r="AT117" s="457"/>
      <c r="AV117" s="467"/>
    </row>
    <row r="118" spans="1:54" s="439" customFormat="1" ht="30" x14ac:dyDescent="0.25">
      <c r="A118" s="442" t="s">
        <v>773</v>
      </c>
      <c r="B118" s="442" t="s">
        <v>1085</v>
      </c>
      <c r="C118" s="443"/>
      <c r="D118" s="444" t="s">
        <v>990</v>
      </c>
      <c r="E118" s="444"/>
      <c r="F118" s="444"/>
      <c r="G118" s="444"/>
      <c r="H118" s="444"/>
      <c r="I118" s="444"/>
      <c r="J118" s="444" t="s">
        <v>795</v>
      </c>
      <c r="K118" s="444"/>
      <c r="L118" s="444"/>
      <c r="M118" s="476">
        <v>43585</v>
      </c>
      <c r="N118" s="444" t="s">
        <v>622</v>
      </c>
      <c r="O118" s="444"/>
      <c r="P118" s="444"/>
      <c r="Q118" s="444"/>
      <c r="R118" s="444"/>
      <c r="S118" s="445" t="s">
        <v>26</v>
      </c>
      <c r="T118" s="444" t="s">
        <v>85</v>
      </c>
      <c r="U118" s="475" t="s">
        <v>776</v>
      </c>
      <c r="V118" s="446" t="s">
        <v>918</v>
      </c>
      <c r="W118" s="446" t="s">
        <v>74</v>
      </c>
      <c r="X118" s="447">
        <v>43573</v>
      </c>
      <c r="Y118" s="447" t="s">
        <v>71</v>
      </c>
      <c r="Z118" s="447"/>
      <c r="AA118" s="447">
        <f>X118+1</f>
        <v>43574</v>
      </c>
      <c r="AB118" s="447">
        <f>+IF(X118="","",WORKDAY(X118,10))</f>
        <v>43587</v>
      </c>
      <c r="AC118" s="447">
        <v>43585</v>
      </c>
      <c r="AD118" s="449">
        <v>8146.8</v>
      </c>
      <c r="AE118" s="450">
        <f>-(AD118-6283.56)</f>
        <v>-1863.2399999999998</v>
      </c>
      <c r="AF118" s="451">
        <f t="shared" si="35"/>
        <v>6283.56</v>
      </c>
      <c r="AG118" s="449"/>
      <c r="AH118" s="452"/>
      <c r="AI118" s="450">
        <f>AF118</f>
        <v>6283.56</v>
      </c>
      <c r="AJ118" s="453">
        <f t="shared" si="37"/>
        <v>0</v>
      </c>
      <c r="AK118" s="454">
        <f>+AI118</f>
        <v>6283.56</v>
      </c>
      <c r="AL118" s="565">
        <v>6283.56</v>
      </c>
      <c r="AM118" s="449">
        <v>0</v>
      </c>
      <c r="AN118" s="450">
        <v>0</v>
      </c>
      <c r="AO118" s="451">
        <f t="shared" si="27"/>
        <v>0</v>
      </c>
      <c r="AP118" s="452">
        <v>0</v>
      </c>
      <c r="AQ118" s="453">
        <v>0</v>
      </c>
      <c r="AR118" s="455"/>
      <c r="AS118" s="456">
        <f t="shared" si="25"/>
        <v>0</v>
      </c>
      <c r="AT118" s="457"/>
      <c r="AV118" s="467"/>
    </row>
    <row r="119" spans="1:54" s="439" customFormat="1" ht="78.75" customHeight="1" x14ac:dyDescent="0.25">
      <c r="A119" s="442" t="s">
        <v>771</v>
      </c>
      <c r="B119" s="442" t="s">
        <v>124</v>
      </c>
      <c r="C119" s="443"/>
      <c r="D119" s="444" t="s">
        <v>1916</v>
      </c>
      <c r="E119" s="444"/>
      <c r="F119" s="444"/>
      <c r="G119" s="444"/>
      <c r="H119" s="444"/>
      <c r="I119" s="444"/>
      <c r="J119" s="444" t="s">
        <v>772</v>
      </c>
      <c r="K119" s="444"/>
      <c r="L119" s="444"/>
      <c r="M119" s="476">
        <v>43955</v>
      </c>
      <c r="N119" s="444" t="s">
        <v>621</v>
      </c>
      <c r="O119" s="444"/>
      <c r="P119" s="444"/>
      <c r="Q119" s="444"/>
      <c r="R119" s="444"/>
      <c r="S119" s="445" t="s">
        <v>26</v>
      </c>
      <c r="T119" s="444" t="s">
        <v>1262</v>
      </c>
      <c r="U119" s="475" t="s">
        <v>805</v>
      </c>
      <c r="V119" s="446" t="s">
        <v>913</v>
      </c>
      <c r="W119" s="446" t="s">
        <v>74</v>
      </c>
      <c r="X119" s="447">
        <v>43570</v>
      </c>
      <c r="Y119" s="447" t="s">
        <v>71</v>
      </c>
      <c r="Z119" s="447"/>
      <c r="AA119" s="447">
        <f>X119+1</f>
        <v>43571</v>
      </c>
      <c r="AB119" s="447">
        <f>+IF(X119="","",WORKDAY(X119,10))</f>
        <v>43584</v>
      </c>
      <c r="AC119" s="447">
        <v>43581</v>
      </c>
      <c r="AD119" s="449">
        <v>140811.26</v>
      </c>
      <c r="AE119" s="450"/>
      <c r="AF119" s="451">
        <f t="shared" si="35"/>
        <v>140811.26</v>
      </c>
      <c r="AG119" s="449">
        <v>89820.479999999996</v>
      </c>
      <c r="AH119" s="452"/>
      <c r="AI119" s="450"/>
      <c r="AJ119" s="453">
        <f t="shared" si="37"/>
        <v>50990.780000000013</v>
      </c>
      <c r="AK119" s="454">
        <v>89820.479999999996</v>
      </c>
      <c r="AL119" s="565">
        <v>89820.479999999996</v>
      </c>
      <c r="AM119" s="449"/>
      <c r="AN119" s="450">
        <v>0</v>
      </c>
      <c r="AO119" s="451">
        <f t="shared" si="27"/>
        <v>0</v>
      </c>
      <c r="AP119" s="452">
        <v>0</v>
      </c>
      <c r="AQ119" s="453">
        <v>0</v>
      </c>
      <c r="AR119" s="455"/>
      <c r="AS119" s="456">
        <f t="shared" si="25"/>
        <v>0</v>
      </c>
      <c r="AT119" s="457"/>
      <c r="AV119" s="467"/>
    </row>
    <row r="120" spans="1:54" s="439" customFormat="1" ht="90" customHeight="1" x14ac:dyDescent="0.25">
      <c r="A120" s="442" t="s">
        <v>777</v>
      </c>
      <c r="B120" s="442" t="s">
        <v>124</v>
      </c>
      <c r="C120" s="443"/>
      <c r="D120" s="444"/>
      <c r="E120" s="444"/>
      <c r="F120" s="444"/>
      <c r="G120" s="444"/>
      <c r="H120" s="444"/>
      <c r="I120" s="444"/>
      <c r="J120" s="444" t="s">
        <v>778</v>
      </c>
      <c r="K120" s="444"/>
      <c r="L120" s="444"/>
      <c r="M120" s="476">
        <v>43585</v>
      </c>
      <c r="N120" s="444" t="s">
        <v>621</v>
      </c>
      <c r="O120" s="444" t="s">
        <v>621</v>
      </c>
      <c r="P120" s="442" t="s">
        <v>1883</v>
      </c>
      <c r="Q120" s="444"/>
      <c r="R120" s="444"/>
      <c r="S120" s="445" t="s">
        <v>143</v>
      </c>
      <c r="T120" s="444" t="s">
        <v>85</v>
      </c>
      <c r="U120" s="475" t="s">
        <v>779</v>
      </c>
      <c r="V120" s="446" t="s">
        <v>919</v>
      </c>
      <c r="W120" s="446" t="s">
        <v>74</v>
      </c>
      <c r="X120" s="447"/>
      <c r="Y120" s="447" t="s">
        <v>71</v>
      </c>
      <c r="Z120" s="447"/>
      <c r="AA120" s="447"/>
      <c r="AB120" s="447"/>
      <c r="AC120" s="447">
        <v>43585</v>
      </c>
      <c r="AD120" s="449">
        <v>14108.64</v>
      </c>
      <c r="AE120" s="450"/>
      <c r="AF120" s="451">
        <f t="shared" si="35"/>
        <v>14108.64</v>
      </c>
      <c r="AG120" s="449"/>
      <c r="AH120" s="452"/>
      <c r="AI120" s="450">
        <f>AF120</f>
        <v>14108.64</v>
      </c>
      <c r="AJ120" s="453">
        <f t="shared" si="37"/>
        <v>0</v>
      </c>
      <c r="AK120" s="454">
        <v>0</v>
      </c>
      <c r="AL120" s="565">
        <v>0</v>
      </c>
      <c r="AM120" s="449">
        <v>0</v>
      </c>
      <c r="AN120" s="450">
        <v>0</v>
      </c>
      <c r="AO120" s="451">
        <f t="shared" si="27"/>
        <v>0</v>
      </c>
      <c r="AP120" s="452">
        <v>0</v>
      </c>
      <c r="AQ120" s="453">
        <v>0</v>
      </c>
      <c r="AR120" s="462"/>
      <c r="AS120" s="456">
        <f t="shared" si="25"/>
        <v>0</v>
      </c>
      <c r="AT120" s="457" t="s">
        <v>1012</v>
      </c>
      <c r="AV120" s="467"/>
      <c r="AX120" s="463">
        <f>(AP120+AQ120)-(AO120)</f>
        <v>0</v>
      </c>
      <c r="BB120" s="463">
        <f>(AM120+AN120)-AO120</f>
        <v>0</v>
      </c>
    </row>
    <row r="121" spans="1:54" s="439" customFormat="1" ht="45" x14ac:dyDescent="0.25">
      <c r="A121" s="442" t="s">
        <v>780</v>
      </c>
      <c r="B121" s="442" t="s">
        <v>1085</v>
      </c>
      <c r="C121" s="443">
        <v>52</v>
      </c>
      <c r="D121" s="444" t="s">
        <v>781</v>
      </c>
      <c r="E121" s="444"/>
      <c r="F121" s="444"/>
      <c r="G121" s="444"/>
      <c r="H121" s="444"/>
      <c r="I121" s="444"/>
      <c r="J121" s="444" t="s">
        <v>829</v>
      </c>
      <c r="K121" s="444"/>
      <c r="L121" s="444"/>
      <c r="M121" s="476">
        <v>43598</v>
      </c>
      <c r="N121" s="444" t="s">
        <v>621</v>
      </c>
      <c r="O121" s="444"/>
      <c r="P121" s="444"/>
      <c r="Q121" s="444"/>
      <c r="R121" s="444"/>
      <c r="S121" s="445" t="s">
        <v>26</v>
      </c>
      <c r="T121" s="444" t="s">
        <v>133</v>
      </c>
      <c r="U121" s="475" t="s">
        <v>782</v>
      </c>
      <c r="V121" s="446" t="s">
        <v>794</v>
      </c>
      <c r="W121" s="446" t="s">
        <v>74</v>
      </c>
      <c r="X121" s="447">
        <v>43585</v>
      </c>
      <c r="Y121" s="447" t="s">
        <v>71</v>
      </c>
      <c r="Z121" s="447"/>
      <c r="AA121" s="447">
        <f t="shared" ref="AA121:AA126" si="38">X121+1</f>
        <v>43586</v>
      </c>
      <c r="AB121" s="447">
        <f t="shared" ref="AB121:AB134" si="39">+IF(X121="","",WORKDAY(X121,10))</f>
        <v>43599</v>
      </c>
      <c r="AC121" s="447">
        <v>43599</v>
      </c>
      <c r="AD121" s="449">
        <v>160143.24</v>
      </c>
      <c r="AE121" s="450">
        <f>162547.66-AD121</f>
        <v>2404.4200000000128</v>
      </c>
      <c r="AF121" s="461">
        <f t="shared" si="35"/>
        <v>162547.66</v>
      </c>
      <c r="AG121" s="449"/>
      <c r="AH121" s="452"/>
      <c r="AI121" s="450">
        <f>AF121</f>
        <v>162547.66</v>
      </c>
      <c r="AJ121" s="453">
        <f t="shared" si="37"/>
        <v>0</v>
      </c>
      <c r="AK121" s="454">
        <v>162547.66</v>
      </c>
      <c r="AL121" s="565">
        <v>162547.66</v>
      </c>
      <c r="AM121" s="449">
        <v>0</v>
      </c>
      <c r="AN121" s="450">
        <v>0</v>
      </c>
      <c r="AO121" s="451">
        <f t="shared" si="27"/>
        <v>0</v>
      </c>
      <c r="AP121" s="452">
        <v>0</v>
      </c>
      <c r="AQ121" s="453">
        <v>0</v>
      </c>
      <c r="AR121" s="455"/>
      <c r="AS121" s="456">
        <f t="shared" si="25"/>
        <v>0</v>
      </c>
      <c r="AT121" s="457" t="s">
        <v>1012</v>
      </c>
      <c r="AV121" s="467"/>
    </row>
    <row r="122" spans="1:54" s="439" customFormat="1" ht="45" x14ac:dyDescent="0.25">
      <c r="A122" s="442" t="s">
        <v>783</v>
      </c>
      <c r="B122" s="442" t="s">
        <v>1170</v>
      </c>
      <c r="C122" s="443">
        <v>53</v>
      </c>
      <c r="D122" s="444" t="s">
        <v>784</v>
      </c>
      <c r="E122" s="444"/>
      <c r="F122" s="444"/>
      <c r="G122" s="444"/>
      <c r="H122" s="444"/>
      <c r="I122" s="444"/>
      <c r="J122" s="444" t="s">
        <v>810</v>
      </c>
      <c r="K122" s="444"/>
      <c r="L122" s="444"/>
      <c r="M122" s="476">
        <v>43595</v>
      </c>
      <c r="N122" s="444" t="s">
        <v>621</v>
      </c>
      <c r="O122" s="444"/>
      <c r="P122" s="444"/>
      <c r="Q122" s="444"/>
      <c r="R122" s="444"/>
      <c r="S122" s="445" t="s">
        <v>26</v>
      </c>
      <c r="T122" s="444" t="s">
        <v>1262</v>
      </c>
      <c r="U122" s="475" t="s">
        <v>785</v>
      </c>
      <c r="V122" s="446" t="s">
        <v>793</v>
      </c>
      <c r="W122" s="446" t="s">
        <v>74</v>
      </c>
      <c r="X122" s="447">
        <v>43585</v>
      </c>
      <c r="Y122" s="447" t="s">
        <v>71</v>
      </c>
      <c r="Z122" s="447"/>
      <c r="AA122" s="447">
        <f t="shared" si="38"/>
        <v>43586</v>
      </c>
      <c r="AB122" s="447">
        <f t="shared" si="39"/>
        <v>43599</v>
      </c>
      <c r="AC122" s="447">
        <v>43595</v>
      </c>
      <c r="AD122" s="449">
        <v>332097.48</v>
      </c>
      <c r="AE122" s="450">
        <f>94053-332097</f>
        <v>-238044</v>
      </c>
      <c r="AF122" s="451">
        <f t="shared" si="35"/>
        <v>94053.479999999981</v>
      </c>
      <c r="AG122" s="449">
        <f>AF122</f>
        <v>94053.479999999981</v>
      </c>
      <c r="AH122" s="452"/>
      <c r="AI122" s="450"/>
      <c r="AJ122" s="453">
        <f t="shared" si="37"/>
        <v>0</v>
      </c>
      <c r="AK122" s="454">
        <v>94053.13</v>
      </c>
      <c r="AL122" s="565">
        <v>94053.13</v>
      </c>
      <c r="AM122" s="449">
        <v>0</v>
      </c>
      <c r="AN122" s="450">
        <v>0.47999999998137355</v>
      </c>
      <c r="AO122" s="451">
        <f t="shared" si="27"/>
        <v>0.47999999998137355</v>
      </c>
      <c r="AP122" s="452">
        <v>0.47999999998137355</v>
      </c>
      <c r="AQ122" s="453">
        <v>0</v>
      </c>
      <c r="AR122" s="455"/>
      <c r="AS122" s="456">
        <f t="shared" si="25"/>
        <v>0</v>
      </c>
      <c r="AT122" s="457"/>
      <c r="AV122" s="467"/>
    </row>
    <row r="123" spans="1:54" s="439" customFormat="1" ht="75.75" x14ac:dyDescent="0.25">
      <c r="A123" s="442" t="s">
        <v>799</v>
      </c>
      <c r="B123" s="442" t="s">
        <v>1581</v>
      </c>
      <c r="C123" s="443"/>
      <c r="D123" s="444" t="s">
        <v>1582</v>
      </c>
      <c r="E123" s="444"/>
      <c r="F123" s="444"/>
      <c r="G123" s="444"/>
      <c r="H123" s="444"/>
      <c r="I123" s="444"/>
      <c r="J123" s="444" t="s">
        <v>1363</v>
      </c>
      <c r="K123" s="444"/>
      <c r="L123" s="444"/>
      <c r="M123" s="476">
        <v>43739</v>
      </c>
      <c r="N123" s="444" t="s">
        <v>621</v>
      </c>
      <c r="O123" s="444"/>
      <c r="P123" s="444"/>
      <c r="Q123" s="444"/>
      <c r="R123" s="444"/>
      <c r="S123" s="445" t="s">
        <v>26</v>
      </c>
      <c r="T123" s="444" t="s">
        <v>1262</v>
      </c>
      <c r="U123" s="475" t="s">
        <v>804</v>
      </c>
      <c r="V123" s="446" t="s">
        <v>1011</v>
      </c>
      <c r="W123" s="446" t="s">
        <v>74</v>
      </c>
      <c r="X123" s="447">
        <v>43585</v>
      </c>
      <c r="Y123" s="447" t="s">
        <v>71</v>
      </c>
      <c r="Z123" s="447"/>
      <c r="AA123" s="447">
        <f t="shared" si="38"/>
        <v>43586</v>
      </c>
      <c r="AB123" s="447">
        <f t="shared" si="39"/>
        <v>43599</v>
      </c>
      <c r="AC123" s="447">
        <v>43591</v>
      </c>
      <c r="AD123" s="449">
        <v>64167.98</v>
      </c>
      <c r="AE123" s="450">
        <v>0</v>
      </c>
      <c r="AF123" s="487">
        <f t="shared" si="35"/>
        <v>64167.98</v>
      </c>
      <c r="AG123" s="449"/>
      <c r="AH123" s="452"/>
      <c r="AI123" s="450"/>
      <c r="AJ123" s="453">
        <v>0</v>
      </c>
      <c r="AK123" s="565">
        <v>64167.98</v>
      </c>
      <c r="AL123" s="565">
        <v>64167.98</v>
      </c>
      <c r="AM123" s="449"/>
      <c r="AN123" s="450">
        <v>0</v>
      </c>
      <c r="AO123" s="451">
        <f t="shared" si="27"/>
        <v>0</v>
      </c>
      <c r="AP123" s="452">
        <v>0</v>
      </c>
      <c r="AQ123" s="453">
        <v>0</v>
      </c>
      <c r="AR123" s="455"/>
      <c r="AS123" s="456">
        <f t="shared" si="25"/>
        <v>0</v>
      </c>
      <c r="AT123" s="488" t="s">
        <v>984</v>
      </c>
      <c r="AV123" s="467"/>
    </row>
    <row r="124" spans="1:54" s="439" customFormat="1" ht="78.75" customHeight="1" x14ac:dyDescent="0.25">
      <c r="A124" s="442" t="s">
        <v>800</v>
      </c>
      <c r="B124" s="442" t="s">
        <v>124</v>
      </c>
      <c r="C124" s="443"/>
      <c r="D124" s="444"/>
      <c r="E124" s="444"/>
      <c r="F124" s="444"/>
      <c r="G124" s="444"/>
      <c r="H124" s="444"/>
      <c r="I124" s="444"/>
      <c r="J124" s="444" t="s">
        <v>801</v>
      </c>
      <c r="K124" s="444"/>
      <c r="L124" s="444"/>
      <c r="M124" s="476">
        <v>43587</v>
      </c>
      <c r="N124" s="444" t="s">
        <v>621</v>
      </c>
      <c r="O124" s="444" t="s">
        <v>621</v>
      </c>
      <c r="P124" s="444"/>
      <c r="Q124" s="444"/>
      <c r="R124" s="444"/>
      <c r="S124" s="445" t="s">
        <v>143</v>
      </c>
      <c r="T124" s="444" t="s">
        <v>85</v>
      </c>
      <c r="U124" s="475" t="s">
        <v>802</v>
      </c>
      <c r="V124" s="446" t="s">
        <v>803</v>
      </c>
      <c r="W124" s="446" t="s">
        <v>74</v>
      </c>
      <c r="X124" s="447">
        <v>43585</v>
      </c>
      <c r="Y124" s="447" t="s">
        <v>71</v>
      </c>
      <c r="Z124" s="447"/>
      <c r="AA124" s="447">
        <f t="shared" si="38"/>
        <v>43586</v>
      </c>
      <c r="AB124" s="447">
        <f t="shared" si="39"/>
        <v>43599</v>
      </c>
      <c r="AC124" s="447">
        <v>43587</v>
      </c>
      <c r="AD124" s="449" t="s">
        <v>124</v>
      </c>
      <c r="AE124" s="450"/>
      <c r="AF124" s="451">
        <f t="shared" si="35"/>
        <v>0</v>
      </c>
      <c r="AG124" s="449"/>
      <c r="AH124" s="452"/>
      <c r="AI124" s="450"/>
      <c r="AJ124" s="453">
        <f t="shared" ref="AJ124:AJ134" si="40">+AF124-SUM(AG124:AI124)</f>
        <v>0</v>
      </c>
      <c r="AK124" s="454">
        <v>0</v>
      </c>
      <c r="AL124" s="565">
        <v>0</v>
      </c>
      <c r="AM124" s="449">
        <v>0</v>
      </c>
      <c r="AN124" s="450">
        <v>0</v>
      </c>
      <c r="AO124" s="451">
        <f t="shared" si="27"/>
        <v>0</v>
      </c>
      <c r="AP124" s="452">
        <v>0</v>
      </c>
      <c r="AQ124" s="453">
        <v>0</v>
      </c>
      <c r="AR124" s="455"/>
      <c r="AS124" s="456">
        <f t="shared" si="25"/>
        <v>0</v>
      </c>
      <c r="AT124" s="457"/>
      <c r="AV124" s="467"/>
    </row>
    <row r="125" spans="1:54" s="439" customFormat="1" ht="30" x14ac:dyDescent="0.25">
      <c r="A125" s="442" t="s">
        <v>815</v>
      </c>
      <c r="B125" s="442" t="s">
        <v>124</v>
      </c>
      <c r="C125" s="443"/>
      <c r="D125" s="444"/>
      <c r="E125" s="444"/>
      <c r="F125" s="444"/>
      <c r="G125" s="444"/>
      <c r="H125" s="444"/>
      <c r="I125" s="444"/>
      <c r="J125" s="444" t="s">
        <v>824</v>
      </c>
      <c r="K125" s="444"/>
      <c r="L125" s="444"/>
      <c r="M125" s="476">
        <v>43591</v>
      </c>
      <c r="N125" s="444" t="s">
        <v>621</v>
      </c>
      <c r="O125" s="444"/>
      <c r="P125" s="444"/>
      <c r="Q125" s="444"/>
      <c r="R125" s="444"/>
      <c r="S125" s="445" t="s">
        <v>26</v>
      </c>
      <c r="T125" s="444" t="s">
        <v>1262</v>
      </c>
      <c r="U125" s="475" t="s">
        <v>825</v>
      </c>
      <c r="V125" s="446" t="s">
        <v>826</v>
      </c>
      <c r="W125" s="446" t="s">
        <v>2029</v>
      </c>
      <c r="X125" s="447">
        <v>43581</v>
      </c>
      <c r="Y125" s="447" t="s">
        <v>71</v>
      </c>
      <c r="Z125" s="447"/>
      <c r="AA125" s="447">
        <f t="shared" si="38"/>
        <v>43582</v>
      </c>
      <c r="AB125" s="447">
        <f t="shared" si="39"/>
        <v>43595</v>
      </c>
      <c r="AC125" s="447">
        <v>43591</v>
      </c>
      <c r="AD125" s="449">
        <v>0</v>
      </c>
      <c r="AE125" s="450"/>
      <c r="AF125" s="489">
        <f t="shared" si="35"/>
        <v>0</v>
      </c>
      <c r="AG125" s="490">
        <v>0</v>
      </c>
      <c r="AH125" s="452"/>
      <c r="AI125" s="450"/>
      <c r="AJ125" s="453">
        <f t="shared" si="40"/>
        <v>0</v>
      </c>
      <c r="AK125" s="454">
        <v>0</v>
      </c>
      <c r="AL125" s="565">
        <v>0</v>
      </c>
      <c r="AM125" s="449"/>
      <c r="AN125" s="450">
        <v>0</v>
      </c>
      <c r="AO125" s="451">
        <f t="shared" si="27"/>
        <v>0</v>
      </c>
      <c r="AP125" s="452">
        <v>0</v>
      </c>
      <c r="AQ125" s="453">
        <v>0</v>
      </c>
      <c r="AR125" s="455"/>
      <c r="AS125" s="456">
        <f t="shared" si="25"/>
        <v>0</v>
      </c>
      <c r="AT125" s="457"/>
      <c r="AV125" s="467"/>
    </row>
    <row r="126" spans="1:54" s="439" customFormat="1" ht="78.75" customHeight="1" x14ac:dyDescent="0.25">
      <c r="A126" s="442" t="s">
        <v>816</v>
      </c>
      <c r="B126" s="442" t="s">
        <v>124</v>
      </c>
      <c r="C126" s="443"/>
      <c r="D126" s="444"/>
      <c r="E126" s="444"/>
      <c r="F126" s="444"/>
      <c r="G126" s="444"/>
      <c r="H126" s="444"/>
      <c r="I126" s="444"/>
      <c r="J126" s="444" t="s">
        <v>827</v>
      </c>
      <c r="K126" s="444"/>
      <c r="L126" s="444"/>
      <c r="M126" s="476">
        <v>43592</v>
      </c>
      <c r="N126" s="444" t="s">
        <v>621</v>
      </c>
      <c r="O126" s="444"/>
      <c r="P126" s="444"/>
      <c r="Q126" s="444"/>
      <c r="R126" s="444"/>
      <c r="S126" s="445" t="s">
        <v>143</v>
      </c>
      <c r="T126" s="444" t="s">
        <v>85</v>
      </c>
      <c r="U126" s="475" t="s">
        <v>820</v>
      </c>
      <c r="V126" s="446" t="s">
        <v>828</v>
      </c>
      <c r="W126" s="446"/>
      <c r="X126" s="447">
        <v>43585</v>
      </c>
      <c r="Y126" s="447" t="s">
        <v>71</v>
      </c>
      <c r="Z126" s="447"/>
      <c r="AA126" s="447">
        <f t="shared" si="38"/>
        <v>43586</v>
      </c>
      <c r="AB126" s="447">
        <f t="shared" si="39"/>
        <v>43599</v>
      </c>
      <c r="AC126" s="447">
        <v>43592</v>
      </c>
      <c r="AD126" s="449" t="s">
        <v>124</v>
      </c>
      <c r="AE126" s="450"/>
      <c r="AF126" s="451">
        <f t="shared" si="35"/>
        <v>0</v>
      </c>
      <c r="AG126" s="449"/>
      <c r="AH126" s="452"/>
      <c r="AI126" s="450"/>
      <c r="AJ126" s="453">
        <f t="shared" si="40"/>
        <v>0</v>
      </c>
      <c r="AK126" s="454">
        <v>0</v>
      </c>
      <c r="AL126" s="565">
        <v>0</v>
      </c>
      <c r="AM126" s="449">
        <v>0</v>
      </c>
      <c r="AN126" s="450">
        <v>0</v>
      </c>
      <c r="AO126" s="451">
        <f t="shared" si="27"/>
        <v>0</v>
      </c>
      <c r="AP126" s="452">
        <v>0</v>
      </c>
      <c r="AQ126" s="453">
        <v>0</v>
      </c>
      <c r="AR126" s="455"/>
      <c r="AS126" s="456">
        <f t="shared" si="25"/>
        <v>0</v>
      </c>
      <c r="AT126" s="457"/>
      <c r="AV126" s="467"/>
    </row>
    <row r="127" spans="1:54" s="439" customFormat="1" ht="30" x14ac:dyDescent="0.25">
      <c r="A127" s="442" t="s">
        <v>817</v>
      </c>
      <c r="B127" s="442" t="s">
        <v>124</v>
      </c>
      <c r="C127" s="443"/>
      <c r="D127" s="444"/>
      <c r="E127" s="444"/>
      <c r="F127" s="444"/>
      <c r="G127" s="444"/>
      <c r="H127" s="444"/>
      <c r="I127" s="444"/>
      <c r="J127" s="444" t="s">
        <v>851</v>
      </c>
      <c r="K127" s="444"/>
      <c r="L127" s="444"/>
      <c r="M127" s="476">
        <v>43600</v>
      </c>
      <c r="N127" s="444" t="s">
        <v>621</v>
      </c>
      <c r="O127" s="444" t="s">
        <v>622</v>
      </c>
      <c r="P127" s="444" t="s">
        <v>1884</v>
      </c>
      <c r="Q127" s="444"/>
      <c r="R127" s="444"/>
      <c r="S127" s="445" t="s">
        <v>26</v>
      </c>
      <c r="T127" s="444" t="s">
        <v>1262</v>
      </c>
      <c r="U127" s="475" t="s">
        <v>850</v>
      </c>
      <c r="V127" s="446" t="s">
        <v>852</v>
      </c>
      <c r="W127" s="446" t="s">
        <v>74</v>
      </c>
      <c r="X127" s="447"/>
      <c r="Y127" s="447" t="s">
        <v>71</v>
      </c>
      <c r="Z127" s="447"/>
      <c r="AA127" s="447" t="str">
        <f t="shared" ref="AA127:AA134" si="41">+IF(X127="","",WORKDAY(X127,5))</f>
        <v/>
      </c>
      <c r="AB127" s="447" t="str">
        <f t="shared" si="39"/>
        <v/>
      </c>
      <c r="AC127" s="447">
        <v>43600</v>
      </c>
      <c r="AD127" s="485">
        <f>-132535</f>
        <v>-132535</v>
      </c>
      <c r="AE127" s="450"/>
      <c r="AF127" s="451">
        <f t="shared" si="35"/>
        <v>-132535</v>
      </c>
      <c r="AG127" s="449">
        <f>-132535</f>
        <v>-132535</v>
      </c>
      <c r="AH127" s="452"/>
      <c r="AI127" s="450"/>
      <c r="AJ127" s="453">
        <f t="shared" si="40"/>
        <v>0</v>
      </c>
      <c r="AK127" s="454">
        <v>-132535</v>
      </c>
      <c r="AL127" s="565">
        <v>-132535</v>
      </c>
      <c r="AM127" s="449"/>
      <c r="AN127" s="450">
        <v>0</v>
      </c>
      <c r="AO127" s="451">
        <f t="shared" si="27"/>
        <v>0</v>
      </c>
      <c r="AP127" s="452">
        <v>0</v>
      </c>
      <c r="AQ127" s="453">
        <v>0</v>
      </c>
      <c r="AR127" s="455"/>
      <c r="AS127" s="456">
        <f t="shared" si="25"/>
        <v>0</v>
      </c>
      <c r="AT127" s="457"/>
      <c r="AV127" s="458"/>
    </row>
    <row r="128" spans="1:54" s="439" customFormat="1" ht="31.5" x14ac:dyDescent="0.25">
      <c r="A128" s="442" t="s">
        <v>1700</v>
      </c>
      <c r="B128" s="442"/>
      <c r="C128" s="443"/>
      <c r="D128" s="444"/>
      <c r="E128" s="444"/>
      <c r="F128" s="444"/>
      <c r="G128" s="444"/>
      <c r="H128" s="444"/>
      <c r="I128" s="444"/>
      <c r="J128" s="444"/>
      <c r="K128" s="444"/>
      <c r="L128" s="444"/>
      <c r="M128" s="476"/>
      <c r="N128" s="444"/>
      <c r="O128" s="444" t="s">
        <v>621</v>
      </c>
      <c r="P128" s="444" t="s">
        <v>1883</v>
      </c>
      <c r="Q128" s="444"/>
      <c r="R128" s="444"/>
      <c r="S128" s="523" t="s">
        <v>54</v>
      </c>
      <c r="T128" s="444" t="s">
        <v>85</v>
      </c>
      <c r="U128" s="475" t="s">
        <v>1701</v>
      </c>
      <c r="V128" s="446" t="s">
        <v>1702</v>
      </c>
      <c r="W128" s="446"/>
      <c r="X128" s="447"/>
      <c r="Y128" s="447"/>
      <c r="Z128" s="447"/>
      <c r="AA128" s="447"/>
      <c r="AB128" s="447"/>
      <c r="AC128" s="447"/>
      <c r="AD128" s="485">
        <v>228800</v>
      </c>
      <c r="AE128" s="450"/>
      <c r="AF128" s="451">
        <f t="shared" si="35"/>
        <v>228800</v>
      </c>
      <c r="AG128" s="449"/>
      <c r="AH128" s="452"/>
      <c r="AI128" s="450">
        <v>228800</v>
      </c>
      <c r="AJ128" s="453"/>
      <c r="AK128" s="454"/>
      <c r="AL128" s="565"/>
      <c r="AM128" s="449">
        <v>228797.34</v>
      </c>
      <c r="AN128" s="450"/>
      <c r="AO128" s="451">
        <f t="shared" si="27"/>
        <v>228797.34</v>
      </c>
      <c r="AP128" s="452">
        <v>228797.34</v>
      </c>
      <c r="AQ128" s="453">
        <v>0</v>
      </c>
      <c r="AR128" s="455"/>
      <c r="AS128" s="456">
        <f t="shared" si="25"/>
        <v>0</v>
      </c>
      <c r="AT128" s="457"/>
      <c r="AV128" s="458"/>
    </row>
    <row r="129" spans="1:54" s="439" customFormat="1" ht="30" x14ac:dyDescent="0.25">
      <c r="A129" s="442" t="s">
        <v>1333</v>
      </c>
      <c r="B129" s="442" t="s">
        <v>124</v>
      </c>
      <c r="C129" s="443"/>
      <c r="D129" s="444"/>
      <c r="E129" s="444"/>
      <c r="F129" s="444"/>
      <c r="G129" s="444"/>
      <c r="H129" s="444"/>
      <c r="I129" s="444"/>
      <c r="J129" s="444" t="s">
        <v>851</v>
      </c>
      <c r="K129" s="444"/>
      <c r="L129" s="444"/>
      <c r="M129" s="476">
        <v>43600</v>
      </c>
      <c r="N129" s="444" t="s">
        <v>621</v>
      </c>
      <c r="O129" s="444"/>
      <c r="P129" s="444"/>
      <c r="Q129" s="444"/>
      <c r="R129" s="444"/>
      <c r="S129" s="445" t="s">
        <v>26</v>
      </c>
      <c r="T129" s="444" t="s">
        <v>1262</v>
      </c>
      <c r="U129" s="475" t="s">
        <v>850</v>
      </c>
      <c r="V129" s="446" t="s">
        <v>1334</v>
      </c>
      <c r="W129" s="446" t="s">
        <v>74</v>
      </c>
      <c r="X129" s="447"/>
      <c r="Y129" s="447" t="s">
        <v>71</v>
      </c>
      <c r="Z129" s="447"/>
      <c r="AA129" s="447" t="str">
        <f t="shared" si="41"/>
        <v/>
      </c>
      <c r="AB129" s="447" t="str">
        <f t="shared" si="39"/>
        <v/>
      </c>
      <c r="AC129" s="447">
        <v>43600</v>
      </c>
      <c r="AD129" s="449"/>
      <c r="AE129" s="450"/>
      <c r="AF129" s="451"/>
      <c r="AG129" s="449"/>
      <c r="AH129" s="452"/>
      <c r="AI129" s="450"/>
      <c r="AJ129" s="453">
        <f t="shared" si="40"/>
        <v>0</v>
      </c>
      <c r="AK129" s="454">
        <f>+AG129</f>
        <v>0</v>
      </c>
      <c r="AL129" s="565">
        <v>0</v>
      </c>
      <c r="AM129" s="449"/>
      <c r="AN129" s="450">
        <v>0</v>
      </c>
      <c r="AO129" s="451">
        <f t="shared" si="27"/>
        <v>0</v>
      </c>
      <c r="AP129" s="452">
        <v>0</v>
      </c>
      <c r="AQ129" s="453">
        <v>0</v>
      </c>
      <c r="AR129" s="455"/>
      <c r="AS129" s="456">
        <f t="shared" si="25"/>
        <v>0</v>
      </c>
      <c r="AT129" s="457"/>
      <c r="AV129" s="458"/>
    </row>
    <row r="130" spans="1:54" s="439" customFormat="1" ht="30" x14ac:dyDescent="0.25">
      <c r="A130" s="442" t="s">
        <v>1576</v>
      </c>
      <c r="B130" s="442" t="s">
        <v>124</v>
      </c>
      <c r="C130" s="443"/>
      <c r="D130" s="444"/>
      <c r="E130" s="444"/>
      <c r="F130" s="444"/>
      <c r="G130" s="444"/>
      <c r="H130" s="444"/>
      <c r="I130" s="444"/>
      <c r="J130" s="444" t="s">
        <v>124</v>
      </c>
      <c r="K130" s="444"/>
      <c r="L130" s="444"/>
      <c r="M130" s="476"/>
      <c r="N130" s="444" t="s">
        <v>621</v>
      </c>
      <c r="O130" s="444"/>
      <c r="P130" s="444"/>
      <c r="Q130" s="444"/>
      <c r="R130" s="444"/>
      <c r="S130" s="445" t="s">
        <v>26</v>
      </c>
      <c r="T130" s="444" t="s">
        <v>1262</v>
      </c>
      <c r="U130" s="475" t="s">
        <v>850</v>
      </c>
      <c r="V130" s="446" t="s">
        <v>1577</v>
      </c>
      <c r="W130" s="446" t="s">
        <v>74</v>
      </c>
      <c r="X130" s="447"/>
      <c r="Y130" s="447" t="s">
        <v>71</v>
      </c>
      <c r="Z130" s="447"/>
      <c r="AA130" s="447" t="str">
        <f t="shared" si="41"/>
        <v/>
      </c>
      <c r="AB130" s="447" t="str">
        <f t="shared" si="39"/>
        <v/>
      </c>
      <c r="AC130" s="447">
        <v>43600</v>
      </c>
      <c r="AD130" s="449"/>
      <c r="AE130" s="450"/>
      <c r="AF130" s="451"/>
      <c r="AG130" s="449"/>
      <c r="AH130" s="452"/>
      <c r="AI130" s="450"/>
      <c r="AJ130" s="453"/>
      <c r="AK130" s="454"/>
      <c r="AL130" s="565"/>
      <c r="AM130" s="449">
        <f>AJ130</f>
        <v>0</v>
      </c>
      <c r="AN130" s="450">
        <v>0</v>
      </c>
      <c r="AO130" s="451">
        <f t="shared" si="27"/>
        <v>0</v>
      </c>
      <c r="AP130" s="452">
        <v>0</v>
      </c>
      <c r="AQ130" s="453">
        <v>0</v>
      </c>
      <c r="AR130" s="455"/>
      <c r="AS130" s="456">
        <f t="shared" si="25"/>
        <v>0</v>
      </c>
      <c r="AT130" s="457"/>
      <c r="AV130" s="458"/>
    </row>
    <row r="131" spans="1:54" s="439" customFormat="1" ht="78.75" customHeight="1" x14ac:dyDescent="0.25">
      <c r="A131" s="442" t="s">
        <v>818</v>
      </c>
      <c r="B131" s="442" t="s">
        <v>124</v>
      </c>
      <c r="C131" s="443"/>
      <c r="D131" s="444" t="s">
        <v>831</v>
      </c>
      <c r="E131" s="444"/>
      <c r="F131" s="444"/>
      <c r="G131" s="444"/>
      <c r="H131" s="444"/>
      <c r="I131" s="444"/>
      <c r="J131" s="444" t="s">
        <v>1305</v>
      </c>
      <c r="K131" s="444"/>
      <c r="L131" s="444"/>
      <c r="M131" s="476">
        <v>43633</v>
      </c>
      <c r="N131" s="444" t="s">
        <v>622</v>
      </c>
      <c r="O131" s="444"/>
      <c r="P131" s="444"/>
      <c r="Q131" s="444"/>
      <c r="R131" s="444"/>
      <c r="S131" s="445" t="s">
        <v>68</v>
      </c>
      <c r="T131" s="444" t="s">
        <v>85</v>
      </c>
      <c r="U131" s="475" t="s">
        <v>811</v>
      </c>
      <c r="V131" s="446" t="s">
        <v>812</v>
      </c>
      <c r="W131" s="446" t="s">
        <v>74</v>
      </c>
      <c r="X131" s="447">
        <v>43592</v>
      </c>
      <c r="Y131" s="447" t="s">
        <v>71</v>
      </c>
      <c r="Z131" s="447"/>
      <c r="AA131" s="447">
        <f t="shared" si="41"/>
        <v>43599</v>
      </c>
      <c r="AB131" s="447">
        <f t="shared" si="39"/>
        <v>43606</v>
      </c>
      <c r="AC131" s="447">
        <v>43633</v>
      </c>
      <c r="AD131" s="490">
        <v>0</v>
      </c>
      <c r="AE131" s="400">
        <v>0</v>
      </c>
      <c r="AF131" s="461">
        <f t="shared" si="35"/>
        <v>0</v>
      </c>
      <c r="AG131" s="449"/>
      <c r="AH131" s="452"/>
      <c r="AI131" s="450">
        <v>0</v>
      </c>
      <c r="AJ131" s="453">
        <f t="shared" si="40"/>
        <v>0</v>
      </c>
      <c r="AK131" s="454">
        <v>0</v>
      </c>
      <c r="AL131" s="565">
        <v>0</v>
      </c>
      <c r="AM131" s="449">
        <v>0</v>
      </c>
      <c r="AN131" s="450">
        <v>0</v>
      </c>
      <c r="AO131" s="451">
        <f t="shared" si="27"/>
        <v>0</v>
      </c>
      <c r="AP131" s="452">
        <v>0</v>
      </c>
      <c r="AQ131" s="453">
        <v>0</v>
      </c>
      <c r="AR131" s="455"/>
      <c r="AS131" s="456">
        <f t="shared" si="25"/>
        <v>0</v>
      </c>
      <c r="AT131" s="457" t="s">
        <v>1012</v>
      </c>
      <c r="AV131" s="458"/>
      <c r="AX131" s="463">
        <f>(AP131+AQ131)-(AO131)</f>
        <v>0</v>
      </c>
    </row>
    <row r="132" spans="1:54" s="439" customFormat="1" ht="60" x14ac:dyDescent="0.25">
      <c r="A132" s="442" t="s">
        <v>819</v>
      </c>
      <c r="B132" s="442" t="s">
        <v>1296</v>
      </c>
      <c r="C132" s="443">
        <v>55</v>
      </c>
      <c r="D132" s="444" t="s">
        <v>830</v>
      </c>
      <c r="E132" s="444"/>
      <c r="F132" s="444"/>
      <c r="G132" s="444"/>
      <c r="H132" s="444"/>
      <c r="I132" s="444"/>
      <c r="J132" s="444" t="s">
        <v>897</v>
      </c>
      <c r="K132" s="444"/>
      <c r="L132" s="444"/>
      <c r="M132" s="476">
        <v>43595</v>
      </c>
      <c r="N132" s="444" t="s">
        <v>622</v>
      </c>
      <c r="O132" s="444"/>
      <c r="P132" s="444"/>
      <c r="Q132" s="444"/>
      <c r="R132" s="444"/>
      <c r="S132" s="445" t="s">
        <v>26</v>
      </c>
      <c r="T132" s="444" t="s">
        <v>133</v>
      </c>
      <c r="U132" s="475" t="s">
        <v>813</v>
      </c>
      <c r="V132" s="446" t="s">
        <v>814</v>
      </c>
      <c r="W132" s="446" t="s">
        <v>907</v>
      </c>
      <c r="X132" s="447">
        <v>43595</v>
      </c>
      <c r="Y132" s="447" t="s">
        <v>71</v>
      </c>
      <c r="Z132" s="447"/>
      <c r="AA132" s="447">
        <f t="shared" si="41"/>
        <v>43602</v>
      </c>
      <c r="AB132" s="447">
        <f t="shared" si="39"/>
        <v>43609</v>
      </c>
      <c r="AC132" s="447">
        <v>43601</v>
      </c>
      <c r="AD132" s="449">
        <v>174017.61</v>
      </c>
      <c r="AE132" s="450"/>
      <c r="AF132" s="451">
        <f t="shared" si="35"/>
        <v>174017.61</v>
      </c>
      <c r="AG132" s="449"/>
      <c r="AH132" s="452"/>
      <c r="AI132" s="450">
        <f>AF132</f>
        <v>174017.61</v>
      </c>
      <c r="AJ132" s="453">
        <f t="shared" si="40"/>
        <v>0</v>
      </c>
      <c r="AK132" s="454">
        <f>AI132</f>
        <v>174017.61</v>
      </c>
      <c r="AL132" s="565">
        <v>174017.61</v>
      </c>
      <c r="AM132" s="449"/>
      <c r="AN132" s="450">
        <v>0</v>
      </c>
      <c r="AO132" s="451">
        <f t="shared" si="27"/>
        <v>0</v>
      </c>
      <c r="AP132" s="452">
        <v>0</v>
      </c>
      <c r="AQ132" s="453">
        <v>0</v>
      </c>
      <c r="AR132" s="455"/>
      <c r="AS132" s="456">
        <f t="shared" si="25"/>
        <v>0</v>
      </c>
      <c r="AT132" s="457"/>
      <c r="AV132" s="458"/>
    </row>
    <row r="133" spans="1:54" s="439" customFormat="1" ht="60" x14ac:dyDescent="0.25">
      <c r="A133" s="442" t="s">
        <v>821</v>
      </c>
      <c r="B133" s="442" t="s">
        <v>1298</v>
      </c>
      <c r="C133" s="443"/>
      <c r="D133" s="444" t="s">
        <v>896</v>
      </c>
      <c r="E133" s="444"/>
      <c r="F133" s="444"/>
      <c r="G133" s="444"/>
      <c r="H133" s="444"/>
      <c r="I133" s="444"/>
      <c r="J133" s="444" t="s">
        <v>895</v>
      </c>
      <c r="K133" s="444"/>
      <c r="L133" s="444"/>
      <c r="M133" s="476">
        <v>43624</v>
      </c>
      <c r="N133" s="444" t="s">
        <v>621</v>
      </c>
      <c r="O133" s="444"/>
      <c r="P133" s="444"/>
      <c r="Q133" s="444"/>
      <c r="R133" s="444"/>
      <c r="S133" s="445" t="s">
        <v>26</v>
      </c>
      <c r="T133" s="444" t="s">
        <v>85</v>
      </c>
      <c r="U133" s="475" t="s">
        <v>822</v>
      </c>
      <c r="V133" s="446" t="s">
        <v>823</v>
      </c>
      <c r="W133" s="446" t="s">
        <v>74</v>
      </c>
      <c r="X133" s="447">
        <v>43593</v>
      </c>
      <c r="Y133" s="447" t="s">
        <v>71</v>
      </c>
      <c r="Z133" s="447"/>
      <c r="AA133" s="447">
        <f t="shared" si="41"/>
        <v>43600</v>
      </c>
      <c r="AB133" s="447">
        <f t="shared" si="39"/>
        <v>43607</v>
      </c>
      <c r="AC133" s="447">
        <v>43598</v>
      </c>
      <c r="AD133" s="449">
        <v>9337</v>
      </c>
      <c r="AE133" s="450">
        <f>-AD133+1259.7</f>
        <v>-8077.3</v>
      </c>
      <c r="AF133" s="451">
        <f t="shared" si="35"/>
        <v>1259.6999999999998</v>
      </c>
      <c r="AG133" s="449"/>
      <c r="AH133" s="452"/>
      <c r="AI133" s="450">
        <f>AF133</f>
        <v>1259.6999999999998</v>
      </c>
      <c r="AJ133" s="453">
        <f t="shared" si="40"/>
        <v>0</v>
      </c>
      <c r="AK133" s="454">
        <f>AI133</f>
        <v>1259.6999999999998</v>
      </c>
      <c r="AL133" s="565">
        <v>1259.6999999999998</v>
      </c>
      <c r="AM133" s="449">
        <v>0</v>
      </c>
      <c r="AN133" s="450">
        <v>0</v>
      </c>
      <c r="AO133" s="451">
        <f t="shared" si="27"/>
        <v>0</v>
      </c>
      <c r="AP133" s="452">
        <v>0</v>
      </c>
      <c r="AQ133" s="453">
        <v>0</v>
      </c>
      <c r="AR133" s="455"/>
      <c r="AS133" s="456">
        <f t="shared" si="25"/>
        <v>0</v>
      </c>
      <c r="AT133" s="457" t="s">
        <v>1012</v>
      </c>
      <c r="AV133" s="458"/>
    </row>
    <row r="134" spans="1:54" s="439" customFormat="1" ht="45" x14ac:dyDescent="0.25">
      <c r="A134" s="442" t="s">
        <v>853</v>
      </c>
      <c r="B134" s="442" t="s">
        <v>1299</v>
      </c>
      <c r="C134" s="443">
        <v>61</v>
      </c>
      <c r="D134" s="444"/>
      <c r="E134" s="444"/>
      <c r="F134" s="444"/>
      <c r="G134" s="444"/>
      <c r="H134" s="444"/>
      <c r="I134" s="444"/>
      <c r="J134" s="444" t="s">
        <v>863</v>
      </c>
      <c r="K134" s="444"/>
      <c r="L134" s="444"/>
      <c r="M134" s="476"/>
      <c r="N134" s="444" t="s">
        <v>621</v>
      </c>
      <c r="O134" s="444"/>
      <c r="P134" s="444"/>
      <c r="Q134" s="444"/>
      <c r="R134" s="444"/>
      <c r="S134" s="445" t="s">
        <v>26</v>
      </c>
      <c r="T134" s="444" t="s">
        <v>133</v>
      </c>
      <c r="U134" s="475" t="s">
        <v>855</v>
      </c>
      <c r="V134" s="446" t="s">
        <v>920</v>
      </c>
      <c r="W134" s="446" t="s">
        <v>74</v>
      </c>
      <c r="X134" s="447">
        <v>43599</v>
      </c>
      <c r="Y134" s="447" t="s">
        <v>71</v>
      </c>
      <c r="Z134" s="447"/>
      <c r="AA134" s="447">
        <f t="shared" si="41"/>
        <v>43606</v>
      </c>
      <c r="AB134" s="447">
        <f t="shared" si="39"/>
        <v>43613</v>
      </c>
      <c r="AC134" s="447">
        <v>43608</v>
      </c>
      <c r="AD134" s="449">
        <f>3500+2742.6</f>
        <v>6242.6</v>
      </c>
      <c r="AE134" s="450"/>
      <c r="AF134" s="451">
        <f t="shared" si="35"/>
        <v>6242.6</v>
      </c>
      <c r="AG134" s="449"/>
      <c r="AH134" s="452"/>
      <c r="AI134" s="450">
        <f>AF134</f>
        <v>6242.6</v>
      </c>
      <c r="AJ134" s="453">
        <f t="shared" si="40"/>
        <v>0</v>
      </c>
      <c r="AK134" s="454">
        <v>6242.6</v>
      </c>
      <c r="AL134" s="565">
        <v>6242.6</v>
      </c>
      <c r="AM134" s="449">
        <v>0</v>
      </c>
      <c r="AN134" s="450">
        <v>0</v>
      </c>
      <c r="AO134" s="451">
        <f t="shared" si="27"/>
        <v>0</v>
      </c>
      <c r="AP134" s="452">
        <v>0</v>
      </c>
      <c r="AQ134" s="453">
        <v>0</v>
      </c>
      <c r="AR134" s="455"/>
      <c r="AS134" s="456">
        <f t="shared" si="25"/>
        <v>0</v>
      </c>
      <c r="AT134" s="457"/>
      <c r="AV134" s="458"/>
    </row>
    <row r="135" spans="1:54" s="439" customFormat="1" ht="45" x14ac:dyDescent="0.25">
      <c r="A135" s="442" t="s">
        <v>854</v>
      </c>
      <c r="B135" s="442" t="s">
        <v>124</v>
      </c>
      <c r="C135" s="443"/>
      <c r="D135" s="444"/>
      <c r="E135" s="444"/>
      <c r="F135" s="444"/>
      <c r="G135" s="444"/>
      <c r="H135" s="444"/>
      <c r="I135" s="444"/>
      <c r="J135" s="444" t="s">
        <v>1321</v>
      </c>
      <c r="K135" s="444"/>
      <c r="L135" s="444"/>
      <c r="M135" s="476">
        <v>43714</v>
      </c>
      <c r="N135" s="444" t="s">
        <v>621</v>
      </c>
      <c r="O135" s="444"/>
      <c r="P135" s="444"/>
      <c r="Q135" s="444"/>
      <c r="R135" s="444"/>
      <c r="S135" s="445" t="s">
        <v>26</v>
      </c>
      <c r="T135" s="444" t="s">
        <v>1262</v>
      </c>
      <c r="U135" s="475" t="s">
        <v>788</v>
      </c>
      <c r="V135" s="446" t="s">
        <v>1320</v>
      </c>
      <c r="W135" s="446" t="s">
        <v>74</v>
      </c>
      <c r="X135" s="447"/>
      <c r="Y135" s="447" t="s">
        <v>71</v>
      </c>
      <c r="Z135" s="447"/>
      <c r="AA135" s="447"/>
      <c r="AB135" s="447"/>
      <c r="AC135" s="447">
        <v>43600</v>
      </c>
      <c r="AD135" s="449">
        <v>1248045.1200000001</v>
      </c>
      <c r="AE135" s="450"/>
      <c r="AF135" s="487">
        <f>AD135</f>
        <v>1248045.1200000001</v>
      </c>
      <c r="AG135" s="449">
        <f>AD135</f>
        <v>1248045.1200000001</v>
      </c>
      <c r="AH135" s="452"/>
      <c r="AI135" s="450"/>
      <c r="AJ135" s="453">
        <v>0</v>
      </c>
      <c r="AK135" s="454">
        <f>AG135</f>
        <v>1248045.1200000001</v>
      </c>
      <c r="AL135" s="565">
        <v>1248045.1200000001</v>
      </c>
      <c r="AM135" s="449"/>
      <c r="AN135" s="450"/>
      <c r="AO135" s="451">
        <f t="shared" si="27"/>
        <v>0</v>
      </c>
      <c r="AP135" s="452">
        <v>0</v>
      </c>
      <c r="AQ135" s="453">
        <v>0</v>
      </c>
      <c r="AR135" s="455"/>
      <c r="AS135" s="456">
        <f t="shared" si="25"/>
        <v>0</v>
      </c>
      <c r="AT135" s="457" t="s">
        <v>1012</v>
      </c>
      <c r="AU135" s="439">
        <f>+AK135-AG135</f>
        <v>0</v>
      </c>
      <c r="AV135" s="458"/>
      <c r="AX135" s="439">
        <f>(AP135+AQ135)-(AO135)</f>
        <v>0</v>
      </c>
    </row>
    <row r="136" spans="1:54" s="439" customFormat="1" ht="78.75" x14ac:dyDescent="0.25">
      <c r="A136" s="442" t="s">
        <v>1322</v>
      </c>
      <c r="B136" s="442" t="s">
        <v>124</v>
      </c>
      <c r="C136" s="443"/>
      <c r="D136" s="444"/>
      <c r="E136" s="444"/>
      <c r="F136" s="444"/>
      <c r="G136" s="444"/>
      <c r="H136" s="444"/>
      <c r="I136" s="444"/>
      <c r="J136" s="444" t="s">
        <v>1321</v>
      </c>
      <c r="K136" s="444"/>
      <c r="L136" s="444"/>
      <c r="M136" s="476">
        <v>43714</v>
      </c>
      <c r="N136" s="444" t="s">
        <v>621</v>
      </c>
      <c r="O136" s="444"/>
      <c r="P136" s="444"/>
      <c r="Q136" s="444"/>
      <c r="R136" s="444"/>
      <c r="S136" s="445" t="s">
        <v>143</v>
      </c>
      <c r="T136" s="444" t="s">
        <v>85</v>
      </c>
      <c r="U136" s="475" t="s">
        <v>788</v>
      </c>
      <c r="V136" s="446" t="s">
        <v>1381</v>
      </c>
      <c r="W136" s="446" t="s">
        <v>74</v>
      </c>
      <c r="X136" s="447"/>
      <c r="Y136" s="447" t="s">
        <v>71</v>
      </c>
      <c r="Z136" s="447"/>
      <c r="AA136" s="447"/>
      <c r="AB136" s="447"/>
      <c r="AC136" s="447">
        <v>43600</v>
      </c>
      <c r="AD136" s="449"/>
      <c r="AE136" s="450"/>
      <c r="AF136" s="487">
        <v>500000</v>
      </c>
      <c r="AG136" s="449"/>
      <c r="AH136" s="452"/>
      <c r="AI136" s="450"/>
      <c r="AJ136" s="453">
        <f>+AF136-SUM(AG136:AI136)</f>
        <v>500000</v>
      </c>
      <c r="AK136" s="454">
        <f>AG136</f>
        <v>0</v>
      </c>
      <c r="AL136" s="565">
        <v>0</v>
      </c>
      <c r="AM136" s="449">
        <v>0</v>
      </c>
      <c r="AN136" s="450">
        <v>500000</v>
      </c>
      <c r="AO136" s="451">
        <f t="shared" si="27"/>
        <v>500000</v>
      </c>
      <c r="AP136" s="452">
        <v>500000</v>
      </c>
      <c r="AQ136" s="453">
        <v>0</v>
      </c>
      <c r="AR136" s="462"/>
      <c r="AS136" s="456">
        <f t="shared" si="25"/>
        <v>0</v>
      </c>
      <c r="AT136" s="457" t="s">
        <v>1012</v>
      </c>
      <c r="AU136" s="439">
        <f>+AK136-AG136</f>
        <v>0</v>
      </c>
      <c r="AV136" s="458"/>
      <c r="AX136" s="439">
        <f>(AP136+AQ136)-(AO136)</f>
        <v>0</v>
      </c>
      <c r="BB136" s="463">
        <f>(AM136+AN136)-AO136</f>
        <v>0</v>
      </c>
    </row>
    <row r="137" spans="1:54" s="439" customFormat="1" ht="30" x14ac:dyDescent="0.25">
      <c r="A137" s="442" t="s">
        <v>1247</v>
      </c>
      <c r="B137" s="442" t="s">
        <v>124</v>
      </c>
      <c r="C137" s="443"/>
      <c r="D137" s="444"/>
      <c r="E137" s="444"/>
      <c r="F137" s="444"/>
      <c r="G137" s="444"/>
      <c r="H137" s="444"/>
      <c r="I137" s="444"/>
      <c r="J137" s="444"/>
      <c r="K137" s="444"/>
      <c r="L137" s="444"/>
      <c r="M137" s="476"/>
      <c r="N137" s="444"/>
      <c r="O137" s="444"/>
      <c r="P137" s="444"/>
      <c r="Q137" s="444"/>
      <c r="R137" s="444"/>
      <c r="S137" s="445" t="s">
        <v>26</v>
      </c>
      <c r="T137" s="444" t="s">
        <v>1262</v>
      </c>
      <c r="U137" s="475" t="s">
        <v>986</v>
      </c>
      <c r="V137" s="475" t="s">
        <v>987</v>
      </c>
      <c r="W137" s="446"/>
      <c r="X137" s="447"/>
      <c r="Y137" s="447"/>
      <c r="Z137" s="447"/>
      <c r="AA137" s="447"/>
      <c r="AB137" s="447"/>
      <c r="AC137" s="447"/>
      <c r="AD137" s="449">
        <v>121206.85</v>
      </c>
      <c r="AE137" s="450">
        <v>-121207</v>
      </c>
      <c r="AF137" s="487">
        <f t="shared" si="35"/>
        <v>-0.14999999999417923</v>
      </c>
      <c r="AG137" s="449">
        <f>+AF137</f>
        <v>-0.14999999999417923</v>
      </c>
      <c r="AH137" s="452"/>
      <c r="AI137" s="450"/>
      <c r="AJ137" s="453">
        <f t="shared" ref="AJ137:AJ151" si="42">+AF137-SUM(AG137:AI137)</f>
        <v>0</v>
      </c>
      <c r="AK137" s="454">
        <v>0</v>
      </c>
      <c r="AL137" s="565">
        <v>0</v>
      </c>
      <c r="AM137" s="449"/>
      <c r="AN137" s="450"/>
      <c r="AO137" s="451">
        <f t="shared" si="27"/>
        <v>0</v>
      </c>
      <c r="AP137" s="452">
        <v>0</v>
      </c>
      <c r="AQ137" s="453">
        <v>0</v>
      </c>
      <c r="AR137" s="455"/>
      <c r="AS137" s="456">
        <f t="shared" si="25"/>
        <v>0</v>
      </c>
      <c r="AT137" s="457"/>
      <c r="AV137" s="467"/>
    </row>
    <row r="138" spans="1:54" s="439" customFormat="1" ht="78.75" customHeight="1" x14ac:dyDescent="0.25">
      <c r="A138" s="442" t="s">
        <v>848</v>
      </c>
      <c r="B138" s="442" t="s">
        <v>124</v>
      </c>
      <c r="C138" s="443"/>
      <c r="D138" s="444"/>
      <c r="E138" s="444"/>
      <c r="F138" s="444"/>
      <c r="G138" s="444"/>
      <c r="H138" s="444"/>
      <c r="I138" s="444"/>
      <c r="J138" s="444" t="s">
        <v>806</v>
      </c>
      <c r="K138" s="444"/>
      <c r="L138" s="444"/>
      <c r="M138" s="476">
        <v>43601</v>
      </c>
      <c r="N138" s="444" t="s">
        <v>621</v>
      </c>
      <c r="O138" s="444"/>
      <c r="P138" s="444"/>
      <c r="Q138" s="444"/>
      <c r="R138" s="444"/>
      <c r="S138" s="523" t="s">
        <v>26</v>
      </c>
      <c r="T138" s="444" t="s">
        <v>1262</v>
      </c>
      <c r="U138" s="475" t="s">
        <v>807</v>
      </c>
      <c r="V138" s="446" t="s">
        <v>808</v>
      </c>
      <c r="W138" s="446" t="s">
        <v>809</v>
      </c>
      <c r="X138" s="447">
        <v>43593</v>
      </c>
      <c r="Y138" s="447" t="s">
        <v>71</v>
      </c>
      <c r="Z138" s="447"/>
      <c r="AA138" s="447">
        <f t="shared" ref="AA138:AA157" si="43">+IF(X138="","",WORKDAY(X138,5))</f>
        <v>43600</v>
      </c>
      <c r="AB138" s="447">
        <f t="shared" ref="AB138:AB157" si="44">+IF(X138="","",WORKDAY(X138,10))</f>
        <v>43607</v>
      </c>
      <c r="AC138" s="447">
        <v>43601</v>
      </c>
      <c r="AD138" s="449">
        <v>1342430.81</v>
      </c>
      <c r="AE138" s="450">
        <v>0</v>
      </c>
      <c r="AF138" s="451">
        <f t="shared" si="35"/>
        <v>1342430.81</v>
      </c>
      <c r="AG138" s="449">
        <v>1342430.81</v>
      </c>
      <c r="AH138" s="452"/>
      <c r="AI138" s="450"/>
      <c r="AJ138" s="453">
        <f t="shared" si="42"/>
        <v>0</v>
      </c>
      <c r="AK138" s="454">
        <v>1342430.81</v>
      </c>
      <c r="AL138" s="565">
        <v>1342430.81</v>
      </c>
      <c r="AM138" s="449">
        <v>0</v>
      </c>
      <c r="AN138" s="450">
        <v>0</v>
      </c>
      <c r="AO138" s="451">
        <f t="shared" ref="AO138:AO202" si="45">AN138+AM138</f>
        <v>0</v>
      </c>
      <c r="AP138" s="452">
        <v>0</v>
      </c>
      <c r="AQ138" s="453">
        <v>0</v>
      </c>
      <c r="AR138" s="462"/>
      <c r="AS138" s="456">
        <f t="shared" ref="AS138:AS202" si="46">AK138-AL138</f>
        <v>0</v>
      </c>
      <c r="AT138" s="457" t="s">
        <v>1012</v>
      </c>
      <c r="AV138" s="458"/>
      <c r="AX138" s="463">
        <f>(AP138+AQ138)-(AO138)</f>
        <v>0</v>
      </c>
      <c r="BB138" s="463">
        <f>(AM138+AN138)-AO138</f>
        <v>0</v>
      </c>
    </row>
    <row r="139" spans="1:54" s="439" customFormat="1" ht="78.75" customHeight="1" x14ac:dyDescent="0.25">
      <c r="A139" s="442" t="s">
        <v>856</v>
      </c>
      <c r="B139" s="442" t="s">
        <v>124</v>
      </c>
      <c r="C139" s="443">
        <v>60</v>
      </c>
      <c r="D139" s="444" t="s">
        <v>1586</v>
      </c>
      <c r="E139" s="444"/>
      <c r="F139" s="444"/>
      <c r="G139" s="444"/>
      <c r="H139" s="444"/>
      <c r="I139" s="444"/>
      <c r="J139" s="444" t="s">
        <v>857</v>
      </c>
      <c r="K139" s="444"/>
      <c r="L139" s="444"/>
      <c r="M139" s="476">
        <v>43602</v>
      </c>
      <c r="N139" s="444" t="s">
        <v>621</v>
      </c>
      <c r="O139" s="444"/>
      <c r="P139" s="444"/>
      <c r="Q139" s="444"/>
      <c r="R139" s="444"/>
      <c r="S139" s="445" t="s">
        <v>26</v>
      </c>
      <c r="T139" s="444" t="s">
        <v>133</v>
      </c>
      <c r="U139" s="475" t="s">
        <v>858</v>
      </c>
      <c r="V139" s="446" t="s">
        <v>859</v>
      </c>
      <c r="W139" s="446" t="s">
        <v>860</v>
      </c>
      <c r="X139" s="447">
        <v>43601</v>
      </c>
      <c r="Y139" s="447" t="s">
        <v>71</v>
      </c>
      <c r="Z139" s="447"/>
      <c r="AA139" s="447">
        <f t="shared" si="43"/>
        <v>43608</v>
      </c>
      <c r="AB139" s="447">
        <f t="shared" si="44"/>
        <v>43615</v>
      </c>
      <c r="AC139" s="447">
        <v>43602</v>
      </c>
      <c r="AD139" s="449">
        <v>6123.42</v>
      </c>
      <c r="AE139" s="450"/>
      <c r="AF139" s="451">
        <f t="shared" si="35"/>
        <v>6123.42</v>
      </c>
      <c r="AG139" s="449"/>
      <c r="AH139" s="452"/>
      <c r="AI139" s="450">
        <f>AF139</f>
        <v>6123.42</v>
      </c>
      <c r="AJ139" s="453">
        <f t="shared" si="42"/>
        <v>0</v>
      </c>
      <c r="AK139" s="454">
        <v>5123</v>
      </c>
      <c r="AL139" s="565">
        <v>5123</v>
      </c>
      <c r="AM139" s="449">
        <v>0</v>
      </c>
      <c r="AN139" s="450">
        <v>0</v>
      </c>
      <c r="AO139" s="451">
        <f t="shared" si="45"/>
        <v>0</v>
      </c>
      <c r="AP139" s="452">
        <v>0</v>
      </c>
      <c r="AQ139" s="453">
        <v>0</v>
      </c>
      <c r="AR139" s="455"/>
      <c r="AS139" s="456">
        <f t="shared" si="46"/>
        <v>0</v>
      </c>
      <c r="AT139" s="457" t="s">
        <v>1012</v>
      </c>
      <c r="AV139" s="467"/>
      <c r="AX139" s="463">
        <f>(AP139+AQ139)-(AO139)</f>
        <v>0</v>
      </c>
    </row>
    <row r="140" spans="1:54" s="439" customFormat="1" ht="78.75" customHeight="1" x14ac:dyDescent="0.25">
      <c r="A140" s="442" t="s">
        <v>865</v>
      </c>
      <c r="B140" s="442" t="s">
        <v>124</v>
      </c>
      <c r="C140" s="443">
        <v>59</v>
      </c>
      <c r="D140" s="444" t="s">
        <v>894</v>
      </c>
      <c r="E140" s="444"/>
      <c r="F140" s="444"/>
      <c r="G140" s="444"/>
      <c r="H140" s="444"/>
      <c r="I140" s="444"/>
      <c r="J140" s="444"/>
      <c r="K140" s="444"/>
      <c r="L140" s="444"/>
      <c r="M140" s="476">
        <v>43601</v>
      </c>
      <c r="N140" s="444" t="s">
        <v>622</v>
      </c>
      <c r="O140" s="444" t="s">
        <v>621</v>
      </c>
      <c r="P140" s="444" t="s">
        <v>1883</v>
      </c>
      <c r="Q140" s="444"/>
      <c r="R140" s="444"/>
      <c r="S140" s="445" t="s">
        <v>143</v>
      </c>
      <c r="T140" s="444" t="s">
        <v>133</v>
      </c>
      <c r="U140" s="475" t="s">
        <v>866</v>
      </c>
      <c r="V140" s="446" t="s">
        <v>867</v>
      </c>
      <c r="W140" s="446" t="s">
        <v>74</v>
      </c>
      <c r="X140" s="447">
        <v>43599</v>
      </c>
      <c r="Y140" s="447" t="s">
        <v>71</v>
      </c>
      <c r="Z140" s="447"/>
      <c r="AA140" s="447">
        <f t="shared" si="43"/>
        <v>43606</v>
      </c>
      <c r="AB140" s="447">
        <f t="shared" si="44"/>
        <v>43613</v>
      </c>
      <c r="AC140" s="447" t="s">
        <v>1474</v>
      </c>
      <c r="AD140" s="449">
        <v>5000</v>
      </c>
      <c r="AE140" s="450"/>
      <c r="AF140" s="451">
        <f t="shared" si="35"/>
        <v>5000</v>
      </c>
      <c r="AG140" s="449"/>
      <c r="AH140" s="452"/>
      <c r="AI140" s="450">
        <f>AF140</f>
        <v>5000</v>
      </c>
      <c r="AJ140" s="453">
        <f t="shared" si="42"/>
        <v>0</v>
      </c>
      <c r="AK140" s="454">
        <v>0</v>
      </c>
      <c r="AL140" s="565">
        <v>0</v>
      </c>
      <c r="AM140" s="449">
        <v>5000</v>
      </c>
      <c r="AN140" s="450">
        <v>0</v>
      </c>
      <c r="AO140" s="451">
        <f t="shared" si="45"/>
        <v>5000</v>
      </c>
      <c r="AP140" s="452">
        <v>5000</v>
      </c>
      <c r="AQ140" s="453">
        <v>0</v>
      </c>
      <c r="AR140" s="462"/>
      <c r="AS140" s="456">
        <f t="shared" si="46"/>
        <v>0</v>
      </c>
      <c r="AT140" s="457" t="s">
        <v>1012</v>
      </c>
      <c r="AV140" s="467"/>
      <c r="AX140" s="463">
        <f>(AP140+AQ140)-(AO140)</f>
        <v>0</v>
      </c>
      <c r="BB140" s="463">
        <f>(AM140+AN140)-AO140</f>
        <v>0</v>
      </c>
    </row>
    <row r="141" spans="1:54" s="439" customFormat="1" ht="90" customHeight="1" x14ac:dyDescent="0.25">
      <c r="A141" s="442" t="s">
        <v>876</v>
      </c>
      <c r="B141" s="442" t="s">
        <v>1647</v>
      </c>
      <c r="C141" s="443"/>
      <c r="D141" s="444"/>
      <c r="E141" s="444"/>
      <c r="F141" s="444"/>
      <c r="G141" s="444"/>
      <c r="H141" s="444"/>
      <c r="I141" s="444"/>
      <c r="J141" s="444" t="s">
        <v>1275</v>
      </c>
      <c r="K141" s="444"/>
      <c r="L141" s="444"/>
      <c r="M141" s="476">
        <v>43716</v>
      </c>
      <c r="N141" s="444" t="s">
        <v>621</v>
      </c>
      <c r="O141" s="444"/>
      <c r="P141" s="444"/>
      <c r="Q141" s="444"/>
      <c r="R141" s="444"/>
      <c r="S141" s="523" t="s">
        <v>26</v>
      </c>
      <c r="T141" s="444" t="s">
        <v>85</v>
      </c>
      <c r="U141" s="475" t="s">
        <v>877</v>
      </c>
      <c r="V141" s="446" t="s">
        <v>878</v>
      </c>
      <c r="W141" s="446" t="s">
        <v>74</v>
      </c>
      <c r="X141" s="447">
        <v>43602</v>
      </c>
      <c r="Y141" s="447" t="s">
        <v>71</v>
      </c>
      <c r="Z141" s="447"/>
      <c r="AA141" s="447">
        <f t="shared" si="43"/>
        <v>43609</v>
      </c>
      <c r="AB141" s="447">
        <f t="shared" si="44"/>
        <v>43616</v>
      </c>
      <c r="AC141" s="447">
        <v>43612</v>
      </c>
      <c r="AD141" s="449">
        <v>4669.57</v>
      </c>
      <c r="AE141" s="450"/>
      <c r="AF141" s="451">
        <f t="shared" ref="AF141:AF152" si="47">+SUM(AD141:AE141)</f>
        <v>4669.57</v>
      </c>
      <c r="AG141" s="449"/>
      <c r="AH141" s="452"/>
      <c r="AI141" s="450">
        <v>4669.57</v>
      </c>
      <c r="AJ141" s="453">
        <f t="shared" si="42"/>
        <v>0</v>
      </c>
      <c r="AK141" s="454">
        <v>4669.57</v>
      </c>
      <c r="AL141" s="565">
        <v>4669.57</v>
      </c>
      <c r="AM141" s="449">
        <v>0</v>
      </c>
      <c r="AN141" s="450">
        <v>0</v>
      </c>
      <c r="AO141" s="451">
        <f t="shared" si="45"/>
        <v>0</v>
      </c>
      <c r="AP141" s="452">
        <v>0</v>
      </c>
      <c r="AQ141" s="453">
        <v>0</v>
      </c>
      <c r="AR141" s="455"/>
      <c r="AS141" s="456">
        <f t="shared" si="46"/>
        <v>0</v>
      </c>
      <c r="AT141" s="457"/>
      <c r="AV141" s="467"/>
    </row>
    <row r="142" spans="1:54" s="439" customFormat="1" ht="78.75" customHeight="1" x14ac:dyDescent="0.25">
      <c r="A142" s="442" t="s">
        <v>1211</v>
      </c>
      <c r="B142" s="442" t="s">
        <v>1354</v>
      </c>
      <c r="C142" s="443"/>
      <c r="D142" s="444"/>
      <c r="E142" s="444"/>
      <c r="F142" s="444"/>
      <c r="G142" s="444"/>
      <c r="H142" s="444"/>
      <c r="I142" s="444"/>
      <c r="J142" s="444" t="s">
        <v>1212</v>
      </c>
      <c r="K142" s="444"/>
      <c r="L142" s="444"/>
      <c r="M142" s="476">
        <v>43687</v>
      </c>
      <c r="N142" s="444" t="s">
        <v>621</v>
      </c>
      <c r="O142" s="444"/>
      <c r="P142" s="444"/>
      <c r="Q142" s="444"/>
      <c r="R142" s="444"/>
      <c r="S142" s="445" t="s">
        <v>26</v>
      </c>
      <c r="T142" s="444" t="s">
        <v>85</v>
      </c>
      <c r="U142" s="475" t="s">
        <v>1213</v>
      </c>
      <c r="V142" s="446" t="s">
        <v>1214</v>
      </c>
      <c r="W142" s="446" t="s">
        <v>74</v>
      </c>
      <c r="X142" s="447">
        <v>43687</v>
      </c>
      <c r="Y142" s="447" t="s">
        <v>71</v>
      </c>
      <c r="Z142" s="447"/>
      <c r="AA142" s="447">
        <f t="shared" si="43"/>
        <v>43693</v>
      </c>
      <c r="AB142" s="447">
        <f t="shared" si="44"/>
        <v>43700</v>
      </c>
      <c r="AC142" s="447">
        <v>43687</v>
      </c>
      <c r="AD142" s="449">
        <v>5955.82</v>
      </c>
      <c r="AE142" s="450">
        <f>-AD142+5703.88</f>
        <v>-251.9399999999996</v>
      </c>
      <c r="AF142" s="491">
        <f t="shared" si="47"/>
        <v>5703.88</v>
      </c>
      <c r="AG142" s="449"/>
      <c r="AH142" s="452"/>
      <c r="AI142" s="450"/>
      <c r="AJ142" s="453">
        <f t="shared" si="42"/>
        <v>5703.88</v>
      </c>
      <c r="AK142" s="454">
        <f>AJ142</f>
        <v>5703.88</v>
      </c>
      <c r="AL142" s="565">
        <v>5703.88</v>
      </c>
      <c r="AM142" s="449"/>
      <c r="AN142" s="450"/>
      <c r="AO142" s="451">
        <f t="shared" si="45"/>
        <v>0</v>
      </c>
      <c r="AP142" s="452">
        <v>0</v>
      </c>
      <c r="AQ142" s="453">
        <v>0</v>
      </c>
      <c r="AR142" s="455"/>
      <c r="AS142" s="456">
        <f t="shared" si="46"/>
        <v>0</v>
      </c>
      <c r="AT142" s="457"/>
      <c r="AV142" s="467"/>
    </row>
    <row r="143" spans="1:54" s="439" customFormat="1" ht="45" x14ac:dyDescent="0.25">
      <c r="A143" s="442" t="s">
        <v>879</v>
      </c>
      <c r="B143" s="442" t="s">
        <v>1085</v>
      </c>
      <c r="C143" s="443" t="s">
        <v>1248</v>
      </c>
      <c r="D143" s="444"/>
      <c r="E143" s="444"/>
      <c r="F143" s="444"/>
      <c r="G143" s="444"/>
      <c r="H143" s="444"/>
      <c r="I143" s="444"/>
      <c r="J143" s="444" t="s">
        <v>1890</v>
      </c>
      <c r="K143" s="444"/>
      <c r="L143" s="444"/>
      <c r="M143" s="476">
        <v>43907</v>
      </c>
      <c r="N143" s="444" t="s">
        <v>621</v>
      </c>
      <c r="O143" s="444"/>
      <c r="P143" s="444"/>
      <c r="Q143" s="444"/>
      <c r="R143" s="444"/>
      <c r="S143" s="445" t="s">
        <v>26</v>
      </c>
      <c r="T143" s="444" t="s">
        <v>1262</v>
      </c>
      <c r="U143" s="475" t="s">
        <v>880</v>
      </c>
      <c r="V143" s="446" t="s">
        <v>881</v>
      </c>
      <c r="W143" s="446" t="s">
        <v>74</v>
      </c>
      <c r="X143" s="447">
        <v>43610</v>
      </c>
      <c r="Y143" s="447" t="s">
        <v>71</v>
      </c>
      <c r="Z143" s="447"/>
      <c r="AA143" s="447">
        <f t="shared" si="43"/>
        <v>43616</v>
      </c>
      <c r="AB143" s="447">
        <f t="shared" si="44"/>
        <v>43623</v>
      </c>
      <c r="AC143" s="447" t="s">
        <v>1475</v>
      </c>
      <c r="AD143" s="449">
        <v>1451085</v>
      </c>
      <c r="AE143" s="450"/>
      <c r="AF143" s="451">
        <f t="shared" si="47"/>
        <v>1451085</v>
      </c>
      <c r="AG143" s="449">
        <v>1325084.7</v>
      </c>
      <c r="AH143" s="452"/>
      <c r="AI143" s="450"/>
      <c r="AJ143" s="453">
        <f t="shared" si="42"/>
        <v>126000.30000000005</v>
      </c>
      <c r="AK143" s="454">
        <v>1325084.7</v>
      </c>
      <c r="AL143" s="565">
        <v>1325084.7</v>
      </c>
      <c r="AM143" s="449"/>
      <c r="AN143" s="450">
        <v>0</v>
      </c>
      <c r="AO143" s="451">
        <f t="shared" si="45"/>
        <v>0</v>
      </c>
      <c r="AP143" s="452">
        <v>0</v>
      </c>
      <c r="AQ143" s="453">
        <v>0</v>
      </c>
      <c r="AR143" s="455"/>
      <c r="AS143" s="456">
        <f t="shared" si="46"/>
        <v>0</v>
      </c>
      <c r="AT143" s="457"/>
      <c r="AV143" s="467"/>
    </row>
    <row r="144" spans="1:54" s="439" customFormat="1" ht="30" x14ac:dyDescent="0.25">
      <c r="A144" s="442" t="s">
        <v>887</v>
      </c>
      <c r="B144" s="442" t="s">
        <v>124</v>
      </c>
      <c r="C144" s="443"/>
      <c r="D144" s="444"/>
      <c r="E144" s="444"/>
      <c r="F144" s="444"/>
      <c r="G144" s="444"/>
      <c r="H144" s="444"/>
      <c r="I144" s="444"/>
      <c r="J144" s="444" t="s">
        <v>908</v>
      </c>
      <c r="K144" s="444"/>
      <c r="L144" s="444"/>
      <c r="M144" s="476">
        <v>43629</v>
      </c>
      <c r="N144" s="444" t="s">
        <v>621</v>
      </c>
      <c r="O144" s="444" t="s">
        <v>622</v>
      </c>
      <c r="P144" s="444" t="s">
        <v>1885</v>
      </c>
      <c r="Q144" s="444"/>
      <c r="R144" s="444"/>
      <c r="S144" s="445" t="s">
        <v>26</v>
      </c>
      <c r="T144" s="444" t="s">
        <v>1262</v>
      </c>
      <c r="U144" s="475" t="s">
        <v>889</v>
      </c>
      <c r="V144" s="446" t="s">
        <v>890</v>
      </c>
      <c r="W144" s="446" t="s">
        <v>74</v>
      </c>
      <c r="X144" s="447"/>
      <c r="Y144" s="447" t="s">
        <v>71</v>
      </c>
      <c r="Z144" s="447"/>
      <c r="AA144" s="447" t="str">
        <f t="shared" si="43"/>
        <v/>
      </c>
      <c r="AB144" s="447" t="str">
        <f t="shared" si="44"/>
        <v/>
      </c>
      <c r="AC144" s="447">
        <v>43629</v>
      </c>
      <c r="AD144" s="531">
        <f>(10427288-10338769)</f>
        <v>88519</v>
      </c>
      <c r="AE144" s="532"/>
      <c r="AF144" s="533">
        <f t="shared" si="47"/>
        <v>88519</v>
      </c>
      <c r="AG144" s="449">
        <f>AF144</f>
        <v>88519</v>
      </c>
      <c r="AH144" s="452"/>
      <c r="AI144" s="450"/>
      <c r="AJ144" s="453">
        <f t="shared" si="42"/>
        <v>0</v>
      </c>
      <c r="AK144" s="462">
        <v>88519</v>
      </c>
      <c r="AL144" s="565">
        <v>88519</v>
      </c>
      <c r="AM144" s="449"/>
      <c r="AN144" s="450">
        <v>0</v>
      </c>
      <c r="AO144" s="451">
        <f t="shared" si="45"/>
        <v>0</v>
      </c>
      <c r="AP144" s="452">
        <v>0</v>
      </c>
      <c r="AQ144" s="453">
        <v>0</v>
      </c>
      <c r="AR144" s="455"/>
      <c r="AS144" s="456">
        <f t="shared" si="46"/>
        <v>0</v>
      </c>
      <c r="AT144" s="457"/>
      <c r="AV144" s="467"/>
    </row>
    <row r="145" spans="1:54" s="439" customFormat="1" ht="30" x14ac:dyDescent="0.25">
      <c r="A145" s="442" t="s">
        <v>960</v>
      </c>
      <c r="B145" s="442" t="s">
        <v>124</v>
      </c>
      <c r="C145" s="443"/>
      <c r="D145" s="444"/>
      <c r="E145" s="444"/>
      <c r="F145" s="444"/>
      <c r="G145" s="444"/>
      <c r="H145" s="444"/>
      <c r="I145" s="444"/>
      <c r="J145" s="444" t="s">
        <v>908</v>
      </c>
      <c r="K145" s="444"/>
      <c r="L145" s="444"/>
      <c r="M145" s="476">
        <v>43629</v>
      </c>
      <c r="N145" s="444" t="s">
        <v>621</v>
      </c>
      <c r="O145" s="444" t="s">
        <v>622</v>
      </c>
      <c r="P145" s="444" t="s">
        <v>1883</v>
      </c>
      <c r="Q145" s="444"/>
      <c r="R145" s="444"/>
      <c r="S145" s="445" t="s">
        <v>26</v>
      </c>
      <c r="T145" s="444" t="s">
        <v>1262</v>
      </c>
      <c r="U145" s="475" t="s">
        <v>889</v>
      </c>
      <c r="V145" s="446" t="s">
        <v>890</v>
      </c>
      <c r="W145" s="446" t="s">
        <v>74</v>
      </c>
      <c r="X145" s="447"/>
      <c r="Y145" s="447" t="s">
        <v>71</v>
      </c>
      <c r="Z145" s="447"/>
      <c r="AA145" s="447" t="str">
        <f t="shared" si="43"/>
        <v/>
      </c>
      <c r="AB145" s="447" t="str">
        <f t="shared" si="44"/>
        <v/>
      </c>
      <c r="AC145" s="447">
        <v>43629</v>
      </c>
      <c r="AD145" s="449">
        <f>(1508188-228350)</f>
        <v>1279838</v>
      </c>
      <c r="AE145" s="450"/>
      <c r="AF145" s="451">
        <f t="shared" si="47"/>
        <v>1279838</v>
      </c>
      <c r="AG145" s="449">
        <v>829838</v>
      </c>
      <c r="AH145" s="452"/>
      <c r="AI145" s="450"/>
      <c r="AJ145" s="453">
        <f t="shared" si="42"/>
        <v>450000</v>
      </c>
      <c r="AK145" s="454">
        <v>829838</v>
      </c>
      <c r="AL145" s="565">
        <v>829838</v>
      </c>
      <c r="AM145" s="449"/>
      <c r="AN145" s="450">
        <v>450000</v>
      </c>
      <c r="AO145" s="451">
        <f t="shared" si="45"/>
        <v>450000</v>
      </c>
      <c r="AP145" s="452">
        <v>450000</v>
      </c>
      <c r="AQ145" s="453">
        <v>0</v>
      </c>
      <c r="AR145" s="455"/>
      <c r="AS145" s="456">
        <f t="shared" si="46"/>
        <v>0</v>
      </c>
      <c r="AT145" s="457" t="s">
        <v>1012</v>
      </c>
      <c r="AV145" s="467"/>
      <c r="AX145" s="439">
        <f>(AP145+AQ145)-(AO145)</f>
        <v>0</v>
      </c>
      <c r="BB145" s="439">
        <f>(AM145+AN145)-AO145</f>
        <v>0</v>
      </c>
    </row>
    <row r="146" spans="1:54" s="439" customFormat="1" ht="78.75" customHeight="1" x14ac:dyDescent="0.25">
      <c r="A146" s="442" t="s">
        <v>888</v>
      </c>
      <c r="B146" s="442" t="s">
        <v>124</v>
      </c>
      <c r="C146" s="443"/>
      <c r="D146" s="444"/>
      <c r="E146" s="444"/>
      <c r="F146" s="444"/>
      <c r="G146" s="444"/>
      <c r="H146" s="444"/>
      <c r="I146" s="444"/>
      <c r="J146" s="444" t="s">
        <v>892</v>
      </c>
      <c r="K146" s="444"/>
      <c r="L146" s="444"/>
      <c r="M146" s="476">
        <v>43612</v>
      </c>
      <c r="N146" s="444" t="s">
        <v>621</v>
      </c>
      <c r="O146" s="444"/>
      <c r="P146" s="444"/>
      <c r="Q146" s="444"/>
      <c r="R146" s="444"/>
      <c r="S146" s="445" t="s">
        <v>143</v>
      </c>
      <c r="T146" s="444" t="s">
        <v>85</v>
      </c>
      <c r="U146" s="475" t="s">
        <v>891</v>
      </c>
      <c r="V146" s="446" t="s">
        <v>910</v>
      </c>
      <c r="W146" s="446" t="s">
        <v>74</v>
      </c>
      <c r="X146" s="447">
        <v>43600</v>
      </c>
      <c r="Y146" s="447" t="s">
        <v>71</v>
      </c>
      <c r="Z146" s="447"/>
      <c r="AA146" s="447">
        <f t="shared" si="43"/>
        <v>43607</v>
      </c>
      <c r="AB146" s="447">
        <f t="shared" si="44"/>
        <v>43614</v>
      </c>
      <c r="AC146" s="447">
        <v>43613</v>
      </c>
      <c r="AD146" s="449" t="s">
        <v>124</v>
      </c>
      <c r="AE146" s="450"/>
      <c r="AF146" s="451">
        <f t="shared" si="47"/>
        <v>0</v>
      </c>
      <c r="AG146" s="449"/>
      <c r="AH146" s="452"/>
      <c r="AI146" s="450"/>
      <c r="AJ146" s="453">
        <f t="shared" si="42"/>
        <v>0</v>
      </c>
      <c r="AK146" s="454">
        <v>0</v>
      </c>
      <c r="AL146" s="565">
        <v>0</v>
      </c>
      <c r="AM146" s="449">
        <v>0</v>
      </c>
      <c r="AN146" s="450">
        <v>0</v>
      </c>
      <c r="AO146" s="451">
        <f t="shared" si="45"/>
        <v>0</v>
      </c>
      <c r="AP146" s="452">
        <v>0</v>
      </c>
      <c r="AQ146" s="453">
        <v>0</v>
      </c>
      <c r="AR146" s="455"/>
      <c r="AS146" s="456">
        <f t="shared" si="46"/>
        <v>0</v>
      </c>
      <c r="AT146" s="457"/>
      <c r="AV146" s="467"/>
    </row>
    <row r="147" spans="1:54" s="439" customFormat="1" ht="47.25" customHeight="1" x14ac:dyDescent="0.25">
      <c r="A147" s="442" t="s">
        <v>924</v>
      </c>
      <c r="B147" s="442" t="s">
        <v>1544</v>
      </c>
      <c r="C147" s="443"/>
      <c r="D147" s="444" t="s">
        <v>1359</v>
      </c>
      <c r="E147" s="444"/>
      <c r="F147" s="444"/>
      <c r="G147" s="444"/>
      <c r="H147" s="444"/>
      <c r="I147" s="444"/>
      <c r="J147" s="444" t="s">
        <v>1360</v>
      </c>
      <c r="K147" s="444"/>
      <c r="L147" s="444"/>
      <c r="M147" s="476">
        <v>43740</v>
      </c>
      <c r="N147" s="444" t="s">
        <v>621</v>
      </c>
      <c r="O147" s="444"/>
      <c r="P147" s="444"/>
      <c r="Q147" s="444"/>
      <c r="R147" s="444"/>
      <c r="S147" s="445" t="s">
        <v>26</v>
      </c>
      <c r="T147" s="444" t="s">
        <v>85</v>
      </c>
      <c r="U147" s="475" t="s">
        <v>925</v>
      </c>
      <c r="V147" s="446" t="s">
        <v>933</v>
      </c>
      <c r="W147" s="446" t="s">
        <v>74</v>
      </c>
      <c r="X147" s="447">
        <v>43609</v>
      </c>
      <c r="Y147" s="447" t="s">
        <v>71</v>
      </c>
      <c r="Z147" s="447"/>
      <c r="AA147" s="447">
        <f t="shared" si="43"/>
        <v>43616</v>
      </c>
      <c r="AB147" s="447">
        <f t="shared" si="44"/>
        <v>43623</v>
      </c>
      <c r="AC147" s="447">
        <v>43622</v>
      </c>
      <c r="AD147" s="449">
        <v>865942.96</v>
      </c>
      <c r="AE147" s="450">
        <f>-AD147+796897.92</f>
        <v>-69045.039999999921</v>
      </c>
      <c r="AF147" s="491">
        <f t="shared" si="47"/>
        <v>796897.92</v>
      </c>
      <c r="AG147" s="449"/>
      <c r="AH147" s="452"/>
      <c r="AI147" s="450"/>
      <c r="AJ147" s="453">
        <f t="shared" si="42"/>
        <v>796897.92</v>
      </c>
      <c r="AK147" s="454">
        <f>AJ147</f>
        <v>796897.92</v>
      </c>
      <c r="AL147" s="565">
        <v>796897.92</v>
      </c>
      <c r="AM147" s="449">
        <v>0</v>
      </c>
      <c r="AN147" s="450">
        <v>0</v>
      </c>
      <c r="AO147" s="451">
        <f t="shared" si="45"/>
        <v>0</v>
      </c>
      <c r="AP147" s="452">
        <v>0</v>
      </c>
      <c r="AQ147" s="453">
        <v>0</v>
      </c>
      <c r="AR147" s="462"/>
      <c r="AS147" s="456">
        <f t="shared" si="46"/>
        <v>0</v>
      </c>
      <c r="AT147" s="457" t="s">
        <v>1012</v>
      </c>
      <c r="AV147" s="467"/>
      <c r="AX147" s="463">
        <f>(AP147+AQ147)-(AO147)</f>
        <v>0</v>
      </c>
      <c r="BB147" s="463">
        <f>(AM147+AN147)-AO147</f>
        <v>0</v>
      </c>
    </row>
    <row r="148" spans="1:54" s="439" customFormat="1" ht="60" customHeight="1" x14ac:dyDescent="0.25">
      <c r="A148" s="442" t="s">
        <v>893</v>
      </c>
      <c r="B148" s="442" t="s">
        <v>1298</v>
      </c>
      <c r="C148" s="443"/>
      <c r="D148" s="444"/>
      <c r="E148" s="444"/>
      <c r="F148" s="444"/>
      <c r="G148" s="444"/>
      <c r="H148" s="444"/>
      <c r="I148" s="444"/>
      <c r="J148" s="444" t="s">
        <v>970</v>
      </c>
      <c r="K148" s="444"/>
      <c r="L148" s="444"/>
      <c r="M148" s="476">
        <v>43612</v>
      </c>
      <c r="N148" s="444" t="s">
        <v>621</v>
      </c>
      <c r="O148" s="444"/>
      <c r="P148" s="444"/>
      <c r="Q148" s="444"/>
      <c r="R148" s="444"/>
      <c r="S148" s="445" t="s">
        <v>26</v>
      </c>
      <c r="T148" s="444" t="s">
        <v>85</v>
      </c>
      <c r="U148" s="475" t="s">
        <v>909</v>
      </c>
      <c r="V148" s="446" t="s">
        <v>923</v>
      </c>
      <c r="W148" s="446" t="s">
        <v>74</v>
      </c>
      <c r="X148" s="447">
        <v>43609</v>
      </c>
      <c r="Y148" s="447" t="s">
        <v>71</v>
      </c>
      <c r="Z148" s="447"/>
      <c r="AA148" s="447">
        <f t="shared" si="43"/>
        <v>43616</v>
      </c>
      <c r="AB148" s="447">
        <f t="shared" si="44"/>
        <v>43623</v>
      </c>
      <c r="AC148" s="447">
        <v>43621</v>
      </c>
      <c r="AD148" s="449">
        <v>67678.23</v>
      </c>
      <c r="AE148" s="450"/>
      <c r="AF148" s="491">
        <f t="shared" si="47"/>
        <v>67678.23</v>
      </c>
      <c r="AG148" s="449"/>
      <c r="AH148" s="452"/>
      <c r="AI148" s="450">
        <f>AF148</f>
        <v>67678.23</v>
      </c>
      <c r="AJ148" s="453">
        <f t="shared" si="42"/>
        <v>0</v>
      </c>
      <c r="AK148" s="454">
        <f>AI148</f>
        <v>67678.23</v>
      </c>
      <c r="AL148" s="565">
        <v>67678.23</v>
      </c>
      <c r="AM148" s="449">
        <v>0</v>
      </c>
      <c r="AN148" s="450"/>
      <c r="AO148" s="451">
        <f t="shared" si="45"/>
        <v>0</v>
      </c>
      <c r="AP148" s="452">
        <v>0</v>
      </c>
      <c r="AQ148" s="453">
        <v>0</v>
      </c>
      <c r="AR148" s="455"/>
      <c r="AS148" s="456">
        <f t="shared" si="46"/>
        <v>0</v>
      </c>
      <c r="AT148" s="457" t="s">
        <v>1012</v>
      </c>
      <c r="AV148" s="467"/>
      <c r="AX148" s="463">
        <f>(AP148+AQ148)-(AO148)</f>
        <v>0</v>
      </c>
    </row>
    <row r="149" spans="1:54" s="439" customFormat="1" ht="30" x14ac:dyDescent="0.25">
      <c r="A149" s="442" t="s">
        <v>926</v>
      </c>
      <c r="B149" s="442" t="s">
        <v>1295</v>
      </c>
      <c r="C149" s="443"/>
      <c r="D149" s="444" t="s">
        <v>928</v>
      </c>
      <c r="E149" s="444"/>
      <c r="F149" s="444"/>
      <c r="G149" s="444"/>
      <c r="H149" s="444"/>
      <c r="I149" s="444"/>
      <c r="J149" s="444" t="s">
        <v>927</v>
      </c>
      <c r="K149" s="444"/>
      <c r="L149" s="444"/>
      <c r="M149" s="476">
        <v>43612</v>
      </c>
      <c r="N149" s="444" t="s">
        <v>621</v>
      </c>
      <c r="O149" s="444"/>
      <c r="P149" s="444"/>
      <c r="Q149" s="444"/>
      <c r="R149" s="444"/>
      <c r="S149" s="445" t="s">
        <v>26</v>
      </c>
      <c r="T149" s="444" t="s">
        <v>85</v>
      </c>
      <c r="U149" s="475" t="s">
        <v>858</v>
      </c>
      <c r="V149" s="446" t="s">
        <v>932</v>
      </c>
      <c r="W149" s="446" t="s">
        <v>74</v>
      </c>
      <c r="X149" s="447">
        <v>43609</v>
      </c>
      <c r="Y149" s="447" t="s">
        <v>71</v>
      </c>
      <c r="Z149" s="447"/>
      <c r="AA149" s="447">
        <f t="shared" si="43"/>
        <v>43616</v>
      </c>
      <c r="AB149" s="447">
        <f t="shared" si="44"/>
        <v>43623</v>
      </c>
      <c r="AC149" s="447">
        <v>43630</v>
      </c>
      <c r="AD149" s="449">
        <v>457272.02</v>
      </c>
      <c r="AE149" s="450"/>
      <c r="AF149" s="451">
        <f t="shared" si="47"/>
        <v>457272.02</v>
      </c>
      <c r="AG149" s="449"/>
      <c r="AH149" s="452"/>
      <c r="AI149" s="450">
        <f>AF149</f>
        <v>457272.02</v>
      </c>
      <c r="AJ149" s="453">
        <f t="shared" si="42"/>
        <v>0</v>
      </c>
      <c r="AK149" s="454">
        <f>+AF149</f>
        <v>457272.02</v>
      </c>
      <c r="AL149" s="565">
        <v>457272.02</v>
      </c>
      <c r="AM149" s="449"/>
      <c r="AN149" s="450"/>
      <c r="AO149" s="451">
        <f t="shared" si="45"/>
        <v>0</v>
      </c>
      <c r="AP149" s="452">
        <v>0</v>
      </c>
      <c r="AQ149" s="453">
        <v>0</v>
      </c>
      <c r="AR149" s="455"/>
      <c r="AS149" s="456">
        <f t="shared" si="46"/>
        <v>0</v>
      </c>
      <c r="AT149" s="457"/>
      <c r="AV149" s="467"/>
    </row>
    <row r="150" spans="1:54" s="439" customFormat="1" ht="45" x14ac:dyDescent="0.25">
      <c r="A150" s="442" t="s">
        <v>1677</v>
      </c>
      <c r="B150" s="442" t="s">
        <v>1295</v>
      </c>
      <c r="C150" s="443"/>
      <c r="D150" s="444"/>
      <c r="E150" s="444"/>
      <c r="F150" s="444"/>
      <c r="G150" s="444"/>
      <c r="H150" s="444"/>
      <c r="I150" s="444"/>
      <c r="J150" s="444" t="s">
        <v>1678</v>
      </c>
      <c r="K150" s="444"/>
      <c r="L150" s="444"/>
      <c r="M150" s="476">
        <v>43866</v>
      </c>
      <c r="N150" s="444" t="s">
        <v>621</v>
      </c>
      <c r="O150" s="444"/>
      <c r="P150" s="444"/>
      <c r="Q150" s="444"/>
      <c r="R150" s="444"/>
      <c r="S150" s="445" t="s">
        <v>26</v>
      </c>
      <c r="T150" s="444" t="s">
        <v>85</v>
      </c>
      <c r="U150" s="475" t="s">
        <v>1679</v>
      </c>
      <c r="V150" s="446" t="s">
        <v>1680</v>
      </c>
      <c r="W150" s="446" t="s">
        <v>74</v>
      </c>
      <c r="X150" s="447">
        <v>43609</v>
      </c>
      <c r="Y150" s="447" t="s">
        <v>71</v>
      </c>
      <c r="Z150" s="447"/>
      <c r="AA150" s="447"/>
      <c r="AB150" s="447"/>
      <c r="AC150" s="447">
        <v>43866</v>
      </c>
      <c r="AD150" s="449">
        <f>(10.71+2.17)*9006</f>
        <v>115997.28000000001</v>
      </c>
      <c r="AE150" s="450"/>
      <c r="AF150" s="451">
        <f t="shared" ref="AF150" si="48">+SUM(AD150:AE150)</f>
        <v>115997.28000000001</v>
      </c>
      <c r="AG150" s="449"/>
      <c r="AH150" s="452"/>
      <c r="AI150" s="450">
        <f>AF150</f>
        <v>115997.28000000001</v>
      </c>
      <c r="AJ150" s="453">
        <f t="shared" ref="AJ150" si="49">+AF150-SUM(AG150:AI150)</f>
        <v>0</v>
      </c>
      <c r="AK150" s="454">
        <v>115997</v>
      </c>
      <c r="AL150" s="565">
        <v>115997</v>
      </c>
      <c r="AM150" s="449"/>
      <c r="AN150" s="450"/>
      <c r="AO150" s="451"/>
      <c r="AP150" s="452">
        <v>0</v>
      </c>
      <c r="AQ150" s="453">
        <v>0</v>
      </c>
      <c r="AR150" s="455"/>
      <c r="AS150" s="456">
        <f t="shared" si="46"/>
        <v>0</v>
      </c>
      <c r="AT150" s="457"/>
      <c r="AV150" s="467"/>
    </row>
    <row r="151" spans="1:54" s="439" customFormat="1" ht="78.75" customHeight="1" x14ac:dyDescent="0.25">
      <c r="A151" s="442" t="s">
        <v>929</v>
      </c>
      <c r="B151" s="442" t="s">
        <v>124</v>
      </c>
      <c r="C151" s="443"/>
      <c r="D151" s="444" t="s">
        <v>1408</v>
      </c>
      <c r="E151" s="444"/>
      <c r="F151" s="444"/>
      <c r="G151" s="444"/>
      <c r="H151" s="444"/>
      <c r="I151" s="444"/>
      <c r="J151" s="444" t="s">
        <v>930</v>
      </c>
      <c r="K151" s="444"/>
      <c r="L151" s="444"/>
      <c r="M151" s="476">
        <v>43701</v>
      </c>
      <c r="N151" s="444"/>
      <c r="O151" s="444"/>
      <c r="P151" s="444"/>
      <c r="Q151" s="444"/>
      <c r="R151" s="444"/>
      <c r="S151" s="445" t="s">
        <v>68</v>
      </c>
      <c r="T151" s="444" t="s">
        <v>85</v>
      </c>
      <c r="U151" s="475" t="s">
        <v>931</v>
      </c>
      <c r="V151" s="446" t="s">
        <v>934</v>
      </c>
      <c r="W151" s="446" t="s">
        <v>74</v>
      </c>
      <c r="X151" s="447">
        <v>43614</v>
      </c>
      <c r="Y151" s="447" t="s">
        <v>71</v>
      </c>
      <c r="Z151" s="447"/>
      <c r="AA151" s="447">
        <f t="shared" si="43"/>
        <v>43621</v>
      </c>
      <c r="AB151" s="447">
        <f t="shared" si="44"/>
        <v>43628</v>
      </c>
      <c r="AC151" s="447">
        <v>43628</v>
      </c>
      <c r="AD151" s="449">
        <v>0</v>
      </c>
      <c r="AE151" s="450"/>
      <c r="AF151" s="451">
        <f t="shared" si="47"/>
        <v>0</v>
      </c>
      <c r="AG151" s="449"/>
      <c r="AH151" s="452"/>
      <c r="AI151" s="450">
        <v>0</v>
      </c>
      <c r="AJ151" s="453">
        <f t="shared" si="42"/>
        <v>0</v>
      </c>
      <c r="AK151" s="454">
        <v>0</v>
      </c>
      <c r="AL151" s="565">
        <v>0</v>
      </c>
      <c r="AM151" s="449">
        <v>0</v>
      </c>
      <c r="AN151" s="450"/>
      <c r="AO151" s="451">
        <f t="shared" ref="AO151" si="50">AN151+AM151</f>
        <v>0</v>
      </c>
      <c r="AP151" s="452">
        <v>0</v>
      </c>
      <c r="AQ151" s="453">
        <v>0</v>
      </c>
      <c r="AR151" s="462"/>
      <c r="AS151" s="456">
        <f t="shared" si="46"/>
        <v>0</v>
      </c>
      <c r="AT151" s="457"/>
      <c r="AV151" s="467"/>
      <c r="AX151" s="463">
        <f>(AP151+AQ151)-(AO151)</f>
        <v>0</v>
      </c>
      <c r="BB151" s="463">
        <f>(AM151+AN151)-AO151</f>
        <v>0</v>
      </c>
    </row>
    <row r="152" spans="1:54" s="439" customFormat="1" ht="78.75" customHeight="1" x14ac:dyDescent="0.25">
      <c r="A152" s="442" t="s">
        <v>935</v>
      </c>
      <c r="B152" s="442" t="s">
        <v>1854</v>
      </c>
      <c r="C152" s="443"/>
      <c r="D152" s="476"/>
      <c r="E152" s="476"/>
      <c r="F152" s="476"/>
      <c r="G152" s="476"/>
      <c r="H152" s="476"/>
      <c r="I152" s="476"/>
      <c r="J152" s="444" t="s">
        <v>1404</v>
      </c>
      <c r="K152" s="444"/>
      <c r="L152" s="444"/>
      <c r="M152" s="476">
        <v>43755</v>
      </c>
      <c r="N152" s="444" t="s">
        <v>621</v>
      </c>
      <c r="O152" s="444"/>
      <c r="P152" s="444"/>
      <c r="Q152" s="444"/>
      <c r="R152" s="444"/>
      <c r="S152" s="445" t="s">
        <v>26</v>
      </c>
      <c r="T152" s="444" t="s">
        <v>1262</v>
      </c>
      <c r="U152" s="475" t="s">
        <v>936</v>
      </c>
      <c r="V152" s="446" t="s">
        <v>937</v>
      </c>
      <c r="W152" s="446" t="s">
        <v>74</v>
      </c>
      <c r="X152" s="447">
        <v>43615</v>
      </c>
      <c r="Y152" s="447" t="s">
        <v>71</v>
      </c>
      <c r="Z152" s="447"/>
      <c r="AA152" s="447">
        <f t="shared" si="43"/>
        <v>43622</v>
      </c>
      <c r="AB152" s="447">
        <f t="shared" si="44"/>
        <v>43629</v>
      </c>
      <c r="AC152" s="447">
        <v>43629</v>
      </c>
      <c r="AD152" s="449">
        <v>215477.75</v>
      </c>
      <c r="AE152" s="450">
        <f>190794.96-215478</f>
        <v>-24683.040000000008</v>
      </c>
      <c r="AF152" s="451">
        <f t="shared" si="47"/>
        <v>190794.71</v>
      </c>
      <c r="AG152" s="449">
        <v>190794.96</v>
      </c>
      <c r="AH152" s="452"/>
      <c r="AI152" s="450"/>
      <c r="AJ152" s="453"/>
      <c r="AK152" s="454">
        <f>AG152</f>
        <v>190794.96</v>
      </c>
      <c r="AL152" s="565">
        <v>190794.96</v>
      </c>
      <c r="AM152" s="449"/>
      <c r="AN152" s="450"/>
      <c r="AO152" s="451">
        <f t="shared" si="45"/>
        <v>0</v>
      </c>
      <c r="AP152" s="452">
        <v>0</v>
      </c>
      <c r="AQ152" s="453">
        <v>0</v>
      </c>
      <c r="AR152" s="455"/>
      <c r="AS152" s="456">
        <f t="shared" si="46"/>
        <v>0</v>
      </c>
      <c r="AT152" s="457"/>
      <c r="AV152" s="467"/>
    </row>
    <row r="153" spans="1:54" s="439" customFormat="1" ht="60" x14ac:dyDescent="0.25">
      <c r="A153" s="442" t="s">
        <v>938</v>
      </c>
      <c r="B153" s="442" t="s">
        <v>1298</v>
      </c>
      <c r="C153" s="443"/>
      <c r="D153" s="476"/>
      <c r="E153" s="476"/>
      <c r="F153" s="476"/>
      <c r="G153" s="476"/>
      <c r="H153" s="476"/>
      <c r="I153" s="476"/>
      <c r="J153" s="444" t="s">
        <v>940</v>
      </c>
      <c r="K153" s="444"/>
      <c r="L153" s="444"/>
      <c r="M153" s="476">
        <v>43631</v>
      </c>
      <c r="N153" s="444" t="s">
        <v>621</v>
      </c>
      <c r="O153" s="444"/>
      <c r="P153" s="444"/>
      <c r="Q153" s="444"/>
      <c r="R153" s="444"/>
      <c r="S153" s="445" t="s">
        <v>26</v>
      </c>
      <c r="T153" s="444" t="s">
        <v>85</v>
      </c>
      <c r="U153" s="475" t="s">
        <v>939</v>
      </c>
      <c r="V153" s="446" t="s">
        <v>1482</v>
      </c>
      <c r="W153" s="446" t="s">
        <v>74</v>
      </c>
      <c r="X153" s="447">
        <v>43621</v>
      </c>
      <c r="Y153" s="447" t="s">
        <v>71</v>
      </c>
      <c r="Z153" s="447"/>
      <c r="AA153" s="447">
        <f t="shared" si="43"/>
        <v>43628</v>
      </c>
      <c r="AB153" s="447">
        <f t="shared" si="44"/>
        <v>43635</v>
      </c>
      <c r="AC153" s="447">
        <v>43631</v>
      </c>
      <c r="AD153" s="449">
        <v>2573.75</v>
      </c>
      <c r="AE153" s="450">
        <f>-AD153+AK153</f>
        <v>-427.65000000000009</v>
      </c>
      <c r="AF153" s="451">
        <f>+SUM(AD153:AE153)</f>
        <v>2146.1</v>
      </c>
      <c r="AG153" s="449"/>
      <c r="AH153" s="452"/>
      <c r="AI153" s="450">
        <f>AF153</f>
        <v>2146.1</v>
      </c>
      <c r="AJ153" s="453">
        <f t="shared" ref="AJ153:AJ162" si="51">+AF153-SUM(AG153:AI153)</f>
        <v>0</v>
      </c>
      <c r="AK153" s="454">
        <v>2146.1</v>
      </c>
      <c r="AL153" s="565">
        <v>2146.1</v>
      </c>
      <c r="AM153" s="449"/>
      <c r="AN153" s="450"/>
      <c r="AO153" s="451">
        <f t="shared" si="45"/>
        <v>0</v>
      </c>
      <c r="AP153" s="452">
        <v>0</v>
      </c>
      <c r="AQ153" s="453">
        <v>0</v>
      </c>
      <c r="AR153" s="455"/>
      <c r="AS153" s="456">
        <f t="shared" si="46"/>
        <v>0</v>
      </c>
      <c r="AT153" s="457"/>
      <c r="AV153" s="467"/>
    </row>
    <row r="154" spans="1:54" s="439" customFormat="1" ht="78.75" customHeight="1" x14ac:dyDescent="0.25">
      <c r="A154" s="442" t="s">
        <v>1087</v>
      </c>
      <c r="B154" s="442" t="s">
        <v>1298</v>
      </c>
      <c r="C154" s="443"/>
      <c r="D154" s="476"/>
      <c r="E154" s="476"/>
      <c r="F154" s="476"/>
      <c r="G154" s="476"/>
      <c r="H154" s="476"/>
      <c r="I154" s="476"/>
      <c r="J154" s="444" t="s">
        <v>1088</v>
      </c>
      <c r="K154" s="444"/>
      <c r="L154" s="444"/>
      <c r="M154" s="476">
        <v>43648</v>
      </c>
      <c r="N154" s="444" t="s">
        <v>621</v>
      </c>
      <c r="O154" s="444"/>
      <c r="P154" s="444"/>
      <c r="Q154" s="444"/>
      <c r="R154" s="444"/>
      <c r="S154" s="445" t="s">
        <v>26</v>
      </c>
      <c r="T154" s="444" t="s">
        <v>85</v>
      </c>
      <c r="U154" s="475" t="s">
        <v>1483</v>
      </c>
      <c r="V154" s="446" t="s">
        <v>1089</v>
      </c>
      <c r="W154" s="446" t="s">
        <v>74</v>
      </c>
      <c r="X154" s="447">
        <v>43621</v>
      </c>
      <c r="Y154" s="447" t="s">
        <v>71</v>
      </c>
      <c r="Z154" s="447"/>
      <c r="AA154" s="447">
        <f t="shared" si="43"/>
        <v>43628</v>
      </c>
      <c r="AB154" s="447">
        <f t="shared" si="44"/>
        <v>43635</v>
      </c>
      <c r="AC154" s="447">
        <v>43631</v>
      </c>
      <c r="AD154" s="449">
        <v>28714</v>
      </c>
      <c r="AE154" s="450">
        <f>-AD154+7528.31</f>
        <v>-21185.69</v>
      </c>
      <c r="AF154" s="451">
        <f>+SUM(AD154:AE154)</f>
        <v>7528.3100000000013</v>
      </c>
      <c r="AG154" s="449"/>
      <c r="AH154" s="450"/>
      <c r="AI154" s="450">
        <f>AF154</f>
        <v>7528.3100000000013</v>
      </c>
      <c r="AJ154" s="453">
        <f t="shared" si="51"/>
        <v>0</v>
      </c>
      <c r="AK154" s="454">
        <f>AI154</f>
        <v>7528.3100000000013</v>
      </c>
      <c r="AL154" s="565">
        <v>7528.3100000000013</v>
      </c>
      <c r="AM154" s="449"/>
      <c r="AN154" s="450">
        <v>0</v>
      </c>
      <c r="AO154" s="451">
        <f t="shared" si="45"/>
        <v>0</v>
      </c>
      <c r="AP154" s="452">
        <v>0</v>
      </c>
      <c r="AQ154" s="453">
        <v>0</v>
      </c>
      <c r="AR154" s="455"/>
      <c r="AS154" s="456">
        <f t="shared" si="46"/>
        <v>0</v>
      </c>
      <c r="AT154" s="457"/>
      <c r="AV154" s="467"/>
      <c r="AX154" s="463">
        <f>(AP154+AQ154)-(AO154)</f>
        <v>0</v>
      </c>
    </row>
    <row r="155" spans="1:54" s="439" customFormat="1" ht="47.25" customHeight="1" x14ac:dyDescent="0.25">
      <c r="A155" s="442" t="s">
        <v>1090</v>
      </c>
      <c r="B155" s="442" t="s">
        <v>124</v>
      </c>
      <c r="C155" s="443">
        <v>88</v>
      </c>
      <c r="D155" s="476"/>
      <c r="E155" s="476"/>
      <c r="F155" s="476"/>
      <c r="G155" s="476"/>
      <c r="H155" s="476"/>
      <c r="I155" s="476"/>
      <c r="J155" s="444" t="s">
        <v>1088</v>
      </c>
      <c r="K155" s="444"/>
      <c r="L155" s="444"/>
      <c r="M155" s="476">
        <v>43648</v>
      </c>
      <c r="N155" s="444" t="s">
        <v>621</v>
      </c>
      <c r="O155" s="444"/>
      <c r="P155" s="444"/>
      <c r="Q155" s="444"/>
      <c r="R155" s="444"/>
      <c r="S155" s="445" t="s">
        <v>26</v>
      </c>
      <c r="T155" s="444" t="s">
        <v>85</v>
      </c>
      <c r="U155" s="475" t="s">
        <v>1091</v>
      </c>
      <c r="V155" s="446" t="s">
        <v>1092</v>
      </c>
      <c r="W155" s="446" t="s">
        <v>74</v>
      </c>
      <c r="X155" s="447">
        <v>43647</v>
      </c>
      <c r="Y155" s="447" t="s">
        <v>71</v>
      </c>
      <c r="Z155" s="447"/>
      <c r="AA155" s="447">
        <f t="shared" si="43"/>
        <v>43654</v>
      </c>
      <c r="AB155" s="447">
        <f t="shared" si="44"/>
        <v>43661</v>
      </c>
      <c r="AC155" s="447">
        <v>43631</v>
      </c>
      <c r="AD155" s="449">
        <v>9309.8700000000008</v>
      </c>
      <c r="AE155" s="450"/>
      <c r="AF155" s="451">
        <f>+SUM(AD155:AE155)</f>
        <v>9309.8700000000008</v>
      </c>
      <c r="AG155" s="449"/>
      <c r="AH155" s="450"/>
      <c r="AI155" s="450">
        <v>0</v>
      </c>
      <c r="AJ155" s="453">
        <f t="shared" si="51"/>
        <v>9309.8700000000008</v>
      </c>
      <c r="AK155" s="454">
        <v>9309.8700000000008</v>
      </c>
      <c r="AL155" s="565">
        <v>9309.8700000000008</v>
      </c>
      <c r="AM155" s="449"/>
      <c r="AN155" s="450"/>
      <c r="AO155" s="451">
        <f t="shared" si="45"/>
        <v>0</v>
      </c>
      <c r="AP155" s="452">
        <v>0</v>
      </c>
      <c r="AQ155" s="453">
        <v>0</v>
      </c>
      <c r="AR155" s="455"/>
      <c r="AS155" s="456">
        <f t="shared" si="46"/>
        <v>0</v>
      </c>
      <c r="AT155" s="457"/>
      <c r="AV155" s="467"/>
    </row>
    <row r="156" spans="1:54" s="439" customFormat="1" ht="47.25" customHeight="1" x14ac:dyDescent="0.25">
      <c r="A156" s="442" t="s">
        <v>1428</v>
      </c>
      <c r="B156" s="442" t="s">
        <v>1535</v>
      </c>
      <c r="C156" s="443">
        <v>88</v>
      </c>
      <c r="D156" s="476"/>
      <c r="E156" s="476"/>
      <c r="F156" s="476"/>
      <c r="G156" s="476"/>
      <c r="H156" s="476"/>
      <c r="I156" s="476"/>
      <c r="J156" s="444" t="s">
        <v>1088</v>
      </c>
      <c r="K156" s="444"/>
      <c r="L156" s="444"/>
      <c r="M156" s="476">
        <v>43648</v>
      </c>
      <c r="N156" s="444" t="s">
        <v>621</v>
      </c>
      <c r="O156" s="444"/>
      <c r="P156" s="444"/>
      <c r="Q156" s="444"/>
      <c r="R156" s="444"/>
      <c r="S156" s="445" t="s">
        <v>26</v>
      </c>
      <c r="T156" s="444" t="s">
        <v>85</v>
      </c>
      <c r="U156" s="475" t="s">
        <v>1427</v>
      </c>
      <c r="V156" s="446" t="s">
        <v>1092</v>
      </c>
      <c r="W156" s="446" t="s">
        <v>74</v>
      </c>
      <c r="X156" s="447">
        <v>43647</v>
      </c>
      <c r="Y156" s="447" t="s">
        <v>71</v>
      </c>
      <c r="Z156" s="447"/>
      <c r="AA156" s="447">
        <f t="shared" si="43"/>
        <v>43654</v>
      </c>
      <c r="AB156" s="447">
        <f t="shared" si="44"/>
        <v>43661</v>
      </c>
      <c r="AC156" s="447">
        <v>43631</v>
      </c>
      <c r="AD156" s="449">
        <v>186197.23</v>
      </c>
      <c r="AE156" s="450"/>
      <c r="AF156" s="451">
        <v>186197.23</v>
      </c>
      <c r="AG156" s="449"/>
      <c r="AH156" s="450"/>
      <c r="AI156" s="450">
        <v>186197.23</v>
      </c>
      <c r="AJ156" s="453">
        <f t="shared" si="51"/>
        <v>0</v>
      </c>
      <c r="AK156" s="454">
        <f>AI156</f>
        <v>186197.23</v>
      </c>
      <c r="AL156" s="565">
        <v>186197.23</v>
      </c>
      <c r="AM156" s="449">
        <v>0</v>
      </c>
      <c r="AN156" s="450"/>
      <c r="AO156" s="451">
        <f t="shared" si="45"/>
        <v>0</v>
      </c>
      <c r="AP156" s="452">
        <v>0</v>
      </c>
      <c r="AQ156" s="453">
        <v>0</v>
      </c>
      <c r="AR156" s="462"/>
      <c r="AS156" s="456">
        <f t="shared" si="46"/>
        <v>0</v>
      </c>
      <c r="AT156" s="457"/>
      <c r="AV156" s="467"/>
      <c r="BB156" s="463">
        <f t="shared" ref="BB156:BB157" si="52">(AM156+AN156)-AO156</f>
        <v>0</v>
      </c>
    </row>
    <row r="157" spans="1:54" s="439" customFormat="1" ht="90" customHeight="1" x14ac:dyDescent="0.25">
      <c r="A157" s="442" t="s">
        <v>941</v>
      </c>
      <c r="B157" s="442" t="s">
        <v>1891</v>
      </c>
      <c r="C157" s="443"/>
      <c r="D157" s="476"/>
      <c r="E157" s="476"/>
      <c r="F157" s="476"/>
      <c r="G157" s="476"/>
      <c r="H157" s="476"/>
      <c r="I157" s="476"/>
      <c r="J157" s="444" t="s">
        <v>942</v>
      </c>
      <c r="K157" s="444"/>
      <c r="L157" s="444"/>
      <c r="M157" s="476">
        <v>37371</v>
      </c>
      <c r="N157" s="444" t="s">
        <v>621</v>
      </c>
      <c r="O157" s="444"/>
      <c r="P157" s="444"/>
      <c r="Q157" s="444"/>
      <c r="R157" s="444"/>
      <c r="S157" s="523" t="s">
        <v>26</v>
      </c>
      <c r="T157" s="444" t="s">
        <v>85</v>
      </c>
      <c r="U157" s="475" t="s">
        <v>943</v>
      </c>
      <c r="V157" s="446" t="s">
        <v>944</v>
      </c>
      <c r="W157" s="446" t="s">
        <v>74</v>
      </c>
      <c r="X157" s="447">
        <v>43621</v>
      </c>
      <c r="Y157" s="447" t="s">
        <v>71</v>
      </c>
      <c r="Z157" s="447"/>
      <c r="AA157" s="447">
        <f t="shared" si="43"/>
        <v>43628</v>
      </c>
      <c r="AB157" s="447">
        <f t="shared" si="44"/>
        <v>43635</v>
      </c>
      <c r="AC157" s="447">
        <v>43633</v>
      </c>
      <c r="AD157" s="449">
        <v>1331901.5900000001</v>
      </c>
      <c r="AE157" s="450"/>
      <c r="AF157" s="451">
        <f t="shared" ref="AF157:AF174" si="53">+SUM(AD157:AE157)</f>
        <v>1331901.5900000001</v>
      </c>
      <c r="AG157" s="449"/>
      <c r="AH157" s="452"/>
      <c r="AI157" s="450">
        <f>AF157</f>
        <v>1331901.5900000001</v>
      </c>
      <c r="AJ157" s="453">
        <f t="shared" si="51"/>
        <v>0</v>
      </c>
      <c r="AK157" s="454">
        <v>500000</v>
      </c>
      <c r="AL157" s="565">
        <v>500000</v>
      </c>
      <c r="AM157" s="449">
        <v>510114.63</v>
      </c>
      <c r="AN157" s="450"/>
      <c r="AO157" s="451">
        <f t="shared" si="45"/>
        <v>510114.63</v>
      </c>
      <c r="AP157" s="452">
        <f>AO157</f>
        <v>510114.63</v>
      </c>
      <c r="AQ157" s="453">
        <v>0</v>
      </c>
      <c r="AR157" s="462"/>
      <c r="AS157" s="456">
        <f t="shared" si="46"/>
        <v>0</v>
      </c>
      <c r="AT157" s="457"/>
      <c r="AV157" s="467"/>
      <c r="BB157" s="463">
        <f t="shared" si="52"/>
        <v>0</v>
      </c>
    </row>
    <row r="158" spans="1:54" s="439" customFormat="1" ht="60" x14ac:dyDescent="0.25">
      <c r="A158" s="442" t="s">
        <v>1215</v>
      </c>
      <c r="B158" s="442" t="s">
        <v>1300</v>
      </c>
      <c r="C158" s="443">
        <v>64</v>
      </c>
      <c r="D158" s="476"/>
      <c r="E158" s="476"/>
      <c r="F158" s="476"/>
      <c r="G158" s="476"/>
      <c r="H158" s="476"/>
      <c r="I158" s="476"/>
      <c r="J158" s="444" t="s">
        <v>1216</v>
      </c>
      <c r="K158" s="444"/>
      <c r="L158" s="444"/>
      <c r="M158" s="476">
        <v>43685</v>
      </c>
      <c r="N158" s="444" t="s">
        <v>621</v>
      </c>
      <c r="O158" s="444"/>
      <c r="P158" s="444"/>
      <c r="Q158" s="444"/>
      <c r="R158" s="444"/>
      <c r="S158" s="445" t="s">
        <v>26</v>
      </c>
      <c r="T158" s="444" t="s">
        <v>85</v>
      </c>
      <c r="U158" s="475" t="s">
        <v>1217</v>
      </c>
      <c r="V158" s="446" t="s">
        <v>1218</v>
      </c>
      <c r="W158" s="446"/>
      <c r="X158" s="447"/>
      <c r="Y158" s="447"/>
      <c r="Z158" s="447"/>
      <c r="AA158" s="447"/>
      <c r="AB158" s="447"/>
      <c r="AC158" s="447">
        <f>M158</f>
        <v>43685</v>
      </c>
      <c r="AD158" s="449">
        <v>5495.93</v>
      </c>
      <c r="AE158" s="450">
        <f>-148.3*2</f>
        <v>-296.60000000000002</v>
      </c>
      <c r="AF158" s="451">
        <f t="shared" si="53"/>
        <v>5199.33</v>
      </c>
      <c r="AG158" s="449"/>
      <c r="AH158" s="452"/>
      <c r="AI158" s="450"/>
      <c r="AJ158" s="453">
        <f t="shared" si="51"/>
        <v>5199.33</v>
      </c>
      <c r="AK158" s="454">
        <v>5199.33</v>
      </c>
      <c r="AL158" s="565">
        <v>5199.33</v>
      </c>
      <c r="AM158" s="449"/>
      <c r="AN158" s="450"/>
      <c r="AO158" s="451">
        <f t="shared" si="45"/>
        <v>0</v>
      </c>
      <c r="AP158" s="452">
        <v>0</v>
      </c>
      <c r="AQ158" s="453">
        <v>0</v>
      </c>
      <c r="AR158" s="455"/>
      <c r="AS158" s="456">
        <f t="shared" si="46"/>
        <v>0</v>
      </c>
      <c r="AT158" s="457"/>
      <c r="AV158" s="467"/>
    </row>
    <row r="159" spans="1:54" s="439" customFormat="1" ht="30" x14ac:dyDescent="0.25">
      <c r="A159" s="442" t="s">
        <v>980</v>
      </c>
      <c r="B159" s="442" t="s">
        <v>124</v>
      </c>
      <c r="C159" s="443"/>
      <c r="D159" s="444" t="s">
        <v>981</v>
      </c>
      <c r="E159" s="444"/>
      <c r="F159" s="444"/>
      <c r="G159" s="444"/>
      <c r="H159" s="444"/>
      <c r="I159" s="444"/>
      <c r="J159" s="444"/>
      <c r="K159" s="444"/>
      <c r="L159" s="444"/>
      <c r="M159" s="476">
        <v>43633</v>
      </c>
      <c r="N159" s="444" t="s">
        <v>621</v>
      </c>
      <c r="O159" s="444"/>
      <c r="P159" s="444"/>
      <c r="Q159" s="444"/>
      <c r="R159" s="444"/>
      <c r="S159" s="445" t="s">
        <v>26</v>
      </c>
      <c r="T159" s="444" t="s">
        <v>1262</v>
      </c>
      <c r="U159" s="475" t="s">
        <v>982</v>
      </c>
      <c r="V159" s="446" t="s">
        <v>983</v>
      </c>
      <c r="W159" s="446" t="s">
        <v>74</v>
      </c>
      <c r="X159" s="447">
        <v>43616</v>
      </c>
      <c r="Y159" s="447" t="s">
        <v>71</v>
      </c>
      <c r="Z159" s="447"/>
      <c r="AA159" s="447">
        <f>+IF(X159="","",WORKDAY(X159,5))</f>
        <v>43623</v>
      </c>
      <c r="AB159" s="447">
        <f>+IF(X159="","",WORKDAY(X159,10))</f>
        <v>43630</v>
      </c>
      <c r="AC159" s="447">
        <v>43633</v>
      </c>
      <c r="AD159" s="449">
        <v>-2669400.4</v>
      </c>
      <c r="AE159" s="450"/>
      <c r="AF159" s="451">
        <f t="shared" si="53"/>
        <v>-2669400.4</v>
      </c>
      <c r="AG159" s="449">
        <f>+AF159</f>
        <v>-2669400.4</v>
      </c>
      <c r="AH159" s="452"/>
      <c r="AI159" s="450"/>
      <c r="AJ159" s="453">
        <f t="shared" si="51"/>
        <v>0</v>
      </c>
      <c r="AK159" s="454">
        <f>AG159</f>
        <v>-2669400.4</v>
      </c>
      <c r="AL159" s="565">
        <v>-2669400.4</v>
      </c>
      <c r="AM159" s="449"/>
      <c r="AN159" s="450"/>
      <c r="AO159" s="451">
        <f t="shared" si="45"/>
        <v>0</v>
      </c>
      <c r="AP159" s="452">
        <v>0</v>
      </c>
      <c r="AQ159" s="453">
        <v>0</v>
      </c>
      <c r="AR159" s="455"/>
      <c r="AS159" s="456">
        <f t="shared" si="46"/>
        <v>0</v>
      </c>
      <c r="AT159" s="457"/>
      <c r="AV159" s="467"/>
    </row>
    <row r="160" spans="1:54" s="439" customFormat="1" ht="105" x14ac:dyDescent="0.25">
      <c r="A160" s="442" t="s">
        <v>989</v>
      </c>
      <c r="B160" s="442" t="s">
        <v>1298</v>
      </c>
      <c r="C160" s="443"/>
      <c r="D160" s="444"/>
      <c r="E160" s="444"/>
      <c r="F160" s="444"/>
      <c r="G160" s="444"/>
      <c r="H160" s="444"/>
      <c r="I160" s="444"/>
      <c r="J160" s="444" t="s">
        <v>1159</v>
      </c>
      <c r="K160" s="444"/>
      <c r="L160" s="444"/>
      <c r="M160" s="476">
        <v>43647</v>
      </c>
      <c r="N160" s="444" t="s">
        <v>621</v>
      </c>
      <c r="O160" s="444"/>
      <c r="P160" s="444"/>
      <c r="Q160" s="444"/>
      <c r="R160" s="444"/>
      <c r="S160" s="445" t="s">
        <v>26</v>
      </c>
      <c r="T160" s="444" t="s">
        <v>85</v>
      </c>
      <c r="U160" s="475" t="s">
        <v>1118</v>
      </c>
      <c r="V160" s="446" t="s">
        <v>1119</v>
      </c>
      <c r="W160" s="446" t="s">
        <v>74</v>
      </c>
      <c r="X160" s="447">
        <v>43633</v>
      </c>
      <c r="Y160" s="447" t="s">
        <v>71</v>
      </c>
      <c r="Z160" s="447"/>
      <c r="AA160" s="447">
        <f>+IF(X160="","",WORKDAY(X160,5))</f>
        <v>43640</v>
      </c>
      <c r="AB160" s="447">
        <f>+IF(X160="","",WORKDAY(X160,10))</f>
        <v>43647</v>
      </c>
      <c r="AC160" s="447">
        <v>43647</v>
      </c>
      <c r="AD160" s="449">
        <v>14541.22</v>
      </c>
      <c r="AE160" s="450"/>
      <c r="AF160" s="451">
        <f t="shared" si="53"/>
        <v>14541.22</v>
      </c>
      <c r="AG160" s="449"/>
      <c r="AH160" s="452"/>
      <c r="AI160" s="450">
        <f>AF160</f>
        <v>14541.22</v>
      </c>
      <c r="AJ160" s="453">
        <f t="shared" si="51"/>
        <v>0</v>
      </c>
      <c r="AK160" s="454">
        <v>14541.22</v>
      </c>
      <c r="AL160" s="565">
        <v>14541.22</v>
      </c>
      <c r="AM160" s="449"/>
      <c r="AN160" s="450">
        <v>0</v>
      </c>
      <c r="AO160" s="451">
        <f t="shared" si="45"/>
        <v>0</v>
      </c>
      <c r="AP160" s="452">
        <v>0</v>
      </c>
      <c r="AQ160" s="453">
        <v>0</v>
      </c>
      <c r="AR160" s="455"/>
      <c r="AS160" s="456">
        <f t="shared" si="46"/>
        <v>0</v>
      </c>
      <c r="AT160" s="457"/>
      <c r="AV160" s="467"/>
    </row>
    <row r="161" spans="1:54" s="439" customFormat="1" ht="47.25" customHeight="1" x14ac:dyDescent="0.25">
      <c r="A161" s="442" t="s">
        <v>1093</v>
      </c>
      <c r="B161" s="442" t="s">
        <v>1892</v>
      </c>
      <c r="C161" s="443">
        <v>81</v>
      </c>
      <c r="D161" s="444" t="s">
        <v>1361</v>
      </c>
      <c r="E161" s="444"/>
      <c r="F161" s="444"/>
      <c r="G161" s="444"/>
      <c r="H161" s="444"/>
      <c r="I161" s="444"/>
      <c r="J161" s="444" t="s">
        <v>1219</v>
      </c>
      <c r="K161" s="444"/>
      <c r="L161" s="444"/>
      <c r="M161" s="476">
        <v>43745</v>
      </c>
      <c r="N161" s="444" t="s">
        <v>622</v>
      </c>
      <c r="O161" s="444"/>
      <c r="P161" s="444"/>
      <c r="Q161" s="444"/>
      <c r="R161" s="444"/>
      <c r="S161" s="445" t="s">
        <v>26</v>
      </c>
      <c r="T161" s="444" t="s">
        <v>85</v>
      </c>
      <c r="U161" s="475" t="s">
        <v>1116</v>
      </c>
      <c r="V161" s="446" t="s">
        <v>1117</v>
      </c>
      <c r="W161" s="446" t="s">
        <v>74</v>
      </c>
      <c r="X161" s="447">
        <v>43621</v>
      </c>
      <c r="Y161" s="447" t="s">
        <v>266</v>
      </c>
      <c r="Z161" s="447"/>
      <c r="AA161" s="447">
        <f>+IF(X161="","",WORKDAY(X161,5))</f>
        <v>43628</v>
      </c>
      <c r="AB161" s="447">
        <f>+IF(X161="","",WORKDAY(X161,10))</f>
        <v>43635</v>
      </c>
      <c r="AC161" s="447">
        <f>M161</f>
        <v>43745</v>
      </c>
      <c r="AD161" s="449">
        <v>67034.7</v>
      </c>
      <c r="AE161" s="450"/>
      <c r="AF161" s="451">
        <f t="shared" si="53"/>
        <v>67034.7</v>
      </c>
      <c r="AG161" s="449"/>
      <c r="AH161" s="452"/>
      <c r="AI161" s="450"/>
      <c r="AJ161" s="453">
        <f t="shared" si="51"/>
        <v>67034.7</v>
      </c>
      <c r="AK161" s="454">
        <f>AJ161</f>
        <v>67034.7</v>
      </c>
      <c r="AL161" s="565">
        <v>67034.7</v>
      </c>
      <c r="AM161" s="449"/>
      <c r="AN161" s="450"/>
      <c r="AO161" s="451">
        <f t="shared" si="45"/>
        <v>0</v>
      </c>
      <c r="AP161" s="452">
        <v>0</v>
      </c>
      <c r="AQ161" s="453">
        <v>0</v>
      </c>
      <c r="AR161" s="455"/>
      <c r="AS161" s="456">
        <f t="shared" si="46"/>
        <v>0</v>
      </c>
      <c r="AT161" s="457"/>
      <c r="AV161" s="467"/>
    </row>
    <row r="162" spans="1:54" s="439" customFormat="1" ht="30" x14ac:dyDescent="0.25">
      <c r="A162" s="442" t="s">
        <v>1094</v>
      </c>
      <c r="B162" s="442" t="s">
        <v>1295</v>
      </c>
      <c r="C162" s="443"/>
      <c r="D162" s="444" t="s">
        <v>1160</v>
      </c>
      <c r="E162" s="444"/>
      <c r="F162" s="444"/>
      <c r="G162" s="444"/>
      <c r="H162" s="444"/>
      <c r="I162" s="444"/>
      <c r="J162" s="444" t="s">
        <v>1161</v>
      </c>
      <c r="K162" s="444"/>
      <c r="L162" s="444"/>
      <c r="M162" s="476">
        <v>43665</v>
      </c>
      <c r="N162" s="444" t="s">
        <v>622</v>
      </c>
      <c r="O162" s="444"/>
      <c r="P162" s="444"/>
      <c r="Q162" s="444"/>
      <c r="R162" s="444"/>
      <c r="S162" s="445" t="s">
        <v>26</v>
      </c>
      <c r="T162" s="444" t="s">
        <v>85</v>
      </c>
      <c r="U162" s="475" t="s">
        <v>1120</v>
      </c>
      <c r="V162" s="446" t="s">
        <v>1121</v>
      </c>
      <c r="W162" s="446" t="s">
        <v>74</v>
      </c>
      <c r="X162" s="447">
        <v>43635</v>
      </c>
      <c r="Y162" s="447" t="s">
        <v>266</v>
      </c>
      <c r="Z162" s="447"/>
      <c r="AA162" s="447">
        <f>+IF(X162="","",WORKDAY(X162,5))</f>
        <v>43642</v>
      </c>
      <c r="AB162" s="447">
        <f>+IF(X162="","",WORKDAY(X162,10))</f>
        <v>43649</v>
      </c>
      <c r="AC162" s="447">
        <v>43664</v>
      </c>
      <c r="AD162" s="449">
        <v>81776.509999999995</v>
      </c>
      <c r="AE162" s="450"/>
      <c r="AF162" s="451">
        <f t="shared" si="53"/>
        <v>81776.509999999995</v>
      </c>
      <c r="AG162" s="449"/>
      <c r="AH162" s="452"/>
      <c r="AI162" s="450">
        <v>81776.509999999995</v>
      </c>
      <c r="AJ162" s="453">
        <f t="shared" si="51"/>
        <v>0</v>
      </c>
      <c r="AK162" s="454">
        <v>81777</v>
      </c>
      <c r="AL162" s="565">
        <v>81777</v>
      </c>
      <c r="AM162" s="449"/>
      <c r="AN162" s="450"/>
      <c r="AO162" s="451">
        <f t="shared" si="45"/>
        <v>0</v>
      </c>
      <c r="AP162" s="452">
        <v>0</v>
      </c>
      <c r="AQ162" s="453">
        <v>0</v>
      </c>
      <c r="AR162" s="455"/>
      <c r="AS162" s="456">
        <f t="shared" si="46"/>
        <v>0</v>
      </c>
      <c r="AT162" s="457"/>
      <c r="AV162" s="467"/>
    </row>
    <row r="163" spans="1:54" s="439" customFormat="1" ht="30" x14ac:dyDescent="0.25">
      <c r="A163" s="442" t="s">
        <v>1458</v>
      </c>
      <c r="B163" s="442" t="s">
        <v>1892</v>
      </c>
      <c r="C163" s="443">
        <v>83</v>
      </c>
      <c r="D163" s="444" t="s">
        <v>1742</v>
      </c>
      <c r="E163" s="444"/>
      <c r="F163" s="444"/>
      <c r="G163" s="444"/>
      <c r="H163" s="444"/>
      <c r="I163" s="444"/>
      <c r="J163" s="444" t="s">
        <v>1456</v>
      </c>
      <c r="K163" s="444"/>
      <c r="L163" s="444"/>
      <c r="M163" s="476">
        <v>43903</v>
      </c>
      <c r="N163" s="444" t="s">
        <v>621</v>
      </c>
      <c r="O163" s="444"/>
      <c r="P163" s="444"/>
      <c r="Q163" s="444"/>
      <c r="R163" s="444"/>
      <c r="S163" s="445" t="s">
        <v>26</v>
      </c>
      <c r="T163" s="444" t="s">
        <v>85</v>
      </c>
      <c r="U163" s="475" t="s">
        <v>1459</v>
      </c>
      <c r="V163" s="446" t="s">
        <v>1460</v>
      </c>
      <c r="W163" s="446" t="s">
        <v>74</v>
      </c>
      <c r="X163" s="447">
        <v>43635</v>
      </c>
      <c r="Y163" s="447" t="s">
        <v>266</v>
      </c>
      <c r="Z163" s="447"/>
      <c r="AA163" s="447"/>
      <c r="AB163" s="447"/>
      <c r="AC163" s="447" t="s">
        <v>1461</v>
      </c>
      <c r="AD163" s="449">
        <v>3016.17</v>
      </c>
      <c r="AE163" s="450"/>
      <c r="AF163" s="451">
        <f t="shared" si="53"/>
        <v>3016.17</v>
      </c>
      <c r="AG163" s="449"/>
      <c r="AH163" s="452"/>
      <c r="AI163" s="450"/>
      <c r="AJ163" s="453"/>
      <c r="AK163" s="454">
        <v>3016.17</v>
      </c>
      <c r="AL163" s="565">
        <v>3016.17</v>
      </c>
      <c r="AM163" s="449"/>
      <c r="AN163" s="450"/>
      <c r="AO163" s="451">
        <f t="shared" si="45"/>
        <v>0</v>
      </c>
      <c r="AP163" s="452">
        <v>0</v>
      </c>
      <c r="AQ163" s="453">
        <v>0</v>
      </c>
      <c r="AR163" s="455"/>
      <c r="AS163" s="456">
        <f t="shared" si="46"/>
        <v>0</v>
      </c>
      <c r="AT163" s="457"/>
      <c r="AV163" s="467"/>
    </row>
    <row r="164" spans="1:54" s="439" customFormat="1" ht="78.75" customHeight="1" x14ac:dyDescent="0.25">
      <c r="A164" s="442" t="s">
        <v>1095</v>
      </c>
      <c r="B164" s="442" t="s">
        <v>1544</v>
      </c>
      <c r="C164" s="443"/>
      <c r="D164" s="444"/>
      <c r="E164" s="444"/>
      <c r="F164" s="444"/>
      <c r="G164" s="444"/>
      <c r="H164" s="444"/>
      <c r="I164" s="444"/>
      <c r="J164" s="444" t="s">
        <v>1162</v>
      </c>
      <c r="K164" s="444"/>
      <c r="L164" s="444"/>
      <c r="M164" s="476">
        <v>43667</v>
      </c>
      <c r="N164" s="444" t="s">
        <v>621</v>
      </c>
      <c r="O164" s="444"/>
      <c r="P164" s="444"/>
      <c r="Q164" s="444"/>
      <c r="R164" s="444"/>
      <c r="S164" s="445" t="s">
        <v>26</v>
      </c>
      <c r="T164" s="444" t="s">
        <v>1262</v>
      </c>
      <c r="U164" s="475" t="s">
        <v>1122</v>
      </c>
      <c r="V164" s="446" t="s">
        <v>1123</v>
      </c>
      <c r="W164" s="446" t="s">
        <v>74</v>
      </c>
      <c r="X164" s="447">
        <v>43656</v>
      </c>
      <c r="Y164" s="447" t="s">
        <v>71</v>
      </c>
      <c r="Z164" s="447"/>
      <c r="AA164" s="447">
        <f t="shared" ref="AA164:AA175" si="54">+IF(X164="","",WORKDAY(X164,5))</f>
        <v>43663</v>
      </c>
      <c r="AB164" s="447">
        <f t="shared" ref="AB164:AB175" si="55">+IF(X164="","",WORKDAY(X164,10))</f>
        <v>43670</v>
      </c>
      <c r="AC164" s="447">
        <v>43667</v>
      </c>
      <c r="AD164" s="449">
        <v>78790.42</v>
      </c>
      <c r="AE164" s="450"/>
      <c r="AF164" s="451">
        <f t="shared" si="53"/>
        <v>78790.42</v>
      </c>
      <c r="AG164" s="449">
        <f>AF164</f>
        <v>78790.42</v>
      </c>
      <c r="AH164" s="452"/>
      <c r="AI164" s="450"/>
      <c r="AJ164" s="453">
        <f t="shared" ref="AJ164:AJ175" si="56">+AF164-SUM(AG164:AI164)</f>
        <v>0</v>
      </c>
      <c r="AK164" s="454">
        <f>AF164</f>
        <v>78790.42</v>
      </c>
      <c r="AL164" s="565">
        <v>78790.42</v>
      </c>
      <c r="AM164" s="449">
        <v>0</v>
      </c>
      <c r="AN164" s="450"/>
      <c r="AO164" s="451">
        <f t="shared" si="45"/>
        <v>0</v>
      </c>
      <c r="AP164" s="452">
        <v>0</v>
      </c>
      <c r="AQ164" s="453">
        <v>0</v>
      </c>
      <c r="AR164" s="462"/>
      <c r="AS164" s="456">
        <f t="shared" si="46"/>
        <v>0</v>
      </c>
      <c r="AT164" s="457"/>
      <c r="AV164" s="467"/>
      <c r="BB164" s="463">
        <f>(AM164+AN164)-AO164</f>
        <v>0</v>
      </c>
    </row>
    <row r="165" spans="1:54" s="439" customFormat="1" ht="30" x14ac:dyDescent="0.25">
      <c r="A165" s="442" t="s">
        <v>1096</v>
      </c>
      <c r="B165" s="442" t="s">
        <v>1298</v>
      </c>
      <c r="C165" s="443">
        <v>80</v>
      </c>
      <c r="D165" s="444" t="s">
        <v>1163</v>
      </c>
      <c r="E165" s="444"/>
      <c r="F165" s="444"/>
      <c r="G165" s="444"/>
      <c r="H165" s="444"/>
      <c r="I165" s="444"/>
      <c r="J165" s="444" t="s">
        <v>1164</v>
      </c>
      <c r="K165" s="444"/>
      <c r="L165" s="444"/>
      <c r="M165" s="476">
        <v>43665</v>
      </c>
      <c r="N165" s="444" t="s">
        <v>621</v>
      </c>
      <c r="O165" s="444"/>
      <c r="P165" s="444"/>
      <c r="Q165" s="444"/>
      <c r="R165" s="444"/>
      <c r="S165" s="445" t="s">
        <v>26</v>
      </c>
      <c r="T165" s="444" t="s">
        <v>85</v>
      </c>
      <c r="U165" s="475" t="s">
        <v>1124</v>
      </c>
      <c r="V165" s="446" t="s">
        <v>1125</v>
      </c>
      <c r="W165" s="446" t="s">
        <v>74</v>
      </c>
      <c r="X165" s="447">
        <v>43665</v>
      </c>
      <c r="Y165" s="447" t="s">
        <v>266</v>
      </c>
      <c r="Z165" s="447"/>
      <c r="AA165" s="447">
        <f t="shared" si="54"/>
        <v>43672</v>
      </c>
      <c r="AB165" s="447">
        <f t="shared" si="55"/>
        <v>43679</v>
      </c>
      <c r="AC165" s="447">
        <v>43667</v>
      </c>
      <c r="AD165" s="492">
        <v>1015981.6166335194</v>
      </c>
      <c r="AE165" s="450">
        <f>620462.36-AD165</f>
        <v>-395519.25663351943</v>
      </c>
      <c r="AF165" s="451">
        <f t="shared" si="53"/>
        <v>620462.36</v>
      </c>
      <c r="AG165" s="449"/>
      <c r="AH165" s="452"/>
      <c r="AI165" s="450">
        <f t="shared" ref="AI165:AI178" si="57">+AF165</f>
        <v>620462.36</v>
      </c>
      <c r="AJ165" s="453">
        <f t="shared" si="56"/>
        <v>0</v>
      </c>
      <c r="AK165" s="454">
        <v>620462.36</v>
      </c>
      <c r="AL165" s="565">
        <v>620462.36</v>
      </c>
      <c r="AM165" s="449">
        <v>0</v>
      </c>
      <c r="AN165" s="450">
        <v>0</v>
      </c>
      <c r="AO165" s="451">
        <f t="shared" si="45"/>
        <v>0</v>
      </c>
      <c r="AP165" s="452">
        <v>0</v>
      </c>
      <c r="AQ165" s="453">
        <v>0</v>
      </c>
      <c r="AR165" s="455"/>
      <c r="AS165" s="456">
        <f t="shared" si="46"/>
        <v>0</v>
      </c>
      <c r="AT165" s="457"/>
      <c r="AV165" s="467"/>
    </row>
    <row r="166" spans="1:54" s="439" customFormat="1" ht="78.75" customHeight="1" x14ac:dyDescent="0.25">
      <c r="A166" s="442" t="s">
        <v>1097</v>
      </c>
      <c r="B166" s="442" t="s">
        <v>1354</v>
      </c>
      <c r="C166" s="443"/>
      <c r="D166" s="444"/>
      <c r="E166" s="444"/>
      <c r="F166" s="444"/>
      <c r="G166" s="444"/>
      <c r="H166" s="444"/>
      <c r="I166" s="444"/>
      <c r="J166" s="444" t="s">
        <v>1165</v>
      </c>
      <c r="K166" s="444"/>
      <c r="L166" s="444"/>
      <c r="M166" s="476">
        <v>43648</v>
      </c>
      <c r="N166" s="444" t="s">
        <v>621</v>
      </c>
      <c r="O166" s="444"/>
      <c r="P166" s="444"/>
      <c r="Q166" s="444"/>
      <c r="R166" s="444"/>
      <c r="S166" s="445" t="s">
        <v>26</v>
      </c>
      <c r="T166" s="444" t="s">
        <v>85</v>
      </c>
      <c r="U166" s="475" t="s">
        <v>1126</v>
      </c>
      <c r="V166" s="446" t="s">
        <v>1127</v>
      </c>
      <c r="W166" s="446" t="s">
        <v>74</v>
      </c>
      <c r="X166" s="447">
        <v>43635</v>
      </c>
      <c r="Y166" s="447" t="s">
        <v>71</v>
      </c>
      <c r="Z166" s="447"/>
      <c r="AA166" s="447">
        <f t="shared" si="54"/>
        <v>43642</v>
      </c>
      <c r="AB166" s="447">
        <f t="shared" si="55"/>
        <v>43649</v>
      </c>
      <c r="AC166" s="447">
        <v>43648</v>
      </c>
      <c r="AD166" s="449">
        <v>149158.23000000001</v>
      </c>
      <c r="AE166" s="450"/>
      <c r="AF166" s="451">
        <f t="shared" si="53"/>
        <v>149158.23000000001</v>
      </c>
      <c r="AG166" s="449"/>
      <c r="AH166" s="452"/>
      <c r="AI166" s="450">
        <f t="shared" si="57"/>
        <v>149158.23000000001</v>
      </c>
      <c r="AJ166" s="453">
        <f t="shared" si="56"/>
        <v>0</v>
      </c>
      <c r="AK166" s="454">
        <f>AI166</f>
        <v>149158.23000000001</v>
      </c>
      <c r="AL166" s="565">
        <v>149158.23000000001</v>
      </c>
      <c r="AM166" s="449">
        <v>0</v>
      </c>
      <c r="AN166" s="450"/>
      <c r="AO166" s="451">
        <f t="shared" si="45"/>
        <v>0</v>
      </c>
      <c r="AP166" s="452">
        <v>0</v>
      </c>
      <c r="AQ166" s="453">
        <v>0</v>
      </c>
      <c r="AR166" s="455"/>
      <c r="AS166" s="456">
        <f t="shared" si="46"/>
        <v>0</v>
      </c>
      <c r="AT166" s="457"/>
      <c r="AV166" s="467"/>
    </row>
    <row r="167" spans="1:54" s="439" customFormat="1" ht="78.75" customHeight="1" x14ac:dyDescent="0.25">
      <c r="A167" s="442" t="s">
        <v>1098</v>
      </c>
      <c r="B167" s="442"/>
      <c r="C167" s="443">
        <v>62</v>
      </c>
      <c r="D167" s="444" t="s">
        <v>1166</v>
      </c>
      <c r="E167" s="444"/>
      <c r="F167" s="444"/>
      <c r="G167" s="444"/>
      <c r="H167" s="444"/>
      <c r="I167" s="444"/>
      <c r="J167" s="444" t="s">
        <v>1167</v>
      </c>
      <c r="K167" s="444"/>
      <c r="L167" s="444"/>
      <c r="M167" s="476">
        <v>43648</v>
      </c>
      <c r="N167" s="444" t="s">
        <v>621</v>
      </c>
      <c r="O167" s="444"/>
      <c r="P167" s="444"/>
      <c r="Q167" s="444"/>
      <c r="R167" s="444"/>
      <c r="S167" s="445" t="s">
        <v>68</v>
      </c>
      <c r="T167" s="444" t="s">
        <v>85</v>
      </c>
      <c r="U167" s="475" t="s">
        <v>1128</v>
      </c>
      <c r="V167" s="446" t="s">
        <v>1129</v>
      </c>
      <c r="W167" s="446" t="s">
        <v>74</v>
      </c>
      <c r="X167" s="447">
        <v>43644</v>
      </c>
      <c r="Y167" s="447" t="s">
        <v>266</v>
      </c>
      <c r="Z167" s="447"/>
      <c r="AA167" s="447">
        <f t="shared" si="54"/>
        <v>43651</v>
      </c>
      <c r="AB167" s="447">
        <f t="shared" si="55"/>
        <v>43658</v>
      </c>
      <c r="AC167" s="447">
        <v>43648</v>
      </c>
      <c r="AD167" s="449">
        <v>0</v>
      </c>
      <c r="AE167" s="450"/>
      <c r="AF167" s="451">
        <f t="shared" si="53"/>
        <v>0</v>
      </c>
      <c r="AG167" s="449"/>
      <c r="AH167" s="452"/>
      <c r="AI167" s="450">
        <f t="shared" si="57"/>
        <v>0</v>
      </c>
      <c r="AJ167" s="453">
        <f t="shared" si="56"/>
        <v>0</v>
      </c>
      <c r="AK167" s="454"/>
      <c r="AL167" s="565"/>
      <c r="AM167" s="449"/>
      <c r="AN167" s="450"/>
      <c r="AO167" s="451">
        <f t="shared" si="45"/>
        <v>0</v>
      </c>
      <c r="AP167" s="452">
        <v>0</v>
      </c>
      <c r="AQ167" s="453">
        <v>0</v>
      </c>
      <c r="AR167" s="455"/>
      <c r="AS167" s="456">
        <f t="shared" si="46"/>
        <v>0</v>
      </c>
      <c r="AT167" s="457"/>
      <c r="AV167" s="467"/>
    </row>
    <row r="168" spans="1:54" s="439" customFormat="1" ht="78.75" customHeight="1" x14ac:dyDescent="0.25">
      <c r="A168" s="442" t="s">
        <v>1099</v>
      </c>
      <c r="B168" s="442"/>
      <c r="C168" s="443"/>
      <c r="D168" s="444"/>
      <c r="E168" s="444"/>
      <c r="F168" s="444"/>
      <c r="G168" s="444"/>
      <c r="H168" s="444"/>
      <c r="I168" s="444"/>
      <c r="J168" s="444" t="s">
        <v>1633</v>
      </c>
      <c r="K168" s="444"/>
      <c r="L168" s="444"/>
      <c r="M168" s="476">
        <v>43858</v>
      </c>
      <c r="N168" s="444" t="s">
        <v>621</v>
      </c>
      <c r="O168" s="444" t="s">
        <v>622</v>
      </c>
      <c r="P168" s="444" t="s">
        <v>1883</v>
      </c>
      <c r="Q168" s="444"/>
      <c r="R168" s="444"/>
      <c r="S168" s="445" t="s">
        <v>26</v>
      </c>
      <c r="T168" s="444" t="s">
        <v>1262</v>
      </c>
      <c r="U168" s="475" t="s">
        <v>1634</v>
      </c>
      <c r="V168" s="446" t="s">
        <v>1130</v>
      </c>
      <c r="W168" s="446" t="s">
        <v>74</v>
      </c>
      <c r="X168" s="447">
        <v>43638</v>
      </c>
      <c r="Y168" s="447" t="s">
        <v>71</v>
      </c>
      <c r="Z168" s="447"/>
      <c r="AA168" s="447">
        <f t="shared" si="54"/>
        <v>43644</v>
      </c>
      <c r="AB168" s="447">
        <f t="shared" si="55"/>
        <v>43651</v>
      </c>
      <c r="AC168" s="447">
        <v>43648</v>
      </c>
      <c r="AD168" s="449">
        <v>77624.55</v>
      </c>
      <c r="AE168" s="450"/>
      <c r="AF168" s="451">
        <f t="shared" si="53"/>
        <v>77624.55</v>
      </c>
      <c r="AG168" s="449">
        <f>69862.1</f>
        <v>69862.100000000006</v>
      </c>
      <c r="AH168" s="452"/>
      <c r="AI168" s="450"/>
      <c r="AJ168" s="453">
        <f t="shared" si="56"/>
        <v>7762.4499999999971</v>
      </c>
      <c r="AK168" s="454">
        <v>69862.100000000006</v>
      </c>
      <c r="AL168" s="565">
        <v>69862.100000000006</v>
      </c>
      <c r="AM168" s="485"/>
      <c r="AN168" s="450"/>
      <c r="AO168" s="451">
        <f t="shared" si="45"/>
        <v>0</v>
      </c>
      <c r="AP168" s="452">
        <v>0</v>
      </c>
      <c r="AQ168" s="453">
        <v>0</v>
      </c>
      <c r="AR168" s="455"/>
      <c r="AS168" s="456">
        <f t="shared" si="46"/>
        <v>0</v>
      </c>
      <c r="AT168" s="457"/>
      <c r="AV168" s="467"/>
    </row>
    <row r="169" spans="1:54" s="439" customFormat="1" ht="78.75" customHeight="1" x14ac:dyDescent="0.25">
      <c r="A169" s="442" t="s">
        <v>1703</v>
      </c>
      <c r="B169" s="442" t="s">
        <v>1893</v>
      </c>
      <c r="C169" s="443"/>
      <c r="D169" s="444"/>
      <c r="E169" s="444"/>
      <c r="F169" s="444"/>
      <c r="G169" s="444"/>
      <c r="H169" s="444"/>
      <c r="I169" s="444"/>
      <c r="J169" s="444" t="s">
        <v>1834</v>
      </c>
      <c r="K169" s="444"/>
      <c r="L169" s="444"/>
      <c r="M169" s="476">
        <v>43914</v>
      </c>
      <c r="N169" s="444" t="s">
        <v>621</v>
      </c>
      <c r="O169" s="444"/>
      <c r="P169" s="444"/>
      <c r="Q169" s="444"/>
      <c r="R169" s="444"/>
      <c r="S169" s="445" t="s">
        <v>26</v>
      </c>
      <c r="T169" s="444" t="s">
        <v>1262</v>
      </c>
      <c r="U169" s="475" t="s">
        <v>1809</v>
      </c>
      <c r="V169" s="446" t="s">
        <v>1810</v>
      </c>
      <c r="W169" s="446" t="s">
        <v>74</v>
      </c>
      <c r="X169" s="447"/>
      <c r="Y169" s="447"/>
      <c r="Z169" s="447"/>
      <c r="AA169" s="447"/>
      <c r="AB169" s="447"/>
      <c r="AC169" s="447">
        <v>43914</v>
      </c>
      <c r="AD169" s="449">
        <v>539911.06999999995</v>
      </c>
      <c r="AE169" s="450"/>
      <c r="AF169" s="451">
        <f t="shared" si="53"/>
        <v>539911.06999999995</v>
      </c>
      <c r="AG169" s="449">
        <v>449925.83</v>
      </c>
      <c r="AH169" s="452"/>
      <c r="AI169" s="450"/>
      <c r="AJ169" s="453">
        <f t="shared" si="56"/>
        <v>89985.239999999932</v>
      </c>
      <c r="AK169" s="454">
        <v>449925.83</v>
      </c>
      <c r="AL169" s="565">
        <v>539911.06999999995</v>
      </c>
      <c r="AM169" s="485"/>
      <c r="AN169" s="450"/>
      <c r="AO169" s="451">
        <f t="shared" si="45"/>
        <v>0</v>
      </c>
      <c r="AP169" s="452">
        <v>0</v>
      </c>
      <c r="AQ169" s="453">
        <v>0</v>
      </c>
      <c r="AR169" s="455"/>
      <c r="AS169" s="456">
        <f t="shared" si="46"/>
        <v>-89985.239999999932</v>
      </c>
      <c r="AT169" s="457"/>
      <c r="AV169" s="467"/>
    </row>
    <row r="170" spans="1:54" s="439" customFormat="1" ht="78.75" customHeight="1" x14ac:dyDescent="0.25">
      <c r="A170" s="442" t="s">
        <v>1100</v>
      </c>
      <c r="B170" s="442"/>
      <c r="C170" s="443"/>
      <c r="D170" s="444"/>
      <c r="E170" s="444"/>
      <c r="F170" s="444"/>
      <c r="G170" s="444"/>
      <c r="H170" s="444"/>
      <c r="I170" s="444"/>
      <c r="J170" s="444" t="s">
        <v>1168</v>
      </c>
      <c r="K170" s="444"/>
      <c r="L170" s="444"/>
      <c r="M170" s="476">
        <v>43662</v>
      </c>
      <c r="N170" s="444" t="s">
        <v>621</v>
      </c>
      <c r="O170" s="444"/>
      <c r="P170" s="444"/>
      <c r="Q170" s="444"/>
      <c r="R170" s="444"/>
      <c r="S170" s="445" t="s">
        <v>143</v>
      </c>
      <c r="T170" s="444" t="s">
        <v>85</v>
      </c>
      <c r="U170" s="475" t="s">
        <v>1131</v>
      </c>
      <c r="V170" s="446" t="s">
        <v>1132</v>
      </c>
      <c r="W170" s="446" t="s">
        <v>74</v>
      </c>
      <c r="X170" s="447">
        <v>43626</v>
      </c>
      <c r="Y170" s="447" t="s">
        <v>71</v>
      </c>
      <c r="Z170" s="447"/>
      <c r="AA170" s="447">
        <f t="shared" si="54"/>
        <v>43633</v>
      </c>
      <c r="AB170" s="447">
        <f t="shared" si="55"/>
        <v>43640</v>
      </c>
      <c r="AC170" s="447">
        <v>43662</v>
      </c>
      <c r="AD170" s="449"/>
      <c r="AE170" s="450"/>
      <c r="AF170" s="451">
        <f t="shared" si="53"/>
        <v>0</v>
      </c>
      <c r="AG170" s="449"/>
      <c r="AH170" s="452"/>
      <c r="AI170" s="450">
        <f t="shared" si="57"/>
        <v>0</v>
      </c>
      <c r="AJ170" s="453">
        <f t="shared" si="56"/>
        <v>0</v>
      </c>
      <c r="AK170" s="454"/>
      <c r="AL170" s="565"/>
      <c r="AM170" s="449"/>
      <c r="AN170" s="450"/>
      <c r="AO170" s="451">
        <f t="shared" si="45"/>
        <v>0</v>
      </c>
      <c r="AP170" s="452">
        <v>0</v>
      </c>
      <c r="AQ170" s="453">
        <v>0</v>
      </c>
      <c r="AR170" s="455"/>
      <c r="AS170" s="456">
        <f t="shared" si="46"/>
        <v>0</v>
      </c>
      <c r="AT170" s="457"/>
      <c r="AV170" s="467"/>
    </row>
    <row r="171" spans="1:54" s="439" customFormat="1" ht="45" customHeight="1" x14ac:dyDescent="0.25">
      <c r="A171" s="442" t="s">
        <v>1101</v>
      </c>
      <c r="B171" s="442" t="s">
        <v>1354</v>
      </c>
      <c r="C171" s="443">
        <v>67</v>
      </c>
      <c r="D171" s="444"/>
      <c r="E171" s="444"/>
      <c r="F171" s="444"/>
      <c r="G171" s="444"/>
      <c r="H171" s="444"/>
      <c r="I171" s="444"/>
      <c r="J171" s="444" t="s">
        <v>1277</v>
      </c>
      <c r="K171" s="444"/>
      <c r="L171" s="444"/>
      <c r="M171" s="476">
        <v>43716</v>
      </c>
      <c r="N171" s="444" t="s">
        <v>621</v>
      </c>
      <c r="O171" s="444"/>
      <c r="P171" s="444"/>
      <c r="Q171" s="444"/>
      <c r="R171" s="444"/>
      <c r="S171" s="445" t="s">
        <v>26</v>
      </c>
      <c r="T171" s="444" t="s">
        <v>85</v>
      </c>
      <c r="U171" s="475" t="s">
        <v>1133</v>
      </c>
      <c r="V171" s="446" t="s">
        <v>1133</v>
      </c>
      <c r="W171" s="446" t="s">
        <v>74</v>
      </c>
      <c r="X171" s="447"/>
      <c r="Y171" s="447" t="s">
        <v>71</v>
      </c>
      <c r="Z171" s="447"/>
      <c r="AA171" s="447" t="str">
        <f t="shared" si="54"/>
        <v/>
      </c>
      <c r="AB171" s="447" t="str">
        <f t="shared" si="55"/>
        <v/>
      </c>
      <c r="AC171" s="447">
        <f>M171</f>
        <v>43716</v>
      </c>
      <c r="AD171" s="449">
        <v>11300.08</v>
      </c>
      <c r="AE171" s="450"/>
      <c r="AF171" s="451">
        <f t="shared" si="53"/>
        <v>11300.08</v>
      </c>
      <c r="AG171" s="449"/>
      <c r="AH171" s="452"/>
      <c r="AI171" s="450">
        <f t="shared" si="57"/>
        <v>11300.08</v>
      </c>
      <c r="AJ171" s="453">
        <f t="shared" si="56"/>
        <v>0</v>
      </c>
      <c r="AK171" s="454">
        <f>AI171</f>
        <v>11300.08</v>
      </c>
      <c r="AL171" s="565">
        <v>11300.08</v>
      </c>
      <c r="AM171" s="449"/>
      <c r="AN171" s="450"/>
      <c r="AO171" s="451">
        <f t="shared" si="45"/>
        <v>0</v>
      </c>
      <c r="AP171" s="452">
        <v>0</v>
      </c>
      <c r="AQ171" s="453">
        <v>0</v>
      </c>
      <c r="AR171" s="455"/>
      <c r="AS171" s="456">
        <f t="shared" si="46"/>
        <v>0</v>
      </c>
      <c r="AT171" s="457"/>
      <c r="AV171" s="467"/>
    </row>
    <row r="172" spans="1:54" s="439" customFormat="1" ht="45" customHeight="1" x14ac:dyDescent="0.25">
      <c r="A172" s="442" t="s">
        <v>1102</v>
      </c>
      <c r="B172" s="442" t="s">
        <v>1579</v>
      </c>
      <c r="C172" s="443">
        <v>69</v>
      </c>
      <c r="D172" s="444" t="s">
        <v>1580</v>
      </c>
      <c r="E172" s="444"/>
      <c r="F172" s="444"/>
      <c r="G172" s="444"/>
      <c r="H172" s="444"/>
      <c r="I172" s="444"/>
      <c r="J172" s="444" t="s">
        <v>1278</v>
      </c>
      <c r="K172" s="444"/>
      <c r="L172" s="444"/>
      <c r="M172" s="476">
        <v>43716</v>
      </c>
      <c r="N172" s="444" t="s">
        <v>621</v>
      </c>
      <c r="O172" s="444"/>
      <c r="P172" s="444"/>
      <c r="Q172" s="444"/>
      <c r="R172" s="444"/>
      <c r="S172" s="445" t="s">
        <v>26</v>
      </c>
      <c r="T172" s="444" t="s">
        <v>85</v>
      </c>
      <c r="U172" s="475" t="s">
        <v>1134</v>
      </c>
      <c r="V172" s="446" t="s">
        <v>1484</v>
      </c>
      <c r="W172" s="446" t="s">
        <v>74</v>
      </c>
      <c r="X172" s="447"/>
      <c r="Y172" s="447" t="s">
        <v>71</v>
      </c>
      <c r="Z172" s="447"/>
      <c r="AA172" s="447" t="str">
        <f t="shared" si="54"/>
        <v/>
      </c>
      <c r="AB172" s="447" t="str">
        <f t="shared" si="55"/>
        <v/>
      </c>
      <c r="AC172" s="447">
        <f>M172</f>
        <v>43716</v>
      </c>
      <c r="AD172" s="449">
        <v>5510.8</v>
      </c>
      <c r="AE172" s="450"/>
      <c r="AF172" s="451">
        <f t="shared" si="53"/>
        <v>5510.8</v>
      </c>
      <c r="AG172" s="449"/>
      <c r="AH172" s="452"/>
      <c r="AI172" s="450">
        <f t="shared" si="57"/>
        <v>5510.8</v>
      </c>
      <c r="AJ172" s="453">
        <f t="shared" si="56"/>
        <v>0</v>
      </c>
      <c r="AK172" s="454">
        <f>AI172</f>
        <v>5510.8</v>
      </c>
      <c r="AL172" s="565">
        <v>5510.8</v>
      </c>
      <c r="AM172" s="449"/>
      <c r="AN172" s="450"/>
      <c r="AO172" s="451">
        <f t="shared" si="45"/>
        <v>0</v>
      </c>
      <c r="AP172" s="452">
        <v>0</v>
      </c>
      <c r="AQ172" s="453">
        <v>0</v>
      </c>
      <c r="AR172" s="455"/>
      <c r="AS172" s="456">
        <f t="shared" si="46"/>
        <v>0</v>
      </c>
      <c r="AT172" s="457"/>
      <c r="AV172" s="467"/>
    </row>
    <row r="173" spans="1:54" s="439" customFormat="1" ht="45" customHeight="1" x14ac:dyDescent="0.25">
      <c r="A173" s="442" t="s">
        <v>1103</v>
      </c>
      <c r="B173" s="442"/>
      <c r="C173" s="443"/>
      <c r="D173" s="444"/>
      <c r="E173" s="444"/>
      <c r="F173" s="444"/>
      <c r="G173" s="444"/>
      <c r="H173" s="444"/>
      <c r="I173" s="444"/>
      <c r="J173" s="444" t="s">
        <v>1304</v>
      </c>
      <c r="K173" s="444"/>
      <c r="L173" s="444"/>
      <c r="M173" s="476">
        <v>43697</v>
      </c>
      <c r="N173" s="444"/>
      <c r="O173" s="444"/>
      <c r="P173" s="444"/>
      <c r="Q173" s="444"/>
      <c r="R173" s="444"/>
      <c r="S173" s="445" t="s">
        <v>4</v>
      </c>
      <c r="T173" s="444" t="s">
        <v>85</v>
      </c>
      <c r="U173" s="475" t="s">
        <v>1135</v>
      </c>
      <c r="V173" s="446" t="s">
        <v>1136</v>
      </c>
      <c r="W173" s="446" t="s">
        <v>74</v>
      </c>
      <c r="X173" s="447"/>
      <c r="Y173" s="447" t="s">
        <v>266</v>
      </c>
      <c r="Z173" s="447"/>
      <c r="AA173" s="447" t="str">
        <f t="shared" si="54"/>
        <v/>
      </c>
      <c r="AB173" s="447" t="str">
        <f t="shared" si="55"/>
        <v/>
      </c>
      <c r="AC173" s="447">
        <f>M173</f>
        <v>43697</v>
      </c>
      <c r="AD173" s="449">
        <v>0</v>
      </c>
      <c r="AE173" s="450"/>
      <c r="AF173" s="451">
        <f t="shared" si="53"/>
        <v>0</v>
      </c>
      <c r="AG173" s="449"/>
      <c r="AH173" s="452"/>
      <c r="AI173" s="450">
        <f>+AF173</f>
        <v>0</v>
      </c>
      <c r="AJ173" s="453">
        <f t="shared" si="56"/>
        <v>0</v>
      </c>
      <c r="AK173" s="454" t="s">
        <v>112</v>
      </c>
      <c r="AL173" s="565" t="s">
        <v>112</v>
      </c>
      <c r="AM173" s="449"/>
      <c r="AN173" s="450"/>
      <c r="AO173" s="451">
        <f t="shared" si="45"/>
        <v>0</v>
      </c>
      <c r="AP173" s="452">
        <v>0</v>
      </c>
      <c r="AQ173" s="453">
        <v>0</v>
      </c>
      <c r="AR173" s="455"/>
      <c r="AS173" s="456" t="e">
        <f t="shared" si="46"/>
        <v>#VALUE!</v>
      </c>
      <c r="AT173" s="457"/>
      <c r="AV173" s="467"/>
    </row>
    <row r="174" spans="1:54" s="439" customFormat="1" ht="47.25" customHeight="1" x14ac:dyDescent="0.25">
      <c r="A174" s="442" t="s">
        <v>1104</v>
      </c>
      <c r="B174" s="442"/>
      <c r="C174" s="443"/>
      <c r="D174" s="444" t="s">
        <v>1220</v>
      </c>
      <c r="E174" s="444"/>
      <c r="F174" s="444"/>
      <c r="G174" s="444"/>
      <c r="H174" s="444"/>
      <c r="I174" s="444"/>
      <c r="J174" s="444" t="s">
        <v>1221</v>
      </c>
      <c r="K174" s="444"/>
      <c r="L174" s="444"/>
      <c r="M174" s="476">
        <v>43676</v>
      </c>
      <c r="N174" s="444" t="s">
        <v>621</v>
      </c>
      <c r="O174" s="444" t="s">
        <v>621</v>
      </c>
      <c r="P174" s="444" t="s">
        <v>1886</v>
      </c>
      <c r="Q174" s="444"/>
      <c r="R174" s="444"/>
      <c r="S174" s="445" t="s">
        <v>143</v>
      </c>
      <c r="T174" s="444" t="s">
        <v>85</v>
      </c>
      <c r="U174" s="475" t="s">
        <v>1137</v>
      </c>
      <c r="V174" s="446" t="s">
        <v>1138</v>
      </c>
      <c r="W174" s="446" t="s">
        <v>74</v>
      </c>
      <c r="X174" s="447"/>
      <c r="Y174" s="447" t="s">
        <v>266</v>
      </c>
      <c r="Z174" s="447"/>
      <c r="AA174" s="447" t="str">
        <f t="shared" si="54"/>
        <v/>
      </c>
      <c r="AB174" s="447" t="str">
        <f t="shared" si="55"/>
        <v/>
      </c>
      <c r="AC174" s="447">
        <f>M174</f>
        <v>43676</v>
      </c>
      <c r="AD174" s="449">
        <v>805793.24</v>
      </c>
      <c r="AE174" s="450"/>
      <c r="AF174" s="451">
        <f t="shared" si="53"/>
        <v>805793.24</v>
      </c>
      <c r="AG174" s="449"/>
      <c r="AH174" s="452"/>
      <c r="AI174" s="450">
        <f t="shared" si="57"/>
        <v>805793.24</v>
      </c>
      <c r="AJ174" s="453">
        <f t="shared" si="56"/>
        <v>0</v>
      </c>
      <c r="AK174" s="454">
        <v>0</v>
      </c>
      <c r="AL174" s="565">
        <v>0</v>
      </c>
      <c r="AM174" s="449">
        <v>450000</v>
      </c>
      <c r="AN174" s="450"/>
      <c r="AO174" s="451">
        <f t="shared" si="45"/>
        <v>450000</v>
      </c>
      <c r="AP174" s="452">
        <f>AO174</f>
        <v>450000</v>
      </c>
      <c r="AQ174" s="453">
        <v>0</v>
      </c>
      <c r="AR174" s="455"/>
      <c r="AS174" s="456">
        <f t="shared" si="46"/>
        <v>0</v>
      </c>
      <c r="AT174" s="457"/>
      <c r="AV174" s="467"/>
    </row>
    <row r="175" spans="1:54" s="439" customFormat="1" ht="75" x14ac:dyDescent="0.25">
      <c r="A175" s="442" t="s">
        <v>1105</v>
      </c>
      <c r="B175" s="442" t="s">
        <v>1298</v>
      </c>
      <c r="C175" s="443">
        <v>79</v>
      </c>
      <c r="D175" s="444" t="s">
        <v>1614</v>
      </c>
      <c r="E175" s="444"/>
      <c r="F175" s="444"/>
      <c r="G175" s="444"/>
      <c r="H175" s="444"/>
      <c r="I175" s="444"/>
      <c r="J175" s="444" t="s">
        <v>1671</v>
      </c>
      <c r="K175" s="444"/>
      <c r="L175" s="444"/>
      <c r="M175" s="476">
        <v>43712</v>
      </c>
      <c r="N175" s="444" t="s">
        <v>621</v>
      </c>
      <c r="O175" s="444"/>
      <c r="P175" s="444"/>
      <c r="Q175" s="444"/>
      <c r="R175" s="444"/>
      <c r="S175" s="445" t="s">
        <v>26</v>
      </c>
      <c r="T175" s="444" t="s">
        <v>85</v>
      </c>
      <c r="U175" s="475" t="s">
        <v>1139</v>
      </c>
      <c r="V175" s="446" t="s">
        <v>1140</v>
      </c>
      <c r="W175" s="446" t="s">
        <v>74</v>
      </c>
      <c r="X175" s="447"/>
      <c r="Y175" s="447" t="s">
        <v>266</v>
      </c>
      <c r="Z175" s="447"/>
      <c r="AA175" s="447" t="str">
        <f t="shared" si="54"/>
        <v/>
      </c>
      <c r="AB175" s="447" t="str">
        <f t="shared" si="55"/>
        <v/>
      </c>
      <c r="AC175" s="447">
        <f>M175</f>
        <v>43712</v>
      </c>
      <c r="AD175" s="449">
        <v>715235.55</v>
      </c>
      <c r="AE175" s="450"/>
      <c r="AF175" s="451">
        <f>AD175</f>
        <v>715235.55</v>
      </c>
      <c r="AG175" s="449"/>
      <c r="AH175" s="452"/>
      <c r="AI175" s="450">
        <f t="shared" si="57"/>
        <v>715235.55</v>
      </c>
      <c r="AJ175" s="453">
        <f t="shared" si="56"/>
        <v>0</v>
      </c>
      <c r="AK175" s="454">
        <f>AI175</f>
        <v>715235.55</v>
      </c>
      <c r="AL175" s="565">
        <v>715235.55</v>
      </c>
      <c r="AM175" s="449"/>
      <c r="AN175" s="450"/>
      <c r="AO175" s="451">
        <f t="shared" si="45"/>
        <v>0</v>
      </c>
      <c r="AP175" s="452">
        <v>0</v>
      </c>
      <c r="AQ175" s="453">
        <v>0</v>
      </c>
      <c r="AR175" s="455"/>
      <c r="AS175" s="456">
        <f t="shared" si="46"/>
        <v>0</v>
      </c>
      <c r="AT175" s="457"/>
      <c r="AV175" s="467"/>
    </row>
    <row r="176" spans="1:54" s="439" customFormat="1" ht="30" x14ac:dyDescent="0.25">
      <c r="A176" s="442" t="s">
        <v>1438</v>
      </c>
      <c r="B176" s="442" t="s">
        <v>1544</v>
      </c>
      <c r="C176" s="443"/>
      <c r="D176" s="444"/>
      <c r="E176" s="444"/>
      <c r="F176" s="444"/>
      <c r="G176" s="444"/>
      <c r="H176" s="444"/>
      <c r="I176" s="444"/>
      <c r="J176" s="444" t="s">
        <v>1441</v>
      </c>
      <c r="K176" s="444"/>
      <c r="L176" s="444"/>
      <c r="M176" s="476">
        <v>43768</v>
      </c>
      <c r="N176" s="444" t="s">
        <v>621</v>
      </c>
      <c r="O176" s="444"/>
      <c r="P176" s="444"/>
      <c r="Q176" s="444"/>
      <c r="R176" s="444"/>
      <c r="S176" s="445" t="s">
        <v>26</v>
      </c>
      <c r="T176" s="444" t="s">
        <v>85</v>
      </c>
      <c r="U176" s="475" t="s">
        <v>1439</v>
      </c>
      <c r="V176" s="446" t="s">
        <v>1440</v>
      </c>
      <c r="W176" s="446" t="s">
        <v>74</v>
      </c>
      <c r="X176" s="447"/>
      <c r="Y176" s="447"/>
      <c r="Z176" s="447"/>
      <c r="AA176" s="447"/>
      <c r="AB176" s="447"/>
      <c r="AC176" s="447">
        <v>43768</v>
      </c>
      <c r="AD176" s="449">
        <v>64796.27</v>
      </c>
      <c r="AE176" s="450"/>
      <c r="AF176" s="451">
        <f t="shared" ref="AF176:AF189" si="58">+SUM(AD176:AE176)</f>
        <v>64796.27</v>
      </c>
      <c r="AG176" s="449"/>
      <c r="AH176" s="452"/>
      <c r="AI176" s="450">
        <f t="shared" si="57"/>
        <v>64796.27</v>
      </c>
      <c r="AJ176" s="453"/>
      <c r="AK176" s="454">
        <f>AI176</f>
        <v>64796.27</v>
      </c>
      <c r="AL176" s="565">
        <v>64796.27</v>
      </c>
      <c r="AM176" s="449">
        <v>0</v>
      </c>
      <c r="AN176" s="450"/>
      <c r="AO176" s="451">
        <f t="shared" si="45"/>
        <v>0</v>
      </c>
      <c r="AP176" s="452">
        <v>0</v>
      </c>
      <c r="AQ176" s="453">
        <v>0</v>
      </c>
      <c r="AR176" s="455"/>
      <c r="AS176" s="456">
        <f t="shared" si="46"/>
        <v>0</v>
      </c>
      <c r="AT176" s="457"/>
      <c r="AV176" s="467"/>
    </row>
    <row r="177" spans="1:54" s="439" customFormat="1" ht="45" customHeight="1" x14ac:dyDescent="0.25">
      <c r="A177" s="442" t="s">
        <v>1106</v>
      </c>
      <c r="B177" s="442" t="s">
        <v>1354</v>
      </c>
      <c r="C177" s="443">
        <v>68</v>
      </c>
      <c r="D177" s="444"/>
      <c r="E177" s="444"/>
      <c r="F177" s="444"/>
      <c r="G177" s="444"/>
      <c r="H177" s="444"/>
      <c r="I177" s="444"/>
      <c r="J177" s="444" t="s">
        <v>1283</v>
      </c>
      <c r="K177" s="444"/>
      <c r="L177" s="444"/>
      <c r="M177" s="476">
        <v>43716</v>
      </c>
      <c r="N177" s="444" t="s">
        <v>621</v>
      </c>
      <c r="O177" s="444"/>
      <c r="P177" s="444"/>
      <c r="Q177" s="444"/>
      <c r="R177" s="444"/>
      <c r="S177" s="445" t="s">
        <v>26</v>
      </c>
      <c r="T177" s="444" t="s">
        <v>85</v>
      </c>
      <c r="U177" s="475" t="s">
        <v>1141</v>
      </c>
      <c r="V177" s="446" t="s">
        <v>1142</v>
      </c>
      <c r="W177" s="446" t="s">
        <v>74</v>
      </c>
      <c r="X177" s="447"/>
      <c r="Y177" s="447" t="s">
        <v>71</v>
      </c>
      <c r="Z177" s="447"/>
      <c r="AA177" s="447" t="str">
        <f t="shared" ref="AA177:AA185" si="59">+IF(X177="","",WORKDAY(X177,5))</f>
        <v/>
      </c>
      <c r="AB177" s="447" t="str">
        <f t="shared" ref="AB177:AB185" si="60">+IF(X177="","",WORKDAY(X177,10))</f>
        <v/>
      </c>
      <c r="AC177" s="447">
        <f>M177</f>
        <v>43716</v>
      </c>
      <c r="AD177" s="449">
        <v>27396.57</v>
      </c>
      <c r="AE177" s="450">
        <f>-AD177+23804.93</f>
        <v>-3591.6399999999994</v>
      </c>
      <c r="AF177" s="451">
        <f t="shared" si="58"/>
        <v>23804.93</v>
      </c>
      <c r="AG177" s="449"/>
      <c r="AH177" s="452"/>
      <c r="AI177" s="450">
        <f t="shared" si="57"/>
        <v>23804.93</v>
      </c>
      <c r="AJ177" s="453">
        <f t="shared" ref="AJ177:AJ187" si="61">+AF177-SUM(AG177:AI177)</f>
        <v>0</v>
      </c>
      <c r="AK177" s="454">
        <v>16474.78</v>
      </c>
      <c r="AL177" s="565">
        <v>16474.78</v>
      </c>
      <c r="AM177" s="449"/>
      <c r="AN177" s="450"/>
      <c r="AO177" s="451">
        <f t="shared" si="45"/>
        <v>0</v>
      </c>
      <c r="AP177" s="452">
        <v>0</v>
      </c>
      <c r="AQ177" s="453">
        <v>0</v>
      </c>
      <c r="AR177" s="462"/>
      <c r="AS177" s="456">
        <f t="shared" si="46"/>
        <v>0</v>
      </c>
      <c r="AT177" s="457"/>
      <c r="AV177" s="467"/>
      <c r="BB177" s="463">
        <f>(AM177+AN177)-AO177</f>
        <v>0</v>
      </c>
    </row>
    <row r="178" spans="1:54" s="439" customFormat="1" ht="45" customHeight="1" x14ac:dyDescent="0.25">
      <c r="A178" s="442" t="s">
        <v>1107</v>
      </c>
      <c r="B178" s="442"/>
      <c r="C178" s="443"/>
      <c r="D178" s="444"/>
      <c r="E178" s="444"/>
      <c r="F178" s="444"/>
      <c r="G178" s="444"/>
      <c r="H178" s="444"/>
      <c r="I178" s="444"/>
      <c r="J178" s="444" t="s">
        <v>1294</v>
      </c>
      <c r="K178" s="444"/>
      <c r="L178" s="444"/>
      <c r="M178" s="476"/>
      <c r="N178" s="444"/>
      <c r="O178" s="444"/>
      <c r="P178" s="444"/>
      <c r="Q178" s="444"/>
      <c r="R178" s="444"/>
      <c r="S178" s="445"/>
      <c r="T178" s="444"/>
      <c r="U178" s="475" t="s">
        <v>1294</v>
      </c>
      <c r="V178" s="446"/>
      <c r="W178" s="446" t="s">
        <v>74</v>
      </c>
      <c r="X178" s="447"/>
      <c r="Y178" s="447" t="s">
        <v>71</v>
      </c>
      <c r="Z178" s="447"/>
      <c r="AA178" s="447" t="str">
        <f t="shared" si="59"/>
        <v/>
      </c>
      <c r="AB178" s="447" t="str">
        <f t="shared" si="60"/>
        <v/>
      </c>
      <c r="AC178" s="447"/>
      <c r="AD178" s="449"/>
      <c r="AE178" s="450"/>
      <c r="AF178" s="451">
        <f t="shared" si="58"/>
        <v>0</v>
      </c>
      <c r="AG178" s="449"/>
      <c r="AH178" s="452"/>
      <c r="AI178" s="450">
        <f t="shared" si="57"/>
        <v>0</v>
      </c>
      <c r="AJ178" s="453">
        <f t="shared" si="61"/>
        <v>0</v>
      </c>
      <c r="AK178" s="454"/>
      <c r="AL178" s="565"/>
      <c r="AM178" s="449"/>
      <c r="AN178" s="450"/>
      <c r="AO178" s="451">
        <f t="shared" si="45"/>
        <v>0</v>
      </c>
      <c r="AP178" s="452">
        <v>0</v>
      </c>
      <c r="AQ178" s="453">
        <v>0</v>
      </c>
      <c r="AR178" s="455"/>
      <c r="AS178" s="456">
        <f t="shared" si="46"/>
        <v>0</v>
      </c>
      <c r="AT178" s="457"/>
      <c r="AV178" s="467"/>
    </row>
    <row r="179" spans="1:54" s="439" customFormat="1" ht="30" x14ac:dyDescent="0.25">
      <c r="A179" s="442" t="s">
        <v>1108</v>
      </c>
      <c r="B179" s="442" t="s">
        <v>1544</v>
      </c>
      <c r="C179" s="443">
        <v>65</v>
      </c>
      <c r="D179" s="444"/>
      <c r="E179" s="444"/>
      <c r="F179" s="444"/>
      <c r="G179" s="444"/>
      <c r="H179" s="444"/>
      <c r="I179" s="444"/>
      <c r="J179" s="444"/>
      <c r="K179" s="444"/>
      <c r="L179" s="444"/>
      <c r="M179" s="476"/>
      <c r="N179" s="444"/>
      <c r="O179" s="444"/>
      <c r="P179" s="444"/>
      <c r="Q179" s="444"/>
      <c r="R179" s="444"/>
      <c r="S179" s="445" t="s">
        <v>26</v>
      </c>
      <c r="T179" s="444" t="s">
        <v>85</v>
      </c>
      <c r="U179" s="475" t="s">
        <v>1143</v>
      </c>
      <c r="V179" s="446" t="s">
        <v>1144</v>
      </c>
      <c r="W179" s="446" t="s">
        <v>74</v>
      </c>
      <c r="X179" s="447"/>
      <c r="Y179" s="447" t="s">
        <v>71</v>
      </c>
      <c r="Z179" s="447"/>
      <c r="AA179" s="447" t="str">
        <f t="shared" si="59"/>
        <v/>
      </c>
      <c r="AB179" s="447" t="str">
        <f t="shared" si="60"/>
        <v/>
      </c>
      <c r="AC179" s="447" t="s">
        <v>1393</v>
      </c>
      <c r="AD179" s="449">
        <v>19416.25</v>
      </c>
      <c r="AE179" s="450"/>
      <c r="AF179" s="451">
        <f t="shared" si="58"/>
        <v>19416.25</v>
      </c>
      <c r="AG179" s="449"/>
      <c r="AH179" s="452"/>
      <c r="AI179" s="450">
        <v>19416.25</v>
      </c>
      <c r="AJ179" s="453">
        <f t="shared" si="61"/>
        <v>0</v>
      </c>
      <c r="AK179" s="454">
        <v>19416.25</v>
      </c>
      <c r="AL179" s="565">
        <v>19416.25</v>
      </c>
      <c r="AM179" s="449"/>
      <c r="AN179" s="450"/>
      <c r="AO179" s="451">
        <f t="shared" si="45"/>
        <v>0</v>
      </c>
      <c r="AP179" s="452">
        <v>0</v>
      </c>
      <c r="AQ179" s="453">
        <v>0</v>
      </c>
      <c r="AR179" s="462"/>
      <c r="AS179" s="456">
        <f t="shared" si="46"/>
        <v>0</v>
      </c>
      <c r="AT179" s="457"/>
      <c r="AV179" s="467"/>
      <c r="BB179" s="463">
        <f>(AM179+AN179)-AO179</f>
        <v>0</v>
      </c>
    </row>
    <row r="180" spans="1:54" s="439" customFormat="1" ht="45" customHeight="1" x14ac:dyDescent="0.25">
      <c r="A180" s="442" t="s">
        <v>1109</v>
      </c>
      <c r="B180" s="442" t="s">
        <v>1544</v>
      </c>
      <c r="C180" s="443">
        <v>71</v>
      </c>
      <c r="D180" s="444" t="s">
        <v>1358</v>
      </c>
      <c r="E180" s="444"/>
      <c r="F180" s="444"/>
      <c r="G180" s="444"/>
      <c r="H180" s="444"/>
      <c r="I180" s="444"/>
      <c r="J180" s="444" t="s">
        <v>1336</v>
      </c>
      <c r="K180" s="444"/>
      <c r="L180" s="444"/>
      <c r="M180" s="476">
        <v>43736</v>
      </c>
      <c r="N180" s="444" t="s">
        <v>621</v>
      </c>
      <c r="O180" s="444"/>
      <c r="P180" s="444"/>
      <c r="Q180" s="444"/>
      <c r="R180" s="444"/>
      <c r="S180" s="445" t="s">
        <v>26</v>
      </c>
      <c r="T180" s="444" t="s">
        <v>85</v>
      </c>
      <c r="U180" s="475" t="s">
        <v>1145</v>
      </c>
      <c r="V180" s="446" t="s">
        <v>1146</v>
      </c>
      <c r="W180" s="446" t="s">
        <v>74</v>
      </c>
      <c r="X180" s="447">
        <v>43647</v>
      </c>
      <c r="Y180" s="447" t="s">
        <v>71</v>
      </c>
      <c r="Z180" s="447"/>
      <c r="AA180" s="447">
        <f t="shared" si="59"/>
        <v>43654</v>
      </c>
      <c r="AB180" s="447">
        <f t="shared" si="60"/>
        <v>43661</v>
      </c>
      <c r="AC180" s="447" t="s">
        <v>1337</v>
      </c>
      <c r="AD180" s="449">
        <v>6757.92</v>
      </c>
      <c r="AE180" s="450"/>
      <c r="AF180" s="451">
        <f t="shared" si="58"/>
        <v>6757.92</v>
      </c>
      <c r="AG180" s="449"/>
      <c r="AH180" s="452"/>
      <c r="AI180" s="450">
        <f t="shared" ref="AI180:AI185" si="62">+AF180</f>
        <v>6757.92</v>
      </c>
      <c r="AJ180" s="453">
        <f t="shared" si="61"/>
        <v>0</v>
      </c>
      <c r="AK180" s="454">
        <f>AI180</f>
        <v>6757.92</v>
      </c>
      <c r="AL180" s="565">
        <v>6757.92</v>
      </c>
      <c r="AM180" s="449"/>
      <c r="AN180" s="450"/>
      <c r="AO180" s="451">
        <f t="shared" si="45"/>
        <v>0</v>
      </c>
      <c r="AP180" s="452">
        <v>0</v>
      </c>
      <c r="AQ180" s="453">
        <v>0</v>
      </c>
      <c r="AR180" s="455"/>
      <c r="AS180" s="456">
        <f t="shared" si="46"/>
        <v>0</v>
      </c>
      <c r="AT180" s="457"/>
      <c r="AV180" s="467"/>
    </row>
    <row r="181" spans="1:54" s="439" customFormat="1" ht="45" x14ac:dyDescent="0.25">
      <c r="A181" s="442" t="s">
        <v>1110</v>
      </c>
      <c r="B181" s="442"/>
      <c r="C181" s="442"/>
      <c r="D181" s="443"/>
      <c r="E181" s="443"/>
      <c r="F181" s="443"/>
      <c r="G181" s="443"/>
      <c r="H181" s="443"/>
      <c r="I181" s="443"/>
      <c r="J181" s="444" t="s">
        <v>1222</v>
      </c>
      <c r="K181" s="444"/>
      <c r="L181" s="444"/>
      <c r="M181" s="476">
        <v>43672</v>
      </c>
      <c r="N181" s="444" t="s">
        <v>621</v>
      </c>
      <c r="O181" s="444"/>
      <c r="P181" s="444"/>
      <c r="Q181" s="444"/>
      <c r="R181" s="444"/>
      <c r="S181" s="523" t="s">
        <v>68</v>
      </c>
      <c r="T181" s="444" t="s">
        <v>85</v>
      </c>
      <c r="U181" s="475" t="s">
        <v>1147</v>
      </c>
      <c r="V181" s="446" t="s">
        <v>1148</v>
      </c>
      <c r="W181" s="446" t="s">
        <v>74</v>
      </c>
      <c r="X181" s="447">
        <v>43665</v>
      </c>
      <c r="Y181" s="447" t="s">
        <v>71</v>
      </c>
      <c r="Z181" s="447">
        <v>43666</v>
      </c>
      <c r="AA181" s="447">
        <f t="shared" si="59"/>
        <v>43672</v>
      </c>
      <c r="AB181" s="447">
        <f t="shared" si="60"/>
        <v>43679</v>
      </c>
      <c r="AC181" s="447">
        <v>43672</v>
      </c>
      <c r="AD181" s="449">
        <v>1011200</v>
      </c>
      <c r="AE181" s="450">
        <v>-1011200</v>
      </c>
      <c r="AF181" s="451">
        <f t="shared" si="58"/>
        <v>0</v>
      </c>
      <c r="AG181" s="449"/>
      <c r="AH181" s="452"/>
      <c r="AI181" s="450">
        <f t="shared" si="62"/>
        <v>0</v>
      </c>
      <c r="AJ181" s="453">
        <f t="shared" si="61"/>
        <v>0</v>
      </c>
      <c r="AK181" s="454"/>
      <c r="AL181" s="565"/>
      <c r="AM181" s="449"/>
      <c r="AN181" s="450"/>
      <c r="AO181" s="451">
        <f t="shared" si="45"/>
        <v>0</v>
      </c>
      <c r="AP181" s="452">
        <v>0</v>
      </c>
      <c r="AQ181" s="453">
        <v>0</v>
      </c>
      <c r="AR181" s="455"/>
      <c r="AS181" s="456">
        <f t="shared" si="46"/>
        <v>0</v>
      </c>
      <c r="AT181" s="457"/>
      <c r="AV181" s="467"/>
    </row>
    <row r="182" spans="1:54" s="439" customFormat="1" ht="78.75" customHeight="1" x14ac:dyDescent="0.25">
      <c r="A182" s="442" t="s">
        <v>1111</v>
      </c>
      <c r="B182" s="442" t="s">
        <v>1647</v>
      </c>
      <c r="C182" s="443"/>
      <c r="D182" s="444" t="s">
        <v>1442</v>
      </c>
      <c r="E182" s="444"/>
      <c r="F182" s="444"/>
      <c r="G182" s="444"/>
      <c r="H182" s="444"/>
      <c r="I182" s="444"/>
      <c r="J182" s="444" t="s">
        <v>1155</v>
      </c>
      <c r="K182" s="444"/>
      <c r="L182" s="444"/>
      <c r="M182" s="476">
        <v>43770</v>
      </c>
      <c r="N182" s="444" t="s">
        <v>622</v>
      </c>
      <c r="O182" s="444"/>
      <c r="P182" s="444"/>
      <c r="Q182" s="444"/>
      <c r="R182" s="444"/>
      <c r="S182" s="445" t="s">
        <v>26</v>
      </c>
      <c r="T182" s="444" t="s">
        <v>85</v>
      </c>
      <c r="U182" s="475" t="s">
        <v>1149</v>
      </c>
      <c r="V182" s="446" t="s">
        <v>1150</v>
      </c>
      <c r="W182" s="446" t="s">
        <v>74</v>
      </c>
      <c r="X182" s="447">
        <v>43657</v>
      </c>
      <c r="Y182" s="447" t="s">
        <v>71</v>
      </c>
      <c r="Z182" s="447"/>
      <c r="AA182" s="447">
        <f t="shared" si="59"/>
        <v>43664</v>
      </c>
      <c r="AB182" s="447">
        <f t="shared" si="60"/>
        <v>43671</v>
      </c>
      <c r="AC182" s="447">
        <v>43672</v>
      </c>
      <c r="AD182" s="492">
        <v>82786.009999999995</v>
      </c>
      <c r="AE182" s="450"/>
      <c r="AF182" s="451">
        <f t="shared" si="58"/>
        <v>82786.009999999995</v>
      </c>
      <c r="AG182" s="449"/>
      <c r="AH182" s="452"/>
      <c r="AI182" s="450">
        <f t="shared" si="62"/>
        <v>82786.009999999995</v>
      </c>
      <c r="AJ182" s="453">
        <f t="shared" si="61"/>
        <v>0</v>
      </c>
      <c r="AK182" s="454">
        <f>AI182</f>
        <v>82786.009999999995</v>
      </c>
      <c r="AL182" s="565">
        <v>82786.009999999995</v>
      </c>
      <c r="AM182" s="449">
        <v>0</v>
      </c>
      <c r="AN182" s="450"/>
      <c r="AO182" s="451">
        <f t="shared" si="45"/>
        <v>0</v>
      </c>
      <c r="AP182" s="452">
        <v>0</v>
      </c>
      <c r="AQ182" s="453">
        <v>0</v>
      </c>
      <c r="AR182" s="462"/>
      <c r="AS182" s="456">
        <f t="shared" si="46"/>
        <v>0</v>
      </c>
      <c r="AT182" s="457"/>
      <c r="AV182" s="467"/>
      <c r="BB182" s="463">
        <f>(AM182+AN182)-AO182</f>
        <v>0</v>
      </c>
    </row>
    <row r="183" spans="1:54" s="439" customFormat="1" ht="105" customHeight="1" x14ac:dyDescent="0.25">
      <c r="A183" s="442" t="s">
        <v>1112</v>
      </c>
      <c r="B183" s="442"/>
      <c r="C183" s="443"/>
      <c r="D183" s="444"/>
      <c r="E183" s="444"/>
      <c r="F183" s="444"/>
      <c r="G183" s="444"/>
      <c r="H183" s="444"/>
      <c r="I183" s="444"/>
      <c r="J183" s="444" t="s">
        <v>1156</v>
      </c>
      <c r="K183" s="444"/>
      <c r="L183" s="444"/>
      <c r="M183" s="476"/>
      <c r="N183" s="444"/>
      <c r="O183" s="444"/>
      <c r="P183" s="444"/>
      <c r="Q183" s="444"/>
      <c r="R183" s="444"/>
      <c r="S183" s="445" t="s">
        <v>143</v>
      </c>
      <c r="T183" s="444" t="s">
        <v>85</v>
      </c>
      <c r="U183" s="475" t="s">
        <v>1151</v>
      </c>
      <c r="V183" s="446" t="s">
        <v>1152</v>
      </c>
      <c r="W183" s="446" t="s">
        <v>74</v>
      </c>
      <c r="X183" s="447">
        <v>43657</v>
      </c>
      <c r="Y183" s="447" t="s">
        <v>71</v>
      </c>
      <c r="Z183" s="447"/>
      <c r="AA183" s="447">
        <f t="shared" si="59"/>
        <v>43664</v>
      </c>
      <c r="AB183" s="447">
        <f t="shared" si="60"/>
        <v>43671</v>
      </c>
      <c r="AC183" s="447">
        <v>43670</v>
      </c>
      <c r="AD183" s="449">
        <v>192763.89</v>
      </c>
      <c r="AE183" s="450">
        <v>-192763.89</v>
      </c>
      <c r="AF183" s="451">
        <f t="shared" si="58"/>
        <v>0</v>
      </c>
      <c r="AG183" s="449"/>
      <c r="AH183" s="452"/>
      <c r="AI183" s="450">
        <f t="shared" si="62"/>
        <v>0</v>
      </c>
      <c r="AJ183" s="453">
        <f t="shared" si="61"/>
        <v>0</v>
      </c>
      <c r="AK183" s="454"/>
      <c r="AL183" s="565"/>
      <c r="AM183" s="449"/>
      <c r="AN183" s="450"/>
      <c r="AO183" s="451">
        <f t="shared" si="45"/>
        <v>0</v>
      </c>
      <c r="AP183" s="452">
        <v>0</v>
      </c>
      <c r="AQ183" s="453">
        <v>0</v>
      </c>
      <c r="AR183" s="455"/>
      <c r="AS183" s="456">
        <f t="shared" si="46"/>
        <v>0</v>
      </c>
      <c r="AT183" s="457"/>
      <c r="AV183" s="467"/>
    </row>
    <row r="184" spans="1:54" s="439" customFormat="1" ht="78.75" customHeight="1" x14ac:dyDescent="0.25">
      <c r="A184" s="442" t="s">
        <v>1113</v>
      </c>
      <c r="B184" s="442"/>
      <c r="C184" s="443"/>
      <c r="D184" s="444"/>
      <c r="E184" s="444"/>
      <c r="F184" s="444"/>
      <c r="G184" s="444"/>
      <c r="H184" s="444"/>
      <c r="I184" s="444"/>
      <c r="J184" s="444" t="s">
        <v>1157</v>
      </c>
      <c r="K184" s="444"/>
      <c r="L184" s="444"/>
      <c r="M184" s="476"/>
      <c r="N184" s="444"/>
      <c r="O184" s="444"/>
      <c r="P184" s="444"/>
      <c r="Q184" s="444"/>
      <c r="R184" s="444"/>
      <c r="S184" s="445" t="s">
        <v>143</v>
      </c>
      <c r="T184" s="444" t="s">
        <v>85</v>
      </c>
      <c r="U184" s="475" t="s">
        <v>1153</v>
      </c>
      <c r="V184" s="446" t="s">
        <v>1485</v>
      </c>
      <c r="W184" s="446" t="s">
        <v>74</v>
      </c>
      <c r="X184" s="447">
        <v>43664</v>
      </c>
      <c r="Y184" s="447" t="s">
        <v>71</v>
      </c>
      <c r="Z184" s="447"/>
      <c r="AA184" s="447">
        <f t="shared" si="59"/>
        <v>43671</v>
      </c>
      <c r="AB184" s="447">
        <f t="shared" si="60"/>
        <v>43678</v>
      </c>
      <c r="AC184" s="447">
        <v>43670</v>
      </c>
      <c r="AD184" s="449" t="s">
        <v>124</v>
      </c>
      <c r="AE184" s="450"/>
      <c r="AF184" s="451">
        <f t="shared" si="58"/>
        <v>0</v>
      </c>
      <c r="AG184" s="449"/>
      <c r="AH184" s="452"/>
      <c r="AI184" s="450">
        <f t="shared" si="62"/>
        <v>0</v>
      </c>
      <c r="AJ184" s="453">
        <f t="shared" si="61"/>
        <v>0</v>
      </c>
      <c r="AK184" s="454"/>
      <c r="AL184" s="565"/>
      <c r="AM184" s="449"/>
      <c r="AN184" s="450"/>
      <c r="AO184" s="451">
        <f t="shared" si="45"/>
        <v>0</v>
      </c>
      <c r="AP184" s="452">
        <v>0</v>
      </c>
      <c r="AQ184" s="453">
        <v>0</v>
      </c>
      <c r="AR184" s="455"/>
      <c r="AS184" s="456">
        <f t="shared" si="46"/>
        <v>0</v>
      </c>
      <c r="AT184" s="457"/>
      <c r="AV184" s="467"/>
    </row>
    <row r="185" spans="1:54" s="439" customFormat="1" ht="78.75" customHeight="1" x14ac:dyDescent="0.25">
      <c r="A185" s="442" t="s">
        <v>1114</v>
      </c>
      <c r="B185" s="442"/>
      <c r="C185" s="443"/>
      <c r="D185" s="444"/>
      <c r="E185" s="444"/>
      <c r="F185" s="444"/>
      <c r="G185" s="444"/>
      <c r="H185" s="444"/>
      <c r="I185" s="444"/>
      <c r="J185" s="444" t="s">
        <v>1158</v>
      </c>
      <c r="K185" s="444"/>
      <c r="L185" s="444"/>
      <c r="M185" s="476">
        <v>43672</v>
      </c>
      <c r="N185" s="444"/>
      <c r="O185" s="444" t="s">
        <v>621</v>
      </c>
      <c r="P185" s="444" t="s">
        <v>1883</v>
      </c>
      <c r="Q185" s="444"/>
      <c r="R185" s="444"/>
      <c r="S185" s="445" t="s">
        <v>143</v>
      </c>
      <c r="T185" s="444" t="s">
        <v>85</v>
      </c>
      <c r="U185" s="475" t="s">
        <v>1154</v>
      </c>
      <c r="V185" s="446" t="s">
        <v>1486</v>
      </c>
      <c r="W185" s="446" t="s">
        <v>74</v>
      </c>
      <c r="X185" s="447">
        <v>43622</v>
      </c>
      <c r="Y185" s="447" t="s">
        <v>71</v>
      </c>
      <c r="Z185" s="447"/>
      <c r="AA185" s="447">
        <f t="shared" si="59"/>
        <v>43629</v>
      </c>
      <c r="AB185" s="447">
        <f t="shared" si="60"/>
        <v>43636</v>
      </c>
      <c r="AC185" s="447">
        <v>43672</v>
      </c>
      <c r="AD185" s="449">
        <v>3336.9</v>
      </c>
      <c r="AE185" s="450"/>
      <c r="AF185" s="451">
        <f t="shared" si="58"/>
        <v>3336.9</v>
      </c>
      <c r="AG185" s="449"/>
      <c r="AH185" s="452"/>
      <c r="AI185" s="450">
        <f t="shared" si="62"/>
        <v>3336.9</v>
      </c>
      <c r="AJ185" s="453">
        <f t="shared" si="61"/>
        <v>0</v>
      </c>
      <c r="AK185" s="454"/>
      <c r="AL185" s="565"/>
      <c r="AM185" s="449"/>
      <c r="AN185" s="450"/>
      <c r="AO185" s="451">
        <f t="shared" si="45"/>
        <v>0</v>
      </c>
      <c r="AP185" s="452">
        <v>0</v>
      </c>
      <c r="AQ185" s="453">
        <v>0</v>
      </c>
      <c r="AR185" s="455"/>
      <c r="AS185" s="456">
        <f t="shared" si="46"/>
        <v>0</v>
      </c>
      <c r="AT185" s="457"/>
      <c r="AV185" s="467"/>
    </row>
    <row r="186" spans="1:54" s="439" customFormat="1" ht="30" x14ac:dyDescent="0.25">
      <c r="A186" s="442" t="s">
        <v>1172</v>
      </c>
      <c r="B186" s="442"/>
      <c r="C186" s="443"/>
      <c r="D186" s="444" t="s">
        <v>1307</v>
      </c>
      <c r="E186" s="444"/>
      <c r="F186" s="444"/>
      <c r="G186" s="444"/>
      <c r="H186" s="444"/>
      <c r="I186" s="444"/>
      <c r="J186" s="444"/>
      <c r="K186" s="444"/>
      <c r="L186" s="444"/>
      <c r="M186" s="476"/>
      <c r="N186" s="444"/>
      <c r="O186" s="444"/>
      <c r="P186" s="444"/>
      <c r="Q186" s="444"/>
      <c r="R186" s="444"/>
      <c r="S186" s="445" t="s">
        <v>26</v>
      </c>
      <c r="T186" s="444" t="s">
        <v>1262</v>
      </c>
      <c r="U186" s="475" t="s">
        <v>1173</v>
      </c>
      <c r="V186" s="446" t="s">
        <v>1174</v>
      </c>
      <c r="W186" s="446" t="s">
        <v>74</v>
      </c>
      <c r="X186" s="447">
        <v>43670</v>
      </c>
      <c r="Y186" s="447" t="s">
        <v>71</v>
      </c>
      <c r="Z186" s="447"/>
      <c r="AA186" s="447"/>
      <c r="AB186" s="447"/>
      <c r="AC186" s="447">
        <v>0</v>
      </c>
      <c r="AD186" s="449"/>
      <c r="AE186" s="450"/>
      <c r="AF186" s="451"/>
      <c r="AG186" s="449"/>
      <c r="AH186" s="452"/>
      <c r="AI186" s="450"/>
      <c r="AJ186" s="453"/>
      <c r="AK186" s="454"/>
      <c r="AL186" s="565"/>
      <c r="AM186" s="449"/>
      <c r="AN186" s="450"/>
      <c r="AO186" s="451">
        <f t="shared" si="45"/>
        <v>0</v>
      </c>
      <c r="AP186" s="452">
        <v>0</v>
      </c>
      <c r="AQ186" s="453">
        <v>0</v>
      </c>
      <c r="AR186" s="455"/>
      <c r="AS186" s="456">
        <f t="shared" si="46"/>
        <v>0</v>
      </c>
      <c r="AT186" s="457"/>
      <c r="AV186" s="467"/>
    </row>
    <row r="187" spans="1:54" s="439" customFormat="1" ht="30" x14ac:dyDescent="0.25">
      <c r="A187" s="442" t="s">
        <v>1306</v>
      </c>
      <c r="B187" s="442"/>
      <c r="C187" s="443"/>
      <c r="D187" s="444" t="s">
        <v>981</v>
      </c>
      <c r="E187" s="444"/>
      <c r="F187" s="444"/>
      <c r="G187" s="444"/>
      <c r="H187" s="444"/>
      <c r="I187" s="444"/>
      <c r="J187" s="444"/>
      <c r="K187" s="444"/>
      <c r="L187" s="444"/>
      <c r="M187" s="476"/>
      <c r="N187" s="444"/>
      <c r="O187" s="444"/>
      <c r="P187" s="444"/>
      <c r="Q187" s="444"/>
      <c r="R187" s="444"/>
      <c r="S187" s="445" t="s">
        <v>26</v>
      </c>
      <c r="T187" s="444" t="s">
        <v>1262</v>
      </c>
      <c r="U187" s="475" t="s">
        <v>1308</v>
      </c>
      <c r="V187" s="446" t="s">
        <v>1309</v>
      </c>
      <c r="W187" s="446" t="s">
        <v>74</v>
      </c>
      <c r="X187" s="447">
        <v>43670</v>
      </c>
      <c r="Y187" s="447" t="s">
        <v>71</v>
      </c>
      <c r="Z187" s="447"/>
      <c r="AA187" s="447"/>
      <c r="AB187" s="447"/>
      <c r="AC187" s="447">
        <v>0</v>
      </c>
      <c r="AD187" s="449">
        <f>+AK187</f>
        <v>0</v>
      </c>
      <c r="AE187" s="450"/>
      <c r="AF187" s="451">
        <f t="shared" si="58"/>
        <v>0</v>
      </c>
      <c r="AG187" s="449">
        <f>+AK187</f>
        <v>0</v>
      </c>
      <c r="AH187" s="452"/>
      <c r="AI187" s="450"/>
      <c r="AJ187" s="453">
        <f t="shared" si="61"/>
        <v>0</v>
      </c>
      <c r="AK187" s="454">
        <v>0</v>
      </c>
      <c r="AL187" s="565">
        <v>0</v>
      </c>
      <c r="AM187" s="449"/>
      <c r="AN187" s="450"/>
      <c r="AO187" s="451">
        <f t="shared" si="45"/>
        <v>0</v>
      </c>
      <c r="AP187" s="452">
        <v>0</v>
      </c>
      <c r="AQ187" s="453">
        <v>0</v>
      </c>
      <c r="AR187" s="455"/>
      <c r="AS187" s="456">
        <f t="shared" si="46"/>
        <v>0</v>
      </c>
      <c r="AT187" s="457"/>
      <c r="AV187" s="467"/>
    </row>
    <row r="188" spans="1:54" s="439" customFormat="1" ht="47.25" customHeight="1" x14ac:dyDescent="0.25">
      <c r="A188" s="442" t="s">
        <v>1183</v>
      </c>
      <c r="B188" s="442" t="s">
        <v>1581</v>
      </c>
      <c r="C188" s="443"/>
      <c r="D188" s="444" t="s">
        <v>1184</v>
      </c>
      <c r="E188" s="444"/>
      <c r="F188" s="444"/>
      <c r="G188" s="444"/>
      <c r="H188" s="444"/>
      <c r="I188" s="444"/>
      <c r="J188" s="444" t="s">
        <v>1185</v>
      </c>
      <c r="K188" s="444"/>
      <c r="L188" s="444"/>
      <c r="M188" s="476">
        <v>43676</v>
      </c>
      <c r="N188" s="444" t="s">
        <v>621</v>
      </c>
      <c r="O188" s="444"/>
      <c r="P188" s="444"/>
      <c r="Q188" s="444"/>
      <c r="R188" s="444"/>
      <c r="S188" s="445" t="s">
        <v>26</v>
      </c>
      <c r="T188" s="444" t="s">
        <v>85</v>
      </c>
      <c r="U188" s="475" t="s">
        <v>1186</v>
      </c>
      <c r="V188" s="446" t="s">
        <v>1187</v>
      </c>
      <c r="W188" s="446" t="s">
        <v>74</v>
      </c>
      <c r="X188" s="447"/>
      <c r="Y188" s="447" t="s">
        <v>266</v>
      </c>
      <c r="Z188" s="447"/>
      <c r="AA188" s="447"/>
      <c r="AB188" s="447"/>
      <c r="AC188" s="447">
        <v>43676</v>
      </c>
      <c r="AD188" s="493">
        <v>370019.31</v>
      </c>
      <c r="AE188" s="494">
        <f>193577.43-AD188</f>
        <v>-176441.88</v>
      </c>
      <c r="AF188" s="451">
        <f t="shared" si="58"/>
        <v>193577.43</v>
      </c>
      <c r="AG188" s="449"/>
      <c r="AH188" s="452"/>
      <c r="AI188" s="450">
        <v>321659.31</v>
      </c>
      <c r="AJ188" s="453"/>
      <c r="AK188" s="454">
        <v>320776.08</v>
      </c>
      <c r="AL188" s="565">
        <v>320776.08</v>
      </c>
      <c r="AM188" s="493">
        <v>0</v>
      </c>
      <c r="AN188" s="494"/>
      <c r="AO188" s="451">
        <f t="shared" si="45"/>
        <v>0</v>
      </c>
      <c r="AP188" s="452">
        <v>0</v>
      </c>
      <c r="AQ188" s="453">
        <v>0</v>
      </c>
      <c r="AR188" s="497"/>
      <c r="AS188" s="456">
        <f t="shared" si="46"/>
        <v>0</v>
      </c>
      <c r="AT188" s="457"/>
      <c r="AV188" s="467"/>
      <c r="BB188" s="463">
        <f>(AM188+AN188)-AO188</f>
        <v>0</v>
      </c>
    </row>
    <row r="189" spans="1:54" s="439" customFormat="1" ht="47.25" customHeight="1" x14ac:dyDescent="0.25">
      <c r="A189" s="442" t="s">
        <v>1558</v>
      </c>
      <c r="B189" s="442" t="s">
        <v>1892</v>
      </c>
      <c r="C189" s="443"/>
      <c r="D189" s="444" t="s">
        <v>1839</v>
      </c>
      <c r="E189" s="444"/>
      <c r="F189" s="444"/>
      <c r="G189" s="444"/>
      <c r="H189" s="444"/>
      <c r="I189" s="444"/>
      <c r="J189" s="444" t="s">
        <v>1748</v>
      </c>
      <c r="K189" s="444"/>
      <c r="L189" s="444"/>
      <c r="M189" s="476">
        <v>43902</v>
      </c>
      <c r="N189" s="444" t="s">
        <v>621</v>
      </c>
      <c r="O189" s="444"/>
      <c r="P189" s="444"/>
      <c r="Q189" s="444"/>
      <c r="R189" s="444"/>
      <c r="S189" s="523" t="s">
        <v>26</v>
      </c>
      <c r="T189" s="444" t="s">
        <v>85</v>
      </c>
      <c r="U189" s="475" t="s">
        <v>1746</v>
      </c>
      <c r="V189" s="446" t="s">
        <v>1747</v>
      </c>
      <c r="W189" s="446"/>
      <c r="X189" s="447"/>
      <c r="Y189" s="447"/>
      <c r="Z189" s="447"/>
      <c r="AA189" s="447"/>
      <c r="AB189" s="447"/>
      <c r="AC189" s="447">
        <v>43902</v>
      </c>
      <c r="AD189" s="493">
        <v>34811.43</v>
      </c>
      <c r="AE189" s="494"/>
      <c r="AF189" s="451">
        <f t="shared" si="58"/>
        <v>34811.43</v>
      </c>
      <c r="AG189" s="449"/>
      <c r="AH189" s="452"/>
      <c r="AI189" s="450"/>
      <c r="AJ189" s="453">
        <f t="shared" ref="AJ189:AJ205" si="63">+AF189-SUM(AG189:AI189)</f>
        <v>34811.43</v>
      </c>
      <c r="AK189" s="565">
        <v>34811.43</v>
      </c>
      <c r="AL189" s="565">
        <v>34811.43</v>
      </c>
      <c r="AM189" s="493"/>
      <c r="AN189" s="494"/>
      <c r="AO189" s="451">
        <f t="shared" si="45"/>
        <v>0</v>
      </c>
      <c r="AP189" s="452">
        <v>0</v>
      </c>
      <c r="AQ189" s="453">
        <v>0</v>
      </c>
      <c r="AR189" s="497"/>
      <c r="AS189" s="456">
        <f t="shared" si="46"/>
        <v>0</v>
      </c>
      <c r="AT189" s="457"/>
      <c r="AV189" s="467"/>
      <c r="BB189" s="463"/>
    </row>
    <row r="190" spans="1:54" s="439" customFormat="1" ht="78.75" customHeight="1" x14ac:dyDescent="0.25">
      <c r="A190" s="442" t="s">
        <v>1188</v>
      </c>
      <c r="B190" s="442" t="s">
        <v>1581</v>
      </c>
      <c r="C190" s="443"/>
      <c r="D190" s="444" t="s">
        <v>1532</v>
      </c>
      <c r="E190" s="444"/>
      <c r="F190" s="444"/>
      <c r="G190" s="444"/>
      <c r="H190" s="444"/>
      <c r="I190" s="444"/>
      <c r="J190" s="444" t="s">
        <v>1282</v>
      </c>
      <c r="K190" s="444"/>
      <c r="L190" s="444"/>
      <c r="M190" s="476">
        <v>43733</v>
      </c>
      <c r="N190" s="444" t="s">
        <v>621</v>
      </c>
      <c r="O190" s="444"/>
      <c r="P190" s="444"/>
      <c r="Q190" s="444"/>
      <c r="R190" s="444"/>
      <c r="S190" s="445" t="s">
        <v>26</v>
      </c>
      <c r="T190" s="444" t="s">
        <v>85</v>
      </c>
      <c r="U190" s="475" t="s">
        <v>1189</v>
      </c>
      <c r="V190" s="446" t="s">
        <v>1190</v>
      </c>
      <c r="W190" s="446" t="s">
        <v>74</v>
      </c>
      <c r="X190" s="447"/>
      <c r="Y190" s="447" t="s">
        <v>71</v>
      </c>
      <c r="Z190" s="447"/>
      <c r="AA190" s="447"/>
      <c r="AB190" s="447"/>
      <c r="AC190" s="447">
        <v>43716</v>
      </c>
      <c r="AD190" s="493">
        <v>15005.3</v>
      </c>
      <c r="AE190" s="494">
        <v>0</v>
      </c>
      <c r="AF190" s="451">
        <f t="shared" ref="AF190:AF224" si="64">+SUM(AD190:AE190)</f>
        <v>15005.3</v>
      </c>
      <c r="AG190" s="449"/>
      <c r="AH190" s="452"/>
      <c r="AI190" s="450">
        <f>AF190</f>
        <v>15005.3</v>
      </c>
      <c r="AJ190" s="453">
        <f t="shared" si="63"/>
        <v>0</v>
      </c>
      <c r="AK190" s="454">
        <f>AI190</f>
        <v>15005.3</v>
      </c>
      <c r="AL190" s="565">
        <v>15005.3</v>
      </c>
      <c r="AM190" s="493"/>
      <c r="AN190" s="494"/>
      <c r="AO190" s="451">
        <f t="shared" si="45"/>
        <v>0</v>
      </c>
      <c r="AP190" s="452">
        <v>0</v>
      </c>
      <c r="AQ190" s="453">
        <v>0</v>
      </c>
      <c r="AR190" s="498"/>
      <c r="AS190" s="456">
        <f t="shared" si="46"/>
        <v>0</v>
      </c>
      <c r="AT190" s="457"/>
      <c r="AV190" s="467"/>
    </row>
    <row r="191" spans="1:54" s="439" customFormat="1" ht="78.75" customHeight="1" x14ac:dyDescent="0.25">
      <c r="A191" s="442" t="s">
        <v>1191</v>
      </c>
      <c r="B191" s="442"/>
      <c r="C191" s="443"/>
      <c r="D191" s="444" t="s">
        <v>1536</v>
      </c>
      <c r="E191" s="444"/>
      <c r="F191" s="444"/>
      <c r="G191" s="444"/>
      <c r="H191" s="444"/>
      <c r="I191" s="444"/>
      <c r="J191" s="444" t="s">
        <v>1192</v>
      </c>
      <c r="K191" s="444"/>
      <c r="L191" s="444"/>
      <c r="M191" s="476">
        <v>43716</v>
      </c>
      <c r="N191" s="444" t="s">
        <v>622</v>
      </c>
      <c r="O191" s="444"/>
      <c r="P191" s="444"/>
      <c r="Q191" s="444"/>
      <c r="R191" s="444"/>
      <c r="S191" s="523" t="s">
        <v>68</v>
      </c>
      <c r="T191" s="444" t="s">
        <v>85</v>
      </c>
      <c r="U191" s="475" t="s">
        <v>1193</v>
      </c>
      <c r="V191" s="446" t="s">
        <v>1487</v>
      </c>
      <c r="W191" s="446" t="s">
        <v>74</v>
      </c>
      <c r="X191" s="447"/>
      <c r="Y191" s="447" t="s">
        <v>71</v>
      </c>
      <c r="Z191" s="447"/>
      <c r="AA191" s="447"/>
      <c r="AB191" s="447"/>
      <c r="AC191" s="447">
        <v>43686</v>
      </c>
      <c r="AD191" s="493">
        <v>7509.89</v>
      </c>
      <c r="AE191" s="494">
        <v>-7509.89</v>
      </c>
      <c r="AF191" s="451">
        <f t="shared" si="64"/>
        <v>0</v>
      </c>
      <c r="AG191" s="449"/>
      <c r="AH191" s="452"/>
      <c r="AI191" s="450"/>
      <c r="AJ191" s="453">
        <f t="shared" si="63"/>
        <v>0</v>
      </c>
      <c r="AK191" s="454"/>
      <c r="AL191" s="565"/>
      <c r="AM191" s="493"/>
      <c r="AN191" s="494"/>
      <c r="AO191" s="451">
        <f t="shared" si="45"/>
        <v>0</v>
      </c>
      <c r="AP191" s="452">
        <v>0</v>
      </c>
      <c r="AQ191" s="453">
        <v>0</v>
      </c>
      <c r="AR191" s="498"/>
      <c r="AS191" s="456">
        <f t="shared" si="46"/>
        <v>0</v>
      </c>
      <c r="AT191" s="457"/>
      <c r="AV191" s="467"/>
    </row>
    <row r="192" spans="1:54" s="439" customFormat="1" ht="78.75" customHeight="1" x14ac:dyDescent="0.25">
      <c r="A192" s="442" t="s">
        <v>1194</v>
      </c>
      <c r="B192" s="442"/>
      <c r="C192" s="443"/>
      <c r="D192" s="444"/>
      <c r="E192" s="444"/>
      <c r="F192" s="444"/>
      <c r="G192" s="444"/>
      <c r="H192" s="444"/>
      <c r="I192" s="444"/>
      <c r="J192" s="444" t="s">
        <v>1195</v>
      </c>
      <c r="K192" s="444"/>
      <c r="L192" s="444"/>
      <c r="M192" s="476">
        <v>43686</v>
      </c>
      <c r="N192" s="444" t="s">
        <v>621</v>
      </c>
      <c r="O192" s="444"/>
      <c r="P192" s="444"/>
      <c r="Q192" s="444"/>
      <c r="R192" s="444"/>
      <c r="S192" s="445" t="s">
        <v>143</v>
      </c>
      <c r="T192" s="444" t="s">
        <v>85</v>
      </c>
      <c r="U192" s="475" t="s">
        <v>1196</v>
      </c>
      <c r="V192" s="446" t="s">
        <v>1197</v>
      </c>
      <c r="W192" s="446" t="s">
        <v>74</v>
      </c>
      <c r="X192" s="447"/>
      <c r="Y192" s="447" t="s">
        <v>71</v>
      </c>
      <c r="Z192" s="447"/>
      <c r="AA192" s="447"/>
      <c r="AB192" s="447"/>
      <c r="AC192" s="447">
        <v>43686</v>
      </c>
      <c r="AD192" s="493" t="s">
        <v>124</v>
      </c>
      <c r="AE192" s="494"/>
      <c r="AF192" s="451">
        <f t="shared" si="64"/>
        <v>0</v>
      </c>
      <c r="AG192" s="449"/>
      <c r="AH192" s="452"/>
      <c r="AI192" s="450"/>
      <c r="AJ192" s="453">
        <f t="shared" si="63"/>
        <v>0</v>
      </c>
      <c r="AK192" s="454"/>
      <c r="AL192" s="565"/>
      <c r="AM192" s="493"/>
      <c r="AN192" s="494"/>
      <c r="AO192" s="451">
        <f t="shared" si="45"/>
        <v>0</v>
      </c>
      <c r="AP192" s="452">
        <v>0</v>
      </c>
      <c r="AQ192" s="453">
        <v>0</v>
      </c>
      <c r="AR192" s="498"/>
      <c r="AS192" s="456">
        <f t="shared" si="46"/>
        <v>0</v>
      </c>
      <c r="AT192" s="457"/>
      <c r="AV192" s="467"/>
    </row>
    <row r="193" spans="1:54" s="439" customFormat="1" ht="78.75" customHeight="1" x14ac:dyDescent="0.25">
      <c r="A193" s="442" t="s">
        <v>1198</v>
      </c>
      <c r="B193" s="442"/>
      <c r="C193" s="443">
        <v>78</v>
      </c>
      <c r="D193" s="444" t="s">
        <v>1587</v>
      </c>
      <c r="E193" s="444"/>
      <c r="F193" s="444"/>
      <c r="G193" s="444"/>
      <c r="H193" s="444"/>
      <c r="I193" s="444"/>
      <c r="J193" s="444" t="s">
        <v>1398</v>
      </c>
      <c r="K193" s="444"/>
      <c r="L193" s="444"/>
      <c r="M193" s="476">
        <v>43819</v>
      </c>
      <c r="N193" s="444" t="s">
        <v>621</v>
      </c>
      <c r="O193" s="444" t="s">
        <v>621</v>
      </c>
      <c r="P193" s="444" t="s">
        <v>1883</v>
      </c>
      <c r="Q193" s="444"/>
      <c r="R193" s="444"/>
      <c r="S193" s="445" t="s">
        <v>143</v>
      </c>
      <c r="T193" s="444" t="s">
        <v>85</v>
      </c>
      <c r="U193" s="475" t="s">
        <v>1200</v>
      </c>
      <c r="V193" s="446" t="s">
        <v>1429</v>
      </c>
      <c r="W193" s="446" t="s">
        <v>74</v>
      </c>
      <c r="X193" s="447"/>
      <c r="Y193" s="447" t="s">
        <v>71</v>
      </c>
      <c r="Z193" s="447"/>
      <c r="AA193" s="447"/>
      <c r="AB193" s="447"/>
      <c r="AC193" s="447">
        <v>43678</v>
      </c>
      <c r="AD193" s="493">
        <v>77906</v>
      </c>
      <c r="AE193" s="494"/>
      <c r="AF193" s="451">
        <f t="shared" si="64"/>
        <v>77906</v>
      </c>
      <c r="AG193" s="449"/>
      <c r="AH193" s="452"/>
      <c r="AI193" s="450"/>
      <c r="AJ193" s="453">
        <f t="shared" si="63"/>
        <v>77906</v>
      </c>
      <c r="AK193" s="454"/>
      <c r="AL193" s="565"/>
      <c r="AM193" s="493">
        <v>62000</v>
      </c>
      <c r="AN193" s="494"/>
      <c r="AO193" s="451">
        <f t="shared" si="45"/>
        <v>62000</v>
      </c>
      <c r="AP193" s="452">
        <v>62000</v>
      </c>
      <c r="AQ193" s="453">
        <v>0</v>
      </c>
      <c r="AR193" s="497"/>
      <c r="AS193" s="456">
        <f t="shared" si="46"/>
        <v>0</v>
      </c>
      <c r="AT193" s="457"/>
      <c r="AV193" s="467"/>
      <c r="BB193" s="463">
        <f>(AM193+AN193)-AO193</f>
        <v>0</v>
      </c>
    </row>
    <row r="194" spans="1:54" s="439" customFormat="1" ht="78.75" customHeight="1" x14ac:dyDescent="0.25">
      <c r="A194" s="442" t="s">
        <v>1704</v>
      </c>
      <c r="B194" s="442"/>
      <c r="C194" s="443">
        <v>78</v>
      </c>
      <c r="D194" s="444" t="s">
        <v>1587</v>
      </c>
      <c r="E194" s="444"/>
      <c r="F194" s="444"/>
      <c r="G194" s="444"/>
      <c r="H194" s="444"/>
      <c r="I194" s="444"/>
      <c r="J194" s="444" t="s">
        <v>1398</v>
      </c>
      <c r="K194" s="444"/>
      <c r="L194" s="444"/>
      <c r="M194" s="476">
        <v>43819</v>
      </c>
      <c r="N194" s="444" t="s">
        <v>621</v>
      </c>
      <c r="O194" s="444"/>
      <c r="P194" s="444"/>
      <c r="Q194" s="444"/>
      <c r="R194" s="444"/>
      <c r="S194" s="523" t="s">
        <v>26</v>
      </c>
      <c r="T194" s="444" t="s">
        <v>1262</v>
      </c>
      <c r="U194" s="475" t="s">
        <v>1705</v>
      </c>
      <c r="V194" s="446" t="s">
        <v>1429</v>
      </c>
      <c r="W194" s="446" t="s">
        <v>74</v>
      </c>
      <c r="X194" s="447"/>
      <c r="Y194" s="447" t="s">
        <v>71</v>
      </c>
      <c r="Z194" s="447"/>
      <c r="AA194" s="447"/>
      <c r="AB194" s="447"/>
      <c r="AC194" s="447">
        <v>43678</v>
      </c>
      <c r="AD194" s="493">
        <v>78419.8</v>
      </c>
      <c r="AE194" s="494"/>
      <c r="AF194" s="451">
        <f t="shared" ref="AF194" si="65">+SUM(AD194:AE194)</f>
        <v>78419.8</v>
      </c>
      <c r="AG194" s="449">
        <v>78419.8</v>
      </c>
      <c r="AH194" s="452"/>
      <c r="AI194" s="450"/>
      <c r="AJ194" s="453">
        <f t="shared" ref="AJ194" si="66">+AF194-SUM(AG194:AI194)</f>
        <v>0</v>
      </c>
      <c r="AK194" s="454">
        <f>AF194</f>
        <v>78419.8</v>
      </c>
      <c r="AL194" s="565">
        <v>78419.8</v>
      </c>
      <c r="AM194" s="493">
        <f>AJ194</f>
        <v>0</v>
      </c>
      <c r="AN194" s="494"/>
      <c r="AO194" s="451">
        <f t="shared" si="45"/>
        <v>0</v>
      </c>
      <c r="AP194" s="452">
        <v>0</v>
      </c>
      <c r="AQ194" s="453">
        <v>0</v>
      </c>
      <c r="AR194" s="497"/>
      <c r="AS194" s="456">
        <f t="shared" si="46"/>
        <v>0</v>
      </c>
      <c r="AT194" s="457"/>
      <c r="AV194" s="467"/>
      <c r="BB194" s="463">
        <f>(AM194+AN194)-AO194</f>
        <v>0</v>
      </c>
    </row>
    <row r="195" spans="1:54" s="439" customFormat="1" ht="60" x14ac:dyDescent="0.25">
      <c r="A195" s="442" t="s">
        <v>1201</v>
      </c>
      <c r="B195" s="442"/>
      <c r="C195" s="443"/>
      <c r="D195" s="444" t="s">
        <v>1556</v>
      </c>
      <c r="E195" s="444"/>
      <c r="F195" s="444"/>
      <c r="G195" s="444"/>
      <c r="H195" s="444"/>
      <c r="I195" s="444"/>
      <c r="J195" s="444" t="s">
        <v>1302</v>
      </c>
      <c r="K195" s="444"/>
      <c r="L195" s="444"/>
      <c r="M195" s="476">
        <v>43809</v>
      </c>
      <c r="N195" s="444" t="s">
        <v>622</v>
      </c>
      <c r="O195" s="444"/>
      <c r="P195" s="444"/>
      <c r="Q195" s="444"/>
      <c r="R195" s="444"/>
      <c r="S195" s="445" t="s">
        <v>68</v>
      </c>
      <c r="T195" s="444" t="s">
        <v>85</v>
      </c>
      <c r="U195" s="475" t="s">
        <v>1202</v>
      </c>
      <c r="V195" s="446" t="s">
        <v>1324</v>
      </c>
      <c r="W195" s="446" t="s">
        <v>74</v>
      </c>
      <c r="X195" s="447"/>
      <c r="Y195" s="447" t="s">
        <v>71</v>
      </c>
      <c r="Z195" s="447"/>
      <c r="AA195" s="447"/>
      <c r="AB195" s="447"/>
      <c r="AC195" s="447">
        <v>43697</v>
      </c>
      <c r="AD195" s="493">
        <v>0</v>
      </c>
      <c r="AE195" s="494"/>
      <c r="AF195" s="451">
        <f t="shared" si="64"/>
        <v>0</v>
      </c>
      <c r="AG195" s="449"/>
      <c r="AH195" s="452"/>
      <c r="AI195" s="450"/>
      <c r="AJ195" s="453">
        <f t="shared" si="63"/>
        <v>0</v>
      </c>
      <c r="AK195" s="454"/>
      <c r="AL195" s="565"/>
      <c r="AM195" s="493"/>
      <c r="AN195" s="494"/>
      <c r="AO195" s="451">
        <f t="shared" si="45"/>
        <v>0</v>
      </c>
      <c r="AP195" s="452">
        <v>0</v>
      </c>
      <c r="AQ195" s="453">
        <v>0</v>
      </c>
      <c r="AR195" s="498"/>
      <c r="AS195" s="456">
        <f t="shared" si="46"/>
        <v>0</v>
      </c>
      <c r="AT195" s="457"/>
      <c r="AV195" s="467"/>
    </row>
    <row r="196" spans="1:54" s="439" customFormat="1" ht="78.75" customHeight="1" x14ac:dyDescent="0.25">
      <c r="A196" s="442" t="s">
        <v>1203</v>
      </c>
      <c r="B196" s="442"/>
      <c r="C196" s="443"/>
      <c r="D196" s="444"/>
      <c r="E196" s="444"/>
      <c r="F196" s="444"/>
      <c r="G196" s="444"/>
      <c r="H196" s="444"/>
      <c r="I196" s="444"/>
      <c r="J196" s="444" t="s">
        <v>1303</v>
      </c>
      <c r="K196" s="444"/>
      <c r="L196" s="444"/>
      <c r="M196" s="476">
        <v>43696</v>
      </c>
      <c r="N196" s="444"/>
      <c r="O196" s="444" t="s">
        <v>622</v>
      </c>
      <c r="P196" s="444" t="s">
        <v>1883</v>
      </c>
      <c r="Q196" s="444"/>
      <c r="R196" s="444"/>
      <c r="S196" s="445" t="s">
        <v>143</v>
      </c>
      <c r="T196" s="444" t="s">
        <v>85</v>
      </c>
      <c r="U196" s="475" t="s">
        <v>1204</v>
      </c>
      <c r="V196" s="475" t="s">
        <v>1205</v>
      </c>
      <c r="W196" s="446" t="s">
        <v>74</v>
      </c>
      <c r="X196" s="447"/>
      <c r="Y196" s="447" t="s">
        <v>71</v>
      </c>
      <c r="Z196" s="447"/>
      <c r="AA196" s="447"/>
      <c r="AB196" s="447"/>
      <c r="AC196" s="447">
        <v>43696</v>
      </c>
      <c r="AD196" s="493">
        <v>11762.15</v>
      </c>
      <c r="AE196" s="494"/>
      <c r="AF196" s="451">
        <f t="shared" si="64"/>
        <v>11762.15</v>
      </c>
      <c r="AG196" s="449"/>
      <c r="AH196" s="452"/>
      <c r="AI196" s="450"/>
      <c r="AJ196" s="453">
        <f t="shared" si="63"/>
        <v>11762.15</v>
      </c>
      <c r="AK196" s="454"/>
      <c r="AL196" s="565"/>
      <c r="AM196" s="493">
        <v>11000</v>
      </c>
      <c r="AN196" s="494"/>
      <c r="AO196" s="451">
        <f t="shared" si="45"/>
        <v>11000</v>
      </c>
      <c r="AP196" s="452">
        <v>11000</v>
      </c>
      <c r="AQ196" s="453">
        <v>0</v>
      </c>
      <c r="AR196" s="497"/>
      <c r="AS196" s="456">
        <f t="shared" si="46"/>
        <v>0</v>
      </c>
      <c r="AT196" s="457"/>
      <c r="AV196" s="467"/>
      <c r="BB196" s="463">
        <f>(AM196+AN196)-AO196</f>
        <v>0</v>
      </c>
    </row>
    <row r="197" spans="1:54" s="439" customFormat="1" ht="45" x14ac:dyDescent="0.25">
      <c r="A197" s="442" t="s">
        <v>1206</v>
      </c>
      <c r="B197" s="442" t="s">
        <v>1298</v>
      </c>
      <c r="C197" s="443"/>
      <c r="D197" s="444"/>
      <c r="E197" s="444"/>
      <c r="F197" s="444"/>
      <c r="G197" s="444"/>
      <c r="H197" s="444"/>
      <c r="I197" s="444"/>
      <c r="J197" s="444" t="s">
        <v>1301</v>
      </c>
      <c r="K197" s="444"/>
      <c r="L197" s="444"/>
      <c r="M197" s="476">
        <v>43696</v>
      </c>
      <c r="N197" s="444" t="s">
        <v>621</v>
      </c>
      <c r="O197" s="444"/>
      <c r="P197" s="444"/>
      <c r="Q197" s="444"/>
      <c r="R197" s="444"/>
      <c r="S197" s="445" t="s">
        <v>26</v>
      </c>
      <c r="T197" s="444" t="s">
        <v>85</v>
      </c>
      <c r="U197" s="475" t="s">
        <v>1207</v>
      </c>
      <c r="V197" s="475" t="s">
        <v>1208</v>
      </c>
      <c r="W197" s="446" t="s">
        <v>74</v>
      </c>
      <c r="X197" s="447"/>
      <c r="Y197" s="447" t="s">
        <v>71</v>
      </c>
      <c r="Z197" s="447"/>
      <c r="AA197" s="447"/>
      <c r="AB197" s="447"/>
      <c r="AC197" s="447">
        <v>43696</v>
      </c>
      <c r="AD197" s="493">
        <v>3069.1</v>
      </c>
      <c r="AE197" s="494"/>
      <c r="AF197" s="451">
        <f t="shared" si="64"/>
        <v>3069.1</v>
      </c>
      <c r="AG197" s="449"/>
      <c r="AH197" s="452"/>
      <c r="AI197" s="450">
        <v>3069.1</v>
      </c>
      <c r="AJ197" s="453">
        <f t="shared" si="63"/>
        <v>0</v>
      </c>
      <c r="AK197" s="454">
        <v>3069.1</v>
      </c>
      <c r="AL197" s="565">
        <v>3069.1</v>
      </c>
      <c r="AM197" s="493"/>
      <c r="AN197" s="494"/>
      <c r="AO197" s="451">
        <f t="shared" si="45"/>
        <v>0</v>
      </c>
      <c r="AP197" s="452">
        <v>0</v>
      </c>
      <c r="AQ197" s="453">
        <v>0</v>
      </c>
      <c r="AR197" s="498"/>
      <c r="AS197" s="456">
        <f t="shared" si="46"/>
        <v>0</v>
      </c>
      <c r="AT197" s="457"/>
      <c r="AV197" s="467"/>
    </row>
    <row r="198" spans="1:54" s="439" customFormat="1" ht="30" x14ac:dyDescent="0.25">
      <c r="A198" s="442" t="s">
        <v>1289</v>
      </c>
      <c r="B198" s="442" t="s">
        <v>1355</v>
      </c>
      <c r="C198" s="443">
        <v>66</v>
      </c>
      <c r="D198" s="444"/>
      <c r="E198" s="444"/>
      <c r="F198" s="444"/>
      <c r="G198" s="444"/>
      <c r="H198" s="444"/>
      <c r="I198" s="444"/>
      <c r="J198" s="444" t="s">
        <v>1290</v>
      </c>
      <c r="K198" s="444"/>
      <c r="L198" s="444"/>
      <c r="M198" s="476">
        <v>43714</v>
      </c>
      <c r="N198" s="444" t="s">
        <v>621</v>
      </c>
      <c r="O198" s="444"/>
      <c r="P198" s="444"/>
      <c r="Q198" s="444"/>
      <c r="R198" s="444"/>
      <c r="S198" s="445" t="s">
        <v>26</v>
      </c>
      <c r="T198" s="444" t="s">
        <v>85</v>
      </c>
      <c r="U198" s="475" t="s">
        <v>1291</v>
      </c>
      <c r="V198" s="475" t="s">
        <v>1292</v>
      </c>
      <c r="W198" s="446"/>
      <c r="X198" s="447"/>
      <c r="Y198" s="447"/>
      <c r="Z198" s="447"/>
      <c r="AA198" s="447"/>
      <c r="AB198" s="447"/>
      <c r="AC198" s="447">
        <v>43714</v>
      </c>
      <c r="AD198" s="493">
        <v>13305.83</v>
      </c>
      <c r="AE198" s="494"/>
      <c r="AF198" s="451">
        <f t="shared" si="64"/>
        <v>13305.83</v>
      </c>
      <c r="AG198" s="449"/>
      <c r="AH198" s="452"/>
      <c r="AI198" s="450"/>
      <c r="AJ198" s="453">
        <f t="shared" si="63"/>
        <v>13305.83</v>
      </c>
      <c r="AK198" s="454">
        <f>AJ198</f>
        <v>13305.83</v>
      </c>
      <c r="AL198" s="565">
        <v>13305.83</v>
      </c>
      <c r="AM198" s="493"/>
      <c r="AN198" s="494"/>
      <c r="AO198" s="451">
        <f t="shared" si="45"/>
        <v>0</v>
      </c>
      <c r="AP198" s="452">
        <v>0</v>
      </c>
      <c r="AQ198" s="453">
        <v>0</v>
      </c>
      <c r="AR198" s="498"/>
      <c r="AS198" s="456">
        <f t="shared" si="46"/>
        <v>0</v>
      </c>
      <c r="AT198" s="457"/>
      <c r="AV198" s="467"/>
    </row>
    <row r="199" spans="1:54" s="439" customFormat="1" ht="45" customHeight="1" x14ac:dyDescent="0.25">
      <c r="A199" s="442" t="s">
        <v>1279</v>
      </c>
      <c r="B199" s="442" t="s">
        <v>1535</v>
      </c>
      <c r="C199" s="443"/>
      <c r="D199" s="444"/>
      <c r="E199" s="444"/>
      <c r="F199" s="444"/>
      <c r="G199" s="444"/>
      <c r="H199" s="444"/>
      <c r="I199" s="444"/>
      <c r="J199" s="444" t="s">
        <v>1280</v>
      </c>
      <c r="K199" s="444"/>
      <c r="L199" s="444"/>
      <c r="M199" s="476">
        <v>43708</v>
      </c>
      <c r="N199" s="444" t="s">
        <v>621</v>
      </c>
      <c r="O199" s="444"/>
      <c r="P199" s="444"/>
      <c r="Q199" s="444"/>
      <c r="R199" s="444"/>
      <c r="S199" s="445" t="s">
        <v>26</v>
      </c>
      <c r="T199" s="444" t="s">
        <v>85</v>
      </c>
      <c r="U199" s="475" t="s">
        <v>1281</v>
      </c>
      <c r="V199" s="446" t="s">
        <v>1488</v>
      </c>
      <c r="W199" s="446" t="s">
        <v>74</v>
      </c>
      <c r="X199" s="447"/>
      <c r="Y199" s="447" t="s">
        <v>71</v>
      </c>
      <c r="Z199" s="447"/>
      <c r="AA199" s="447" t="str">
        <f t="shared" ref="AA199:AA207" si="67">+IF(X199="","",WORKDAY(X199,5))</f>
        <v/>
      </c>
      <c r="AB199" s="447" t="str">
        <f t="shared" ref="AB199:AB207" si="68">+IF(X199="","",WORKDAY(X199,10))</f>
        <v/>
      </c>
      <c r="AC199" s="447">
        <v>43708</v>
      </c>
      <c r="AD199" s="449">
        <v>697981.22</v>
      </c>
      <c r="AE199" s="450">
        <f>-AD199+618953.59</f>
        <v>-79027.63</v>
      </c>
      <c r="AF199" s="451">
        <f t="shared" si="64"/>
        <v>618953.59</v>
      </c>
      <c r="AG199" s="449"/>
      <c r="AH199" s="452"/>
      <c r="AI199" s="450">
        <f t="shared" ref="AI199:AI207" si="69">+AF199</f>
        <v>618953.59</v>
      </c>
      <c r="AJ199" s="453">
        <f t="shared" si="63"/>
        <v>0</v>
      </c>
      <c r="AK199" s="565">
        <v>618953.59</v>
      </c>
      <c r="AL199" s="565">
        <v>618953.59</v>
      </c>
      <c r="AM199" s="449"/>
      <c r="AN199" s="450"/>
      <c r="AO199" s="451">
        <f t="shared" si="45"/>
        <v>0</v>
      </c>
      <c r="AP199" s="452">
        <v>0</v>
      </c>
      <c r="AQ199" s="453">
        <v>0</v>
      </c>
      <c r="AR199" s="462"/>
      <c r="AS199" s="456">
        <f t="shared" si="46"/>
        <v>0</v>
      </c>
      <c r="AT199" s="457"/>
      <c r="AV199" s="467"/>
      <c r="BB199" s="463">
        <f>(AM199+AN199)-AO199</f>
        <v>0</v>
      </c>
    </row>
    <row r="200" spans="1:54" s="439" customFormat="1" ht="45" customHeight="1" x14ac:dyDescent="0.25">
      <c r="A200" s="442" t="s">
        <v>1629</v>
      </c>
      <c r="B200" s="442" t="s">
        <v>1892</v>
      </c>
      <c r="C200" s="443"/>
      <c r="D200" s="444"/>
      <c r="E200" s="444"/>
      <c r="F200" s="444"/>
      <c r="G200" s="444"/>
      <c r="H200" s="444"/>
      <c r="I200" s="444"/>
      <c r="J200" s="444" t="s">
        <v>1630</v>
      </c>
      <c r="K200" s="444"/>
      <c r="L200" s="444"/>
      <c r="M200" s="476">
        <v>43857</v>
      </c>
      <c r="N200" s="444" t="s">
        <v>621</v>
      </c>
      <c r="O200" s="444"/>
      <c r="P200" s="444"/>
      <c r="Q200" s="444"/>
      <c r="R200" s="444"/>
      <c r="S200" s="523" t="s">
        <v>26</v>
      </c>
      <c r="T200" s="444" t="s">
        <v>85</v>
      </c>
      <c r="U200" s="475" t="s">
        <v>1631</v>
      </c>
      <c r="V200" s="446" t="s">
        <v>1632</v>
      </c>
      <c r="W200" s="446"/>
      <c r="X200" s="447"/>
      <c r="Y200" s="447"/>
      <c r="Z200" s="447"/>
      <c r="AA200" s="447"/>
      <c r="AB200" s="447"/>
      <c r="AC200" s="447">
        <f>M200</f>
        <v>43857</v>
      </c>
      <c r="AD200" s="449">
        <v>134640</v>
      </c>
      <c r="AE200" s="450"/>
      <c r="AF200" s="451">
        <f t="shared" si="64"/>
        <v>134640</v>
      </c>
      <c r="AG200" s="449"/>
      <c r="AH200" s="452"/>
      <c r="AI200" s="450">
        <f t="shared" si="69"/>
        <v>134640</v>
      </c>
      <c r="AJ200" s="453"/>
      <c r="AK200" s="565">
        <v>94639.8</v>
      </c>
      <c r="AL200" s="565">
        <v>134640</v>
      </c>
      <c r="AM200" s="485">
        <f>134640</f>
        <v>134640</v>
      </c>
      <c r="AN200" s="450"/>
      <c r="AO200" s="451">
        <f t="shared" si="45"/>
        <v>134640</v>
      </c>
      <c r="AP200" s="452">
        <f>AO200</f>
        <v>134640</v>
      </c>
      <c r="AQ200" s="453">
        <v>0</v>
      </c>
      <c r="AR200" s="462"/>
      <c r="AS200" s="456">
        <f t="shared" si="46"/>
        <v>-40000.199999999997</v>
      </c>
      <c r="AT200" s="457"/>
      <c r="AV200" s="467"/>
      <c r="BB200" s="463"/>
    </row>
    <row r="201" spans="1:54" s="439" customFormat="1" ht="45" customHeight="1" x14ac:dyDescent="0.25">
      <c r="A201" s="442" t="s">
        <v>1924</v>
      </c>
      <c r="B201" s="442" t="s">
        <v>1892</v>
      </c>
      <c r="C201" s="443"/>
      <c r="D201" s="444"/>
      <c r="E201" s="444"/>
      <c r="F201" s="444"/>
      <c r="G201" s="444"/>
      <c r="H201" s="444"/>
      <c r="I201" s="444"/>
      <c r="J201" s="444" t="s">
        <v>1925</v>
      </c>
      <c r="K201" s="444"/>
      <c r="L201" s="444"/>
      <c r="M201" s="476">
        <v>43967</v>
      </c>
      <c r="N201" s="444" t="s">
        <v>621</v>
      </c>
      <c r="O201" s="444" t="s">
        <v>622</v>
      </c>
      <c r="P201" s="444" t="s">
        <v>1886</v>
      </c>
      <c r="Q201" s="444"/>
      <c r="R201" s="444"/>
      <c r="S201" s="445" t="s">
        <v>143</v>
      </c>
      <c r="T201" s="444" t="s">
        <v>85</v>
      </c>
      <c r="U201" s="475" t="s">
        <v>1926</v>
      </c>
      <c r="V201" s="446" t="s">
        <v>1927</v>
      </c>
      <c r="W201" s="446"/>
      <c r="X201" s="447"/>
      <c r="Y201" s="447"/>
      <c r="Z201" s="447"/>
      <c r="AA201" s="447"/>
      <c r="AB201" s="447"/>
      <c r="AC201" s="447">
        <f>M201</f>
        <v>43967</v>
      </c>
      <c r="AD201" s="449">
        <v>266207.18</v>
      </c>
      <c r="AE201" s="450"/>
      <c r="AF201" s="451">
        <f t="shared" ref="AF201" si="70">+SUM(AD201:AE201)</f>
        <v>266207.18</v>
      </c>
      <c r="AG201" s="449"/>
      <c r="AH201" s="452"/>
      <c r="AI201" s="450">
        <f t="shared" ref="AI201" si="71">+AF201</f>
        <v>266207.18</v>
      </c>
      <c r="AJ201" s="453"/>
      <c r="AK201" s="565"/>
      <c r="AL201" s="565"/>
      <c r="AM201" s="485"/>
      <c r="AN201" s="450"/>
      <c r="AO201" s="451">
        <f t="shared" ref="AO201" si="72">AN201+AM201</f>
        <v>0</v>
      </c>
      <c r="AP201" s="452">
        <f>AO201</f>
        <v>0</v>
      </c>
      <c r="AQ201" s="453">
        <v>0</v>
      </c>
      <c r="AR201" s="462"/>
      <c r="AS201" s="456">
        <f t="shared" ref="AS201" si="73">AK201-AL201</f>
        <v>0</v>
      </c>
      <c r="AT201" s="457"/>
      <c r="AV201" s="467"/>
      <c r="BB201" s="463"/>
    </row>
    <row r="202" spans="1:54" s="439" customFormat="1" ht="45" customHeight="1" x14ac:dyDescent="0.25">
      <c r="A202" s="442" t="s">
        <v>1285</v>
      </c>
      <c r="B202" s="442" t="s">
        <v>1892</v>
      </c>
      <c r="C202" s="443"/>
      <c r="D202" s="444" t="s">
        <v>1897</v>
      </c>
      <c r="E202" s="444"/>
      <c r="F202" s="444"/>
      <c r="G202" s="444"/>
      <c r="H202" s="444"/>
      <c r="I202" s="444"/>
      <c r="J202" s="444" t="s">
        <v>1318</v>
      </c>
      <c r="K202" s="444"/>
      <c r="L202" s="444"/>
      <c r="M202" s="476">
        <v>43726</v>
      </c>
      <c r="N202" s="444"/>
      <c r="O202" s="444"/>
      <c r="P202" s="444"/>
      <c r="Q202" s="444"/>
      <c r="R202" s="444"/>
      <c r="S202" s="523" t="s">
        <v>26</v>
      </c>
      <c r="T202" s="444" t="s">
        <v>85</v>
      </c>
      <c r="U202" s="475" t="s">
        <v>1293</v>
      </c>
      <c r="V202" s="446" t="s">
        <v>1323</v>
      </c>
      <c r="W202" s="446" t="s">
        <v>74</v>
      </c>
      <c r="X202" s="447"/>
      <c r="Y202" s="447" t="s">
        <v>71</v>
      </c>
      <c r="Z202" s="447"/>
      <c r="AA202" s="447" t="str">
        <f t="shared" si="67"/>
        <v/>
      </c>
      <c r="AB202" s="447" t="str">
        <f t="shared" si="68"/>
        <v/>
      </c>
      <c r="AC202" s="476">
        <v>43726</v>
      </c>
      <c r="AD202" s="449">
        <v>2745.23</v>
      </c>
      <c r="AE202" s="450"/>
      <c r="AF202" s="451">
        <f t="shared" si="64"/>
        <v>2745.23</v>
      </c>
      <c r="AG202" s="449"/>
      <c r="AH202" s="452"/>
      <c r="AI202" s="450">
        <f t="shared" si="69"/>
        <v>2745.23</v>
      </c>
      <c r="AJ202" s="453">
        <f t="shared" si="63"/>
        <v>0</v>
      </c>
      <c r="AK202" s="565">
        <v>2745.23</v>
      </c>
      <c r="AL202" s="565">
        <v>2745.23</v>
      </c>
      <c r="AM202" s="449"/>
      <c r="AN202" s="450"/>
      <c r="AO202" s="451">
        <f t="shared" si="45"/>
        <v>0</v>
      </c>
      <c r="AP202" s="452">
        <v>0</v>
      </c>
      <c r="AQ202" s="453">
        <v>0</v>
      </c>
      <c r="AR202" s="455"/>
      <c r="AS202" s="456">
        <f t="shared" si="46"/>
        <v>0</v>
      </c>
      <c r="AT202" s="457"/>
      <c r="AV202" s="467"/>
    </row>
    <row r="203" spans="1:54" s="439" customFormat="1" ht="45" customHeight="1" x14ac:dyDescent="0.25">
      <c r="A203" s="442" t="s">
        <v>1284</v>
      </c>
      <c r="B203" s="442" t="s">
        <v>1354</v>
      </c>
      <c r="C203" s="443">
        <v>77</v>
      </c>
      <c r="D203" s="444" t="s">
        <v>1357</v>
      </c>
      <c r="E203" s="444"/>
      <c r="F203" s="444"/>
      <c r="G203" s="444"/>
      <c r="H203" s="444"/>
      <c r="I203" s="444"/>
      <c r="J203" s="444" t="s">
        <v>1288</v>
      </c>
      <c r="K203" s="444"/>
      <c r="L203" s="444"/>
      <c r="M203" s="476">
        <v>43715</v>
      </c>
      <c r="N203" s="444" t="s">
        <v>621</v>
      </c>
      <c r="O203" s="444"/>
      <c r="P203" s="444"/>
      <c r="Q203" s="444"/>
      <c r="R203" s="444"/>
      <c r="S203" s="445" t="s">
        <v>26</v>
      </c>
      <c r="T203" s="444" t="s">
        <v>85</v>
      </c>
      <c r="U203" s="475" t="s">
        <v>1286</v>
      </c>
      <c r="V203" s="446" t="s">
        <v>1287</v>
      </c>
      <c r="W203" s="446" t="s">
        <v>74</v>
      </c>
      <c r="X203" s="447"/>
      <c r="Y203" s="447" t="s">
        <v>71</v>
      </c>
      <c r="Z203" s="447"/>
      <c r="AA203" s="447" t="str">
        <f t="shared" si="67"/>
        <v/>
      </c>
      <c r="AB203" s="447" t="str">
        <f t="shared" si="68"/>
        <v/>
      </c>
      <c r="AC203" s="447">
        <v>43715</v>
      </c>
      <c r="AD203" s="449">
        <v>4974.58</v>
      </c>
      <c r="AE203" s="450">
        <f>4853.96-4974.58</f>
        <v>-120.61999999999989</v>
      </c>
      <c r="AF203" s="451">
        <f t="shared" si="64"/>
        <v>4853.96</v>
      </c>
      <c r="AG203" s="449"/>
      <c r="AH203" s="452"/>
      <c r="AI203" s="450">
        <f t="shared" si="69"/>
        <v>4853.96</v>
      </c>
      <c r="AJ203" s="453">
        <f t="shared" si="63"/>
        <v>0</v>
      </c>
      <c r="AK203" s="454">
        <f>AF203</f>
        <v>4853.96</v>
      </c>
      <c r="AL203" s="565">
        <v>4853.96</v>
      </c>
      <c r="AM203" s="449"/>
      <c r="AN203" s="450"/>
      <c r="AO203" s="451">
        <f t="shared" ref="AO203:AO264" si="74">AN203+AM203</f>
        <v>0</v>
      </c>
      <c r="AP203" s="452">
        <v>0</v>
      </c>
      <c r="AQ203" s="453">
        <v>0</v>
      </c>
      <c r="AR203" s="462"/>
      <c r="AS203" s="456">
        <f t="shared" ref="AS203:AS266" si="75">AK203-AL203</f>
        <v>0</v>
      </c>
      <c r="AT203" s="457"/>
      <c r="AU203" s="458"/>
      <c r="AV203" s="467"/>
      <c r="BB203" s="463">
        <f>(AM203+AN203)-AO203</f>
        <v>0</v>
      </c>
    </row>
    <row r="204" spans="1:54" s="439" customFormat="1" ht="60" x14ac:dyDescent="0.25">
      <c r="A204" s="442" t="s">
        <v>1314</v>
      </c>
      <c r="B204" s="442" t="s">
        <v>1892</v>
      </c>
      <c r="C204" s="443"/>
      <c r="D204" s="444" t="s">
        <v>1898</v>
      </c>
      <c r="E204" s="444"/>
      <c r="F204" s="444"/>
      <c r="G204" s="444"/>
      <c r="H204" s="444"/>
      <c r="I204" s="444"/>
      <c r="J204" s="444" t="s">
        <v>1325</v>
      </c>
      <c r="K204" s="444"/>
      <c r="L204" s="444"/>
      <c r="M204" s="476">
        <v>43725</v>
      </c>
      <c r="N204" s="444"/>
      <c r="O204" s="444"/>
      <c r="P204" s="444"/>
      <c r="Q204" s="444"/>
      <c r="R204" s="444"/>
      <c r="S204" s="445" t="s">
        <v>26</v>
      </c>
      <c r="T204" s="444" t="s">
        <v>85</v>
      </c>
      <c r="U204" s="475" t="s">
        <v>1315</v>
      </c>
      <c r="V204" s="475" t="s">
        <v>1316</v>
      </c>
      <c r="W204" s="446" t="s">
        <v>74</v>
      </c>
      <c r="X204" s="447"/>
      <c r="Y204" s="447"/>
      <c r="Z204" s="447"/>
      <c r="AA204" s="447" t="str">
        <f t="shared" si="67"/>
        <v/>
      </c>
      <c r="AB204" s="447" t="str">
        <f t="shared" si="68"/>
        <v/>
      </c>
      <c r="AC204" s="447">
        <v>43725</v>
      </c>
      <c r="AD204" s="493">
        <v>2609.79</v>
      </c>
      <c r="AE204" s="494"/>
      <c r="AF204" s="451">
        <f t="shared" si="64"/>
        <v>2609.79</v>
      </c>
      <c r="AG204" s="449"/>
      <c r="AH204" s="452"/>
      <c r="AI204" s="450">
        <f t="shared" si="69"/>
        <v>2609.79</v>
      </c>
      <c r="AJ204" s="453">
        <f t="shared" si="63"/>
        <v>0</v>
      </c>
      <c r="AK204" s="454">
        <v>2609.79</v>
      </c>
      <c r="AL204" s="565">
        <v>2609.79</v>
      </c>
      <c r="AM204" s="493"/>
      <c r="AN204" s="494"/>
      <c r="AO204" s="451">
        <f t="shared" si="74"/>
        <v>0</v>
      </c>
      <c r="AP204" s="452">
        <v>0</v>
      </c>
      <c r="AQ204" s="453">
        <v>0</v>
      </c>
      <c r="AR204" s="498"/>
      <c r="AS204" s="456">
        <f t="shared" si="75"/>
        <v>0</v>
      </c>
      <c r="AT204" s="457"/>
      <c r="AV204" s="467"/>
    </row>
    <row r="205" spans="1:54" s="439" customFormat="1" ht="60" x14ac:dyDescent="0.25">
      <c r="A205" s="442" t="s">
        <v>1327</v>
      </c>
      <c r="B205" s="442" t="s">
        <v>1544</v>
      </c>
      <c r="C205" s="443"/>
      <c r="D205" s="444" t="s">
        <v>1356</v>
      </c>
      <c r="E205" s="444"/>
      <c r="F205" s="444"/>
      <c r="G205" s="444"/>
      <c r="H205" s="444"/>
      <c r="I205" s="444"/>
      <c r="J205" s="444" t="s">
        <v>1328</v>
      </c>
      <c r="K205" s="444"/>
      <c r="L205" s="444"/>
      <c r="M205" s="476">
        <v>43731</v>
      </c>
      <c r="N205" s="444"/>
      <c r="O205" s="444"/>
      <c r="P205" s="444"/>
      <c r="Q205" s="444"/>
      <c r="R205" s="444"/>
      <c r="S205" s="445" t="s">
        <v>26</v>
      </c>
      <c r="T205" s="444" t="s">
        <v>85</v>
      </c>
      <c r="U205" s="475" t="s">
        <v>1329</v>
      </c>
      <c r="V205" s="475" t="s">
        <v>1330</v>
      </c>
      <c r="W205" s="446" t="s">
        <v>74</v>
      </c>
      <c r="X205" s="447"/>
      <c r="Y205" s="447"/>
      <c r="Z205" s="447"/>
      <c r="AA205" s="447" t="str">
        <f t="shared" si="67"/>
        <v/>
      </c>
      <c r="AB205" s="447" t="str">
        <f t="shared" si="68"/>
        <v/>
      </c>
      <c r="AC205" s="447">
        <v>43731</v>
      </c>
      <c r="AD205" s="493">
        <v>13429.99</v>
      </c>
      <c r="AE205" s="494">
        <f>-AD205+13101.66</f>
        <v>-328.32999999999993</v>
      </c>
      <c r="AF205" s="451">
        <f t="shared" si="64"/>
        <v>13101.66</v>
      </c>
      <c r="AG205" s="449"/>
      <c r="AH205" s="452"/>
      <c r="AI205" s="450">
        <f t="shared" si="69"/>
        <v>13101.66</v>
      </c>
      <c r="AJ205" s="453">
        <f t="shared" si="63"/>
        <v>0</v>
      </c>
      <c r="AK205" s="454">
        <v>13102</v>
      </c>
      <c r="AL205" s="565">
        <v>13102</v>
      </c>
      <c r="AM205" s="493"/>
      <c r="AN205" s="494"/>
      <c r="AO205" s="451">
        <f t="shared" si="74"/>
        <v>0</v>
      </c>
      <c r="AP205" s="452">
        <v>0</v>
      </c>
      <c r="AQ205" s="453">
        <v>0</v>
      </c>
      <c r="AR205" s="498"/>
      <c r="AS205" s="456">
        <f t="shared" si="75"/>
        <v>0</v>
      </c>
      <c r="AT205" s="457"/>
      <c r="AU205" s="458"/>
      <c r="AV205" s="499"/>
    </row>
    <row r="206" spans="1:54" s="439" customFormat="1" ht="45" x14ac:dyDescent="0.25">
      <c r="A206" s="442" t="s">
        <v>1338</v>
      </c>
      <c r="B206" s="442" t="s">
        <v>1892</v>
      </c>
      <c r="C206" s="443"/>
      <c r="D206" s="444"/>
      <c r="E206" s="444"/>
      <c r="F206" s="444"/>
      <c r="G206" s="444"/>
      <c r="H206" s="444"/>
      <c r="I206" s="444"/>
      <c r="J206" s="444" t="s">
        <v>1339</v>
      </c>
      <c r="K206" s="444"/>
      <c r="L206" s="444"/>
      <c r="M206" s="476">
        <v>43734</v>
      </c>
      <c r="N206" s="444"/>
      <c r="O206" s="444"/>
      <c r="P206" s="444"/>
      <c r="Q206" s="444"/>
      <c r="R206" s="444"/>
      <c r="S206" s="445" t="s">
        <v>26</v>
      </c>
      <c r="T206" s="444" t="s">
        <v>85</v>
      </c>
      <c r="U206" s="475" t="s">
        <v>1489</v>
      </c>
      <c r="V206" s="475" t="s">
        <v>1345</v>
      </c>
      <c r="W206" s="446" t="s">
        <v>74</v>
      </c>
      <c r="X206" s="447">
        <v>43736</v>
      </c>
      <c r="Y206" s="447"/>
      <c r="Z206" s="447"/>
      <c r="AA206" s="447">
        <f t="shared" si="67"/>
        <v>43742</v>
      </c>
      <c r="AB206" s="447">
        <f t="shared" si="68"/>
        <v>43749</v>
      </c>
      <c r="AC206" s="447">
        <v>43736</v>
      </c>
      <c r="AD206" s="493">
        <v>2444.0700000000002</v>
      </c>
      <c r="AE206" s="494"/>
      <c r="AF206" s="451">
        <f t="shared" si="64"/>
        <v>2444.0700000000002</v>
      </c>
      <c r="AG206" s="449"/>
      <c r="AH206" s="452"/>
      <c r="AI206" s="450">
        <f t="shared" si="69"/>
        <v>2444.0700000000002</v>
      </c>
      <c r="AJ206" s="453"/>
      <c r="AK206" s="454">
        <v>2444.0700000000002</v>
      </c>
      <c r="AL206" s="565">
        <v>2444.0700000000002</v>
      </c>
      <c r="AM206" s="495"/>
      <c r="AN206" s="494"/>
      <c r="AO206" s="451">
        <f t="shared" si="74"/>
        <v>0</v>
      </c>
      <c r="AP206" s="452">
        <v>0</v>
      </c>
      <c r="AQ206" s="453">
        <v>0</v>
      </c>
      <c r="AR206" s="498"/>
      <c r="AS206" s="456">
        <f t="shared" si="75"/>
        <v>0</v>
      </c>
      <c r="AT206" s="457"/>
      <c r="AU206" s="458"/>
      <c r="AV206" s="499"/>
      <c r="BB206" s="463">
        <f t="shared" ref="BB206:BB236" si="76">(AM206+AN206)-AO206</f>
        <v>0</v>
      </c>
    </row>
    <row r="207" spans="1:54" s="439" customFormat="1" ht="30" x14ac:dyDescent="0.25">
      <c r="A207" s="442" t="s">
        <v>1340</v>
      </c>
      <c r="B207" s="442" t="s">
        <v>1892</v>
      </c>
      <c r="C207" s="443">
        <v>89</v>
      </c>
      <c r="D207" s="444"/>
      <c r="E207" s="444"/>
      <c r="F207" s="444"/>
      <c r="G207" s="444"/>
      <c r="H207" s="444"/>
      <c r="I207" s="444"/>
      <c r="J207" s="444" t="s">
        <v>1366</v>
      </c>
      <c r="K207" s="444"/>
      <c r="L207" s="444"/>
      <c r="M207" s="476">
        <v>43739</v>
      </c>
      <c r="N207" s="444" t="s">
        <v>622</v>
      </c>
      <c r="O207" s="444" t="s">
        <v>621</v>
      </c>
      <c r="P207" s="444" t="s">
        <v>1883</v>
      </c>
      <c r="Q207" s="444"/>
      <c r="R207" s="444"/>
      <c r="S207" s="523" t="s">
        <v>26</v>
      </c>
      <c r="T207" s="444" t="s">
        <v>85</v>
      </c>
      <c r="U207" s="530" t="s">
        <v>1365</v>
      </c>
      <c r="V207" s="446" t="s">
        <v>1364</v>
      </c>
      <c r="W207" s="446" t="s">
        <v>74</v>
      </c>
      <c r="X207" s="447">
        <v>43733</v>
      </c>
      <c r="Y207" s="447"/>
      <c r="Z207" s="447"/>
      <c r="AA207" s="447">
        <f t="shared" si="67"/>
        <v>43740</v>
      </c>
      <c r="AB207" s="447">
        <f t="shared" si="68"/>
        <v>43747</v>
      </c>
      <c r="AC207" s="447">
        <v>43739</v>
      </c>
      <c r="AD207" s="493">
        <v>32131.08</v>
      </c>
      <c r="AE207" s="494"/>
      <c r="AF207" s="451">
        <f t="shared" si="64"/>
        <v>32131.08</v>
      </c>
      <c r="AG207" s="449"/>
      <c r="AH207" s="452"/>
      <c r="AI207" s="450">
        <f t="shared" si="69"/>
        <v>32131.08</v>
      </c>
      <c r="AJ207" s="453"/>
      <c r="AK207" s="454">
        <v>32131.08</v>
      </c>
      <c r="AL207" s="565">
        <v>32131.08</v>
      </c>
      <c r="AM207" s="495"/>
      <c r="AN207" s="494"/>
      <c r="AO207" s="451">
        <f t="shared" si="74"/>
        <v>0</v>
      </c>
      <c r="AP207" s="452">
        <v>0</v>
      </c>
      <c r="AQ207" s="453">
        <v>0</v>
      </c>
      <c r="AR207" s="498"/>
      <c r="AS207" s="456">
        <f t="shared" si="75"/>
        <v>0</v>
      </c>
      <c r="AT207" s="457"/>
      <c r="AU207" s="458"/>
      <c r="AV207" s="499"/>
      <c r="BB207" s="463">
        <f t="shared" si="76"/>
        <v>0</v>
      </c>
    </row>
    <row r="208" spans="1:54" s="439" customFormat="1" ht="45" x14ac:dyDescent="0.25">
      <c r="A208" s="442" t="s">
        <v>1341</v>
      </c>
      <c r="B208" s="442" t="s">
        <v>1581</v>
      </c>
      <c r="C208" s="443"/>
      <c r="D208" s="444" t="s">
        <v>1583</v>
      </c>
      <c r="E208" s="444"/>
      <c r="F208" s="444"/>
      <c r="G208" s="444"/>
      <c r="H208" s="444"/>
      <c r="I208" s="444"/>
      <c r="J208" s="444" t="s">
        <v>1342</v>
      </c>
      <c r="K208" s="444"/>
      <c r="L208" s="444"/>
      <c r="M208" s="476">
        <v>43736</v>
      </c>
      <c r="N208" s="444"/>
      <c r="O208" s="444"/>
      <c r="P208" s="444"/>
      <c r="Q208" s="444"/>
      <c r="R208" s="444"/>
      <c r="S208" s="445" t="s">
        <v>26</v>
      </c>
      <c r="T208" s="444" t="s">
        <v>85</v>
      </c>
      <c r="U208" s="475" t="s">
        <v>1343</v>
      </c>
      <c r="V208" s="475" t="s">
        <v>1344</v>
      </c>
      <c r="W208" s="446" t="s">
        <v>74</v>
      </c>
      <c r="X208" s="447">
        <v>43736</v>
      </c>
      <c r="Y208" s="447"/>
      <c r="Z208" s="447"/>
      <c r="AA208" s="447"/>
      <c r="AB208" s="447"/>
      <c r="AC208" s="447">
        <v>43736</v>
      </c>
      <c r="AD208" s="493">
        <v>17290.509999999998</v>
      </c>
      <c r="AE208" s="494"/>
      <c r="AF208" s="451">
        <f t="shared" si="64"/>
        <v>17290.509999999998</v>
      </c>
      <c r="AG208" s="449"/>
      <c r="AH208" s="452"/>
      <c r="AI208" s="450">
        <v>17290.509999999998</v>
      </c>
      <c r="AJ208" s="453"/>
      <c r="AK208" s="454">
        <v>17290.509999999998</v>
      </c>
      <c r="AL208" s="565">
        <v>17290.509999999998</v>
      </c>
      <c r="AM208" s="495"/>
      <c r="AN208" s="494"/>
      <c r="AO208" s="451">
        <f t="shared" si="74"/>
        <v>0</v>
      </c>
      <c r="AP208" s="452">
        <v>0</v>
      </c>
      <c r="AQ208" s="453">
        <v>0</v>
      </c>
      <c r="AR208" s="498"/>
      <c r="AS208" s="456">
        <f t="shared" si="75"/>
        <v>0</v>
      </c>
      <c r="AT208" s="457"/>
      <c r="AU208" s="458"/>
      <c r="AV208" s="499"/>
      <c r="BB208" s="463">
        <f t="shared" si="76"/>
        <v>0</v>
      </c>
    </row>
    <row r="209" spans="1:54" s="439" customFormat="1" ht="30" x14ac:dyDescent="0.25">
      <c r="A209" s="442" t="s">
        <v>1346</v>
      </c>
      <c r="B209" s="442" t="s">
        <v>1535</v>
      </c>
      <c r="C209" s="443">
        <v>71</v>
      </c>
      <c r="D209" s="444" t="s">
        <v>1362</v>
      </c>
      <c r="E209" s="444"/>
      <c r="F209" s="444"/>
      <c r="G209" s="444"/>
      <c r="H209" s="444"/>
      <c r="I209" s="444"/>
      <c r="J209" s="444" t="s">
        <v>1348</v>
      </c>
      <c r="K209" s="444"/>
      <c r="L209" s="444"/>
      <c r="M209" s="476">
        <v>43736</v>
      </c>
      <c r="N209" s="444"/>
      <c r="O209" s="444"/>
      <c r="P209" s="444"/>
      <c r="Q209" s="444"/>
      <c r="R209" s="444"/>
      <c r="S209" s="445" t="s">
        <v>26</v>
      </c>
      <c r="T209" s="444" t="s">
        <v>85</v>
      </c>
      <c r="U209" s="475" t="s">
        <v>1349</v>
      </c>
      <c r="V209" s="475" t="s">
        <v>1350</v>
      </c>
      <c r="W209" s="446" t="s">
        <v>74</v>
      </c>
      <c r="X209" s="447">
        <v>43736</v>
      </c>
      <c r="Y209" s="447"/>
      <c r="Z209" s="447"/>
      <c r="AA209" s="447"/>
      <c r="AB209" s="447"/>
      <c r="AC209" s="447">
        <v>43736</v>
      </c>
      <c r="AD209" s="493">
        <v>22401.43</v>
      </c>
      <c r="AE209" s="494">
        <f>-22401.43+21910.71</f>
        <v>-490.72000000000116</v>
      </c>
      <c r="AF209" s="451">
        <f t="shared" si="64"/>
        <v>21910.71</v>
      </c>
      <c r="AG209" s="449"/>
      <c r="AH209" s="452"/>
      <c r="AI209" s="450">
        <f>+AF209</f>
        <v>21910.71</v>
      </c>
      <c r="AJ209" s="453"/>
      <c r="AK209" s="454">
        <f>AI209</f>
        <v>21910.71</v>
      </c>
      <c r="AL209" s="565">
        <v>21910.71</v>
      </c>
      <c r="AM209" s="495"/>
      <c r="AN209" s="494"/>
      <c r="AO209" s="451">
        <f t="shared" si="74"/>
        <v>0</v>
      </c>
      <c r="AP209" s="452">
        <v>0</v>
      </c>
      <c r="AQ209" s="453">
        <v>0</v>
      </c>
      <c r="AR209" s="498"/>
      <c r="AS209" s="456">
        <f t="shared" si="75"/>
        <v>0</v>
      </c>
      <c r="AT209" s="457"/>
      <c r="AU209" s="458"/>
      <c r="AV209" s="499"/>
      <c r="BB209" s="463">
        <f t="shared" si="76"/>
        <v>0</v>
      </c>
    </row>
    <row r="210" spans="1:54" s="439" customFormat="1" ht="45" x14ac:dyDescent="0.25">
      <c r="A210" s="442" t="s">
        <v>1347</v>
      </c>
      <c r="B210" s="442" t="s">
        <v>1855</v>
      </c>
      <c r="C210" s="443"/>
      <c r="D210" s="444"/>
      <c r="E210" s="444"/>
      <c r="F210" s="444"/>
      <c r="G210" s="444"/>
      <c r="H210" s="444"/>
      <c r="I210" s="444"/>
      <c r="J210" s="444" t="s">
        <v>1409</v>
      </c>
      <c r="K210" s="444"/>
      <c r="L210" s="444"/>
      <c r="M210" s="476">
        <v>43757</v>
      </c>
      <c r="N210" s="444"/>
      <c r="O210" s="444"/>
      <c r="P210" s="444"/>
      <c r="Q210" s="444"/>
      <c r="R210" s="444"/>
      <c r="S210" s="445" t="s">
        <v>26</v>
      </c>
      <c r="T210" s="444" t="s">
        <v>85</v>
      </c>
      <c r="U210" s="475" t="s">
        <v>1351</v>
      </c>
      <c r="V210" s="475" t="s">
        <v>1352</v>
      </c>
      <c r="W210" s="446" t="s">
        <v>74</v>
      </c>
      <c r="X210" s="447">
        <v>43736</v>
      </c>
      <c r="Y210" s="447"/>
      <c r="Z210" s="447"/>
      <c r="AA210" s="447"/>
      <c r="AB210" s="447"/>
      <c r="AC210" s="447">
        <v>43757</v>
      </c>
      <c r="AD210" s="493">
        <f>10669.6+18963.33</f>
        <v>29632.93</v>
      </c>
      <c r="AE210" s="494"/>
      <c r="AF210" s="451">
        <f t="shared" si="64"/>
        <v>29632.93</v>
      </c>
      <c r="AG210" s="449"/>
      <c r="AH210" s="452"/>
      <c r="AI210" s="450">
        <f>+AF210</f>
        <v>29632.93</v>
      </c>
      <c r="AJ210" s="453"/>
      <c r="AK210" s="454">
        <v>29632.93</v>
      </c>
      <c r="AL210" s="565">
        <v>29632.93</v>
      </c>
      <c r="AM210" s="495">
        <v>0</v>
      </c>
      <c r="AN210" s="494"/>
      <c r="AO210" s="451">
        <f t="shared" si="74"/>
        <v>0</v>
      </c>
      <c r="AP210" s="452">
        <v>0</v>
      </c>
      <c r="AQ210" s="453">
        <v>0</v>
      </c>
      <c r="AR210" s="497"/>
      <c r="AS210" s="456">
        <f t="shared" si="75"/>
        <v>0</v>
      </c>
      <c r="AT210" s="457"/>
      <c r="AU210" s="458"/>
      <c r="AV210" s="499"/>
      <c r="BB210" s="463">
        <f t="shared" si="76"/>
        <v>0</v>
      </c>
    </row>
    <row r="211" spans="1:54" s="439" customFormat="1" ht="45" x14ac:dyDescent="0.25">
      <c r="A211" s="442" t="s">
        <v>1367</v>
      </c>
      <c r="B211" s="442" t="s">
        <v>1853</v>
      </c>
      <c r="C211" s="443"/>
      <c r="D211" s="444" t="s">
        <v>1741</v>
      </c>
      <c r="E211" s="444"/>
      <c r="F211" s="444"/>
      <c r="G211" s="444"/>
      <c r="H211" s="444"/>
      <c r="I211" s="444"/>
      <c r="J211" s="444" t="s">
        <v>1534</v>
      </c>
      <c r="K211" s="444"/>
      <c r="L211" s="444"/>
      <c r="M211" s="476">
        <v>43790</v>
      </c>
      <c r="N211" s="444"/>
      <c r="O211" s="444"/>
      <c r="P211" s="444"/>
      <c r="Q211" s="444"/>
      <c r="R211" s="444"/>
      <c r="S211" s="445" t="s">
        <v>26</v>
      </c>
      <c r="T211" s="444" t="s">
        <v>85</v>
      </c>
      <c r="U211" s="475" t="s">
        <v>1368</v>
      </c>
      <c r="V211" s="475" t="s">
        <v>1490</v>
      </c>
      <c r="W211" s="446" t="s">
        <v>74</v>
      </c>
      <c r="X211" s="447">
        <v>43790</v>
      </c>
      <c r="Y211" s="447"/>
      <c r="Z211" s="447"/>
      <c r="AA211" s="447"/>
      <c r="AB211" s="447"/>
      <c r="AC211" s="447">
        <v>43790</v>
      </c>
      <c r="AD211" s="493">
        <v>3698.62</v>
      </c>
      <c r="AE211" s="494"/>
      <c r="AF211" s="451">
        <f t="shared" si="64"/>
        <v>3698.62</v>
      </c>
      <c r="AG211" s="449"/>
      <c r="AH211" s="452"/>
      <c r="AI211" s="450">
        <f>+AF211</f>
        <v>3698.62</v>
      </c>
      <c r="AJ211" s="453"/>
      <c r="AK211" s="454">
        <v>3698.62</v>
      </c>
      <c r="AL211" s="565">
        <v>3698.62</v>
      </c>
      <c r="AM211" s="495"/>
      <c r="AN211" s="494"/>
      <c r="AO211" s="451">
        <f t="shared" si="74"/>
        <v>0</v>
      </c>
      <c r="AP211" s="452">
        <v>0</v>
      </c>
      <c r="AQ211" s="453">
        <v>0</v>
      </c>
      <c r="AR211" s="498"/>
      <c r="AS211" s="456">
        <f t="shared" si="75"/>
        <v>0</v>
      </c>
      <c r="AT211" s="457"/>
      <c r="AU211" s="458"/>
      <c r="AV211" s="499"/>
      <c r="BB211" s="463">
        <f t="shared" si="76"/>
        <v>0</v>
      </c>
    </row>
    <row r="212" spans="1:54" s="439" customFormat="1" ht="75" x14ac:dyDescent="0.25">
      <c r="A212" s="442" t="s">
        <v>1370</v>
      </c>
      <c r="B212" s="442" t="s">
        <v>1853</v>
      </c>
      <c r="C212" s="443"/>
      <c r="D212" s="444"/>
      <c r="E212" s="444"/>
      <c r="F212" s="444"/>
      <c r="G212" s="444"/>
      <c r="H212" s="444"/>
      <c r="I212" s="444"/>
      <c r="J212" s="444" t="s">
        <v>1672</v>
      </c>
      <c r="K212" s="444"/>
      <c r="L212" s="444"/>
      <c r="M212" s="476">
        <v>43776</v>
      </c>
      <c r="N212" s="444"/>
      <c r="O212" s="444"/>
      <c r="P212" s="444"/>
      <c r="Q212" s="444"/>
      <c r="R212" s="444"/>
      <c r="S212" s="445" t="s">
        <v>26</v>
      </c>
      <c r="T212" s="444" t="s">
        <v>85</v>
      </c>
      <c r="U212" s="475" t="s">
        <v>1369</v>
      </c>
      <c r="V212" s="475" t="s">
        <v>1673</v>
      </c>
      <c r="W212" s="446" t="s">
        <v>74</v>
      </c>
      <c r="X212" s="447"/>
      <c r="Y212" s="447"/>
      <c r="Z212" s="447"/>
      <c r="AA212" s="447"/>
      <c r="AB212" s="447"/>
      <c r="AC212" s="447">
        <v>43776</v>
      </c>
      <c r="AD212" s="493">
        <v>111425</v>
      </c>
      <c r="AE212" s="494"/>
      <c r="AF212" s="451">
        <f t="shared" si="64"/>
        <v>111425</v>
      </c>
      <c r="AG212" s="449"/>
      <c r="AH212" s="452"/>
      <c r="AI212" s="450">
        <f>+AF212</f>
        <v>111425</v>
      </c>
      <c r="AJ212" s="453"/>
      <c r="AK212" s="454">
        <v>111425</v>
      </c>
      <c r="AL212" s="565">
        <v>111425</v>
      </c>
      <c r="AM212" s="495"/>
      <c r="AN212" s="494"/>
      <c r="AO212" s="451">
        <f t="shared" si="74"/>
        <v>0</v>
      </c>
      <c r="AP212" s="452">
        <v>0</v>
      </c>
      <c r="AQ212" s="453">
        <v>0</v>
      </c>
      <c r="AR212" s="498"/>
      <c r="AS212" s="456">
        <f t="shared" si="75"/>
        <v>0</v>
      </c>
      <c r="AT212" s="457"/>
      <c r="AU212" s="458"/>
      <c r="AV212" s="499"/>
      <c r="BB212" s="463">
        <f t="shared" si="76"/>
        <v>0</v>
      </c>
    </row>
    <row r="213" spans="1:54" s="439" customFormat="1" ht="30" x14ac:dyDescent="0.25">
      <c r="A213" s="442" t="s">
        <v>1371</v>
      </c>
      <c r="B213" s="442" t="s">
        <v>1853</v>
      </c>
      <c r="C213" s="443"/>
      <c r="D213" s="444"/>
      <c r="E213" s="444"/>
      <c r="F213" s="444"/>
      <c r="G213" s="444"/>
      <c r="H213" s="444"/>
      <c r="I213" s="444"/>
      <c r="J213" s="444" t="s">
        <v>1412</v>
      </c>
      <c r="K213" s="444"/>
      <c r="L213" s="444"/>
      <c r="M213" s="476"/>
      <c r="N213" s="444"/>
      <c r="O213" s="444"/>
      <c r="P213" s="444"/>
      <c r="Q213" s="444"/>
      <c r="R213" s="444"/>
      <c r="S213" s="523" t="s">
        <v>26</v>
      </c>
      <c r="T213" s="444" t="s">
        <v>85</v>
      </c>
      <c r="U213" s="475" t="s">
        <v>1375</v>
      </c>
      <c r="V213" s="475" t="s">
        <v>1418</v>
      </c>
      <c r="W213" s="446" t="s">
        <v>74</v>
      </c>
      <c r="X213" s="447"/>
      <c r="Y213" s="447"/>
      <c r="Z213" s="447"/>
      <c r="AA213" s="447"/>
      <c r="AB213" s="447"/>
      <c r="AC213" s="447">
        <v>43752</v>
      </c>
      <c r="AD213" s="493">
        <v>34777.99</v>
      </c>
      <c r="AE213" s="494"/>
      <c r="AF213" s="451">
        <f t="shared" si="64"/>
        <v>34777.99</v>
      </c>
      <c r="AG213" s="449"/>
      <c r="AH213" s="452"/>
      <c r="AI213" s="450"/>
      <c r="AJ213" s="453">
        <f t="shared" ref="AJ213" si="77">+AF213-SUM(AG213:AI213)</f>
        <v>34777.99</v>
      </c>
      <c r="AK213" s="454">
        <v>34777.99</v>
      </c>
      <c r="AL213" s="565">
        <v>34777.99</v>
      </c>
      <c r="AM213" s="495"/>
      <c r="AN213" s="494"/>
      <c r="AO213" s="451">
        <f t="shared" si="74"/>
        <v>0</v>
      </c>
      <c r="AP213" s="452">
        <v>0</v>
      </c>
      <c r="AQ213" s="453">
        <v>0</v>
      </c>
      <c r="AR213" s="497"/>
      <c r="AS213" s="456">
        <f t="shared" si="75"/>
        <v>0</v>
      </c>
      <c r="AT213" s="457"/>
      <c r="AU213" s="458"/>
      <c r="AV213" s="499"/>
      <c r="BB213" s="463">
        <f t="shared" si="76"/>
        <v>0</v>
      </c>
    </row>
    <row r="214" spans="1:54" s="439" customFormat="1" ht="30" x14ac:dyDescent="0.25">
      <c r="A214" s="442" t="s">
        <v>1410</v>
      </c>
      <c r="B214" s="442"/>
      <c r="C214" s="443"/>
      <c r="D214" s="444"/>
      <c r="E214" s="444"/>
      <c r="F214" s="444"/>
      <c r="G214" s="444"/>
      <c r="H214" s="444"/>
      <c r="I214" s="444"/>
      <c r="J214" s="444" t="s">
        <v>1412</v>
      </c>
      <c r="K214" s="444"/>
      <c r="L214" s="444"/>
      <c r="M214" s="476"/>
      <c r="N214" s="444"/>
      <c r="O214" s="444"/>
      <c r="P214" s="444"/>
      <c r="Q214" s="444"/>
      <c r="R214" s="444"/>
      <c r="S214" s="445" t="s">
        <v>26</v>
      </c>
      <c r="T214" s="444" t="s">
        <v>1262</v>
      </c>
      <c r="U214" s="475" t="s">
        <v>1411</v>
      </c>
      <c r="V214" s="475" t="s">
        <v>1491</v>
      </c>
      <c r="W214" s="446" t="s">
        <v>74</v>
      </c>
      <c r="X214" s="447"/>
      <c r="Y214" s="447"/>
      <c r="Z214" s="447"/>
      <c r="AA214" s="447"/>
      <c r="AB214" s="447"/>
      <c r="AC214" s="447"/>
      <c r="AD214" s="493"/>
      <c r="AE214" s="494"/>
      <c r="AF214" s="451">
        <f t="shared" si="64"/>
        <v>0</v>
      </c>
      <c r="AG214" s="449">
        <v>0</v>
      </c>
      <c r="AH214" s="452"/>
      <c r="AI214" s="450">
        <v>0</v>
      </c>
      <c r="AJ214" s="453"/>
      <c r="AK214" s="454">
        <f>AG214</f>
        <v>0</v>
      </c>
      <c r="AL214" s="565">
        <v>0</v>
      </c>
      <c r="AM214" s="449"/>
      <c r="AN214" s="494"/>
      <c r="AO214" s="451">
        <f t="shared" si="74"/>
        <v>0</v>
      </c>
      <c r="AP214" s="452">
        <v>0</v>
      </c>
      <c r="AQ214" s="453"/>
      <c r="AR214" s="498"/>
      <c r="AS214" s="456">
        <f t="shared" si="75"/>
        <v>0</v>
      </c>
      <c r="AT214" s="457"/>
      <c r="AU214" s="458"/>
      <c r="AV214" s="499"/>
      <c r="BB214" s="463">
        <f t="shared" si="76"/>
        <v>0</v>
      </c>
    </row>
    <row r="215" spans="1:54" s="439" customFormat="1" ht="30" x14ac:dyDescent="0.25">
      <c r="A215" s="442" t="s">
        <v>1372</v>
      </c>
      <c r="B215" s="442" t="s">
        <v>1544</v>
      </c>
      <c r="C215" s="443">
        <v>87</v>
      </c>
      <c r="D215" s="444" t="s">
        <v>1395</v>
      </c>
      <c r="E215" s="444"/>
      <c r="F215" s="444"/>
      <c r="G215" s="444"/>
      <c r="H215" s="444"/>
      <c r="I215" s="444"/>
      <c r="J215" s="444" t="s">
        <v>1616</v>
      </c>
      <c r="K215" s="444"/>
      <c r="L215" s="444"/>
      <c r="M215" s="476">
        <v>43843</v>
      </c>
      <c r="N215" s="476"/>
      <c r="O215" s="444"/>
      <c r="P215" s="444"/>
      <c r="Q215" s="444"/>
      <c r="R215" s="444"/>
      <c r="S215" s="445" t="s">
        <v>26</v>
      </c>
      <c r="T215" s="444" t="s">
        <v>85</v>
      </c>
      <c r="U215" s="475" t="s">
        <v>1373</v>
      </c>
      <c r="V215" s="475" t="s">
        <v>1374</v>
      </c>
      <c r="W215" s="446" t="s">
        <v>74</v>
      </c>
      <c r="X215" s="447"/>
      <c r="Y215" s="447"/>
      <c r="Z215" s="447"/>
      <c r="AA215" s="447"/>
      <c r="AB215" s="447"/>
      <c r="AC215" s="447" t="s">
        <v>1394</v>
      </c>
      <c r="AD215" s="493">
        <v>140299</v>
      </c>
      <c r="AE215" s="494"/>
      <c r="AF215" s="451">
        <f t="shared" si="64"/>
        <v>140299</v>
      </c>
      <c r="AG215" s="449"/>
      <c r="AH215" s="452"/>
      <c r="AI215" s="450">
        <v>125362.34</v>
      </c>
      <c r="AJ215" s="453"/>
      <c r="AK215" s="454">
        <f>AI215</f>
        <v>125362.34</v>
      </c>
      <c r="AL215" s="565">
        <v>140299</v>
      </c>
      <c r="AM215" s="495">
        <v>0</v>
      </c>
      <c r="AN215" s="494"/>
      <c r="AO215" s="451">
        <f t="shared" si="74"/>
        <v>0</v>
      </c>
      <c r="AP215" s="452">
        <v>0</v>
      </c>
      <c r="AQ215" s="453">
        <v>0</v>
      </c>
      <c r="AR215" s="497"/>
      <c r="AS215" s="456">
        <f t="shared" si="75"/>
        <v>-14936.660000000003</v>
      </c>
      <c r="AT215" s="457"/>
      <c r="AU215" s="458"/>
      <c r="AV215" s="499"/>
      <c r="BB215" s="463">
        <f t="shared" si="76"/>
        <v>0</v>
      </c>
    </row>
    <row r="216" spans="1:54" s="439" customFormat="1" ht="90" x14ac:dyDescent="0.25">
      <c r="A216" s="442" t="s">
        <v>1376</v>
      </c>
      <c r="B216" s="442" t="s">
        <v>124</v>
      </c>
      <c r="C216" s="443">
        <v>86</v>
      </c>
      <c r="D216" s="444" t="s">
        <v>1396</v>
      </c>
      <c r="E216" s="444"/>
      <c r="F216" s="444"/>
      <c r="G216" s="444"/>
      <c r="H216" s="444"/>
      <c r="I216" s="444"/>
      <c r="J216" s="444"/>
      <c r="K216" s="444"/>
      <c r="L216" s="444"/>
      <c r="M216" s="476"/>
      <c r="N216" s="444"/>
      <c r="O216" s="444"/>
      <c r="P216" s="444"/>
      <c r="Q216" s="444"/>
      <c r="R216" s="444"/>
      <c r="S216" s="445" t="s">
        <v>26</v>
      </c>
      <c r="T216" s="444" t="s">
        <v>1262</v>
      </c>
      <c r="U216" s="475" t="s">
        <v>1425</v>
      </c>
      <c r="V216" s="475" t="s">
        <v>1492</v>
      </c>
      <c r="W216" s="446" t="s">
        <v>74</v>
      </c>
      <c r="X216" s="447"/>
      <c r="Y216" s="447"/>
      <c r="Z216" s="447"/>
      <c r="AA216" s="447"/>
      <c r="AB216" s="447"/>
      <c r="AC216" s="447"/>
      <c r="AD216" s="493">
        <v>-228650.83</v>
      </c>
      <c r="AE216" s="494"/>
      <c r="AF216" s="451">
        <v>0</v>
      </c>
      <c r="AG216" s="493"/>
      <c r="AH216" s="495"/>
      <c r="AI216" s="450">
        <v>0</v>
      </c>
      <c r="AJ216" s="453"/>
      <c r="AK216" s="454">
        <f>AG216</f>
        <v>0</v>
      </c>
      <c r="AL216" s="565">
        <v>0</v>
      </c>
      <c r="AM216" s="449"/>
      <c r="AN216" s="494"/>
      <c r="AO216" s="451">
        <f t="shared" si="74"/>
        <v>0</v>
      </c>
      <c r="AP216" s="452">
        <v>0</v>
      </c>
      <c r="AQ216" s="453">
        <v>0</v>
      </c>
      <c r="AR216" s="498"/>
      <c r="AS216" s="456">
        <f t="shared" si="75"/>
        <v>0</v>
      </c>
      <c r="AT216" s="457"/>
      <c r="AU216" s="458"/>
      <c r="AV216" s="499"/>
      <c r="BB216" s="463">
        <f t="shared" si="76"/>
        <v>0</v>
      </c>
    </row>
    <row r="217" spans="1:54" s="439" customFormat="1" ht="78.75" x14ac:dyDescent="0.25">
      <c r="A217" s="442" t="s">
        <v>1377</v>
      </c>
      <c r="B217" s="442" t="s">
        <v>124</v>
      </c>
      <c r="C217" s="443"/>
      <c r="D217" s="444"/>
      <c r="E217" s="444"/>
      <c r="F217" s="444"/>
      <c r="G217" s="444"/>
      <c r="H217" s="444"/>
      <c r="I217" s="444"/>
      <c r="J217" s="444" t="s">
        <v>1413</v>
      </c>
      <c r="K217" s="444"/>
      <c r="L217" s="444"/>
      <c r="M217" s="476">
        <v>43757</v>
      </c>
      <c r="N217" s="444"/>
      <c r="O217" s="444"/>
      <c r="P217" s="444"/>
      <c r="Q217" s="444"/>
      <c r="R217" s="444"/>
      <c r="S217" s="445" t="s">
        <v>143</v>
      </c>
      <c r="T217" s="444" t="s">
        <v>85</v>
      </c>
      <c r="U217" s="475" t="s">
        <v>1384</v>
      </c>
      <c r="V217" s="475" t="s">
        <v>1417</v>
      </c>
      <c r="W217" s="446" t="s">
        <v>74</v>
      </c>
      <c r="X217" s="447"/>
      <c r="Y217" s="447"/>
      <c r="Z217" s="447"/>
      <c r="AA217" s="447"/>
      <c r="AB217" s="447"/>
      <c r="AC217" s="447">
        <v>43757</v>
      </c>
      <c r="AD217" s="493" t="s">
        <v>124</v>
      </c>
      <c r="AE217" s="494"/>
      <c r="AF217" s="451">
        <f t="shared" si="64"/>
        <v>0</v>
      </c>
      <c r="AG217" s="493"/>
      <c r="AH217" s="495"/>
      <c r="AI217" s="450">
        <f>+AF217</f>
        <v>0</v>
      </c>
      <c r="AJ217" s="453"/>
      <c r="AK217" s="454"/>
      <c r="AL217" s="565"/>
      <c r="AM217" s="495"/>
      <c r="AN217" s="494"/>
      <c r="AO217" s="451">
        <f t="shared" si="74"/>
        <v>0</v>
      </c>
      <c r="AP217" s="452">
        <v>0</v>
      </c>
      <c r="AQ217" s="453">
        <v>0</v>
      </c>
      <c r="AR217" s="498"/>
      <c r="AS217" s="456">
        <f t="shared" si="75"/>
        <v>0</v>
      </c>
      <c r="AT217" s="457"/>
      <c r="AU217" s="458"/>
      <c r="AV217" s="499"/>
      <c r="BB217" s="463">
        <f t="shared" si="76"/>
        <v>0</v>
      </c>
    </row>
    <row r="218" spans="1:54" s="439" customFormat="1" ht="78.75" x14ac:dyDescent="0.25">
      <c r="A218" s="442" t="s">
        <v>1378</v>
      </c>
      <c r="B218" s="442" t="s">
        <v>124</v>
      </c>
      <c r="C218" s="443"/>
      <c r="D218" s="444"/>
      <c r="E218" s="444"/>
      <c r="F218" s="444"/>
      <c r="G218" s="444"/>
      <c r="H218" s="444"/>
      <c r="I218" s="444"/>
      <c r="J218" s="444" t="s">
        <v>1406</v>
      </c>
      <c r="K218" s="444"/>
      <c r="L218" s="444"/>
      <c r="M218" s="476">
        <v>43751</v>
      </c>
      <c r="N218" s="444"/>
      <c r="O218" s="444"/>
      <c r="P218" s="444"/>
      <c r="Q218" s="444"/>
      <c r="R218" s="444"/>
      <c r="S218" s="445" t="s">
        <v>143</v>
      </c>
      <c r="T218" s="444" t="s">
        <v>85</v>
      </c>
      <c r="U218" s="475" t="s">
        <v>1387</v>
      </c>
      <c r="V218" s="475" t="s">
        <v>1386</v>
      </c>
      <c r="W218" s="446" t="s">
        <v>74</v>
      </c>
      <c r="X218" s="447"/>
      <c r="Y218" s="447"/>
      <c r="Z218" s="447"/>
      <c r="AA218" s="447"/>
      <c r="AB218" s="447"/>
      <c r="AC218" s="447">
        <v>43751</v>
      </c>
      <c r="AD218" s="493" t="s">
        <v>124</v>
      </c>
      <c r="AE218" s="494"/>
      <c r="AF218" s="451">
        <f t="shared" si="64"/>
        <v>0</v>
      </c>
      <c r="AG218" s="493"/>
      <c r="AH218" s="495"/>
      <c r="AI218" s="450">
        <f>+AF218</f>
        <v>0</v>
      </c>
      <c r="AJ218" s="453"/>
      <c r="AK218" s="454"/>
      <c r="AL218" s="565"/>
      <c r="AM218" s="495"/>
      <c r="AN218" s="494"/>
      <c r="AO218" s="451">
        <f t="shared" si="74"/>
        <v>0</v>
      </c>
      <c r="AP218" s="452">
        <v>0</v>
      </c>
      <c r="AQ218" s="453">
        <v>0</v>
      </c>
      <c r="AR218" s="498"/>
      <c r="AS218" s="456">
        <f t="shared" si="75"/>
        <v>0</v>
      </c>
      <c r="AT218" s="457"/>
      <c r="AU218" s="458"/>
      <c r="AV218" s="499"/>
      <c r="BB218" s="463">
        <f t="shared" si="76"/>
        <v>0</v>
      </c>
    </row>
    <row r="219" spans="1:54" s="439" customFormat="1" ht="30" x14ac:dyDescent="0.25">
      <c r="A219" s="442" t="s">
        <v>1388</v>
      </c>
      <c r="B219" s="442" t="s">
        <v>124</v>
      </c>
      <c r="C219" s="443"/>
      <c r="D219" s="444"/>
      <c r="E219" s="444"/>
      <c r="F219" s="444"/>
      <c r="G219" s="444"/>
      <c r="H219" s="444"/>
      <c r="I219" s="444"/>
      <c r="J219" s="444" t="s">
        <v>1403</v>
      </c>
      <c r="K219" s="444"/>
      <c r="L219" s="444"/>
      <c r="M219" s="476">
        <v>43755</v>
      </c>
      <c r="N219" s="444"/>
      <c r="O219" s="444"/>
      <c r="P219" s="444"/>
      <c r="Q219" s="444"/>
      <c r="R219" s="444"/>
      <c r="S219" s="445" t="s">
        <v>26</v>
      </c>
      <c r="T219" s="444" t="s">
        <v>1262</v>
      </c>
      <c r="U219" s="475" t="s">
        <v>1389</v>
      </c>
      <c r="V219" s="475" t="s">
        <v>1390</v>
      </c>
      <c r="W219" s="446" t="s">
        <v>74</v>
      </c>
      <c r="X219" s="447"/>
      <c r="Y219" s="447"/>
      <c r="Z219" s="447"/>
      <c r="AA219" s="447"/>
      <c r="AB219" s="447"/>
      <c r="AC219" s="447">
        <v>43755</v>
      </c>
      <c r="AD219" s="493">
        <v>845814.96</v>
      </c>
      <c r="AE219" s="494"/>
      <c r="AF219" s="451">
        <v>0</v>
      </c>
      <c r="AG219" s="493">
        <v>0</v>
      </c>
      <c r="AH219" s="495"/>
      <c r="AI219" s="450">
        <v>0</v>
      </c>
      <c r="AJ219" s="453"/>
      <c r="AK219" s="454">
        <v>0</v>
      </c>
      <c r="AL219" s="565">
        <v>0</v>
      </c>
      <c r="AM219" s="449"/>
      <c r="AN219" s="494"/>
      <c r="AO219" s="451">
        <f t="shared" si="74"/>
        <v>0</v>
      </c>
      <c r="AP219" s="452">
        <v>0</v>
      </c>
      <c r="AQ219" s="453">
        <v>0</v>
      </c>
      <c r="AR219" s="498"/>
      <c r="AS219" s="456">
        <f t="shared" si="75"/>
        <v>0</v>
      </c>
      <c r="AT219" s="457"/>
      <c r="AU219" s="458"/>
      <c r="AV219" s="499"/>
      <c r="BB219" s="463">
        <f t="shared" si="76"/>
        <v>0</v>
      </c>
    </row>
    <row r="220" spans="1:54" s="439" customFormat="1" ht="78.75" x14ac:dyDescent="0.25">
      <c r="A220" s="442" t="s">
        <v>1391</v>
      </c>
      <c r="B220" s="442" t="s">
        <v>124</v>
      </c>
      <c r="C220" s="443"/>
      <c r="D220" s="444"/>
      <c r="E220" s="444"/>
      <c r="F220" s="444"/>
      <c r="G220" s="444"/>
      <c r="H220" s="444"/>
      <c r="I220" s="444"/>
      <c r="J220" s="444" t="s">
        <v>1585</v>
      </c>
      <c r="K220" s="444"/>
      <c r="L220" s="444"/>
      <c r="M220" s="476">
        <v>43819</v>
      </c>
      <c r="N220" s="444"/>
      <c r="O220" s="444" t="s">
        <v>622</v>
      </c>
      <c r="P220" s="444" t="s">
        <v>1883</v>
      </c>
      <c r="Q220" s="444"/>
      <c r="R220" s="444"/>
      <c r="S220" s="445" t="s">
        <v>143</v>
      </c>
      <c r="T220" s="444" t="s">
        <v>85</v>
      </c>
      <c r="U220" s="475" t="s">
        <v>1407</v>
      </c>
      <c r="V220" s="475" t="s">
        <v>1623</v>
      </c>
      <c r="W220" s="446" t="s">
        <v>74</v>
      </c>
      <c r="X220" s="447"/>
      <c r="Y220" s="447"/>
      <c r="Z220" s="447"/>
      <c r="AA220" s="447"/>
      <c r="AB220" s="447"/>
      <c r="AC220" s="476">
        <v>43819</v>
      </c>
      <c r="AD220" s="493">
        <v>44405.41</v>
      </c>
      <c r="AE220" s="494"/>
      <c r="AF220" s="451">
        <f t="shared" si="64"/>
        <v>44405.41</v>
      </c>
      <c r="AG220" s="493"/>
      <c r="AH220" s="495"/>
      <c r="AI220" s="496">
        <f>AF220</f>
        <v>44405.41</v>
      </c>
      <c r="AJ220" s="453"/>
      <c r="AK220" s="454"/>
      <c r="AL220" s="565"/>
      <c r="AM220" s="495">
        <v>31718.15</v>
      </c>
      <c r="AN220" s="494"/>
      <c r="AO220" s="451">
        <f t="shared" si="74"/>
        <v>31718.15</v>
      </c>
      <c r="AP220" s="452">
        <f>AO220</f>
        <v>31718.15</v>
      </c>
      <c r="AQ220" s="453">
        <v>0</v>
      </c>
      <c r="AR220" s="498"/>
      <c r="AS220" s="456">
        <f t="shared" si="75"/>
        <v>0</v>
      </c>
      <c r="AT220" s="457"/>
      <c r="AU220" s="458"/>
      <c r="AV220" s="499"/>
      <c r="BB220" s="463">
        <f>(AM220+AN220)-AO220</f>
        <v>0</v>
      </c>
    </row>
    <row r="221" spans="1:54" s="439" customFormat="1" ht="45" x14ac:dyDescent="0.25">
      <c r="A221" s="442" t="s">
        <v>1385</v>
      </c>
      <c r="B221" s="442" t="s">
        <v>1647</v>
      </c>
      <c r="C221" s="443"/>
      <c r="D221" s="444"/>
      <c r="E221" s="444"/>
      <c r="F221" s="444"/>
      <c r="G221" s="444"/>
      <c r="H221" s="444"/>
      <c r="I221" s="444"/>
      <c r="J221" s="444" t="s">
        <v>1574</v>
      </c>
      <c r="K221" s="444"/>
      <c r="L221" s="444"/>
      <c r="M221" s="476">
        <v>43813</v>
      </c>
      <c r="N221" s="444"/>
      <c r="O221" s="444"/>
      <c r="P221" s="444"/>
      <c r="Q221" s="444"/>
      <c r="R221" s="444"/>
      <c r="S221" s="523" t="s">
        <v>26</v>
      </c>
      <c r="T221" s="444" t="s">
        <v>85</v>
      </c>
      <c r="U221" s="475" t="s">
        <v>1379</v>
      </c>
      <c r="V221" s="475" t="s">
        <v>1380</v>
      </c>
      <c r="W221" s="446" t="s">
        <v>74</v>
      </c>
      <c r="X221" s="447"/>
      <c r="Y221" s="447"/>
      <c r="Z221" s="447"/>
      <c r="AA221" s="447"/>
      <c r="AB221" s="447"/>
      <c r="AC221" s="476">
        <v>43813</v>
      </c>
      <c r="AD221" s="493">
        <v>4545.43</v>
      </c>
      <c r="AE221" s="494">
        <f>-400*1.05</f>
        <v>-420</v>
      </c>
      <c r="AF221" s="451">
        <f t="shared" si="64"/>
        <v>4125.43</v>
      </c>
      <c r="AG221" s="493"/>
      <c r="AH221" s="495"/>
      <c r="AI221" s="450">
        <f>+AF221</f>
        <v>4125.43</v>
      </c>
      <c r="AJ221" s="453"/>
      <c r="AK221" s="454">
        <v>4125.43</v>
      </c>
      <c r="AL221" s="565">
        <v>4125.43</v>
      </c>
      <c r="AM221" s="495"/>
      <c r="AN221" s="494"/>
      <c r="AO221" s="451">
        <f t="shared" si="74"/>
        <v>0</v>
      </c>
      <c r="AP221" s="452">
        <v>0</v>
      </c>
      <c r="AQ221" s="453">
        <v>0</v>
      </c>
      <c r="AR221" s="498"/>
      <c r="AS221" s="456">
        <f t="shared" si="75"/>
        <v>0</v>
      </c>
      <c r="AT221" s="457"/>
      <c r="AU221" s="458"/>
      <c r="AV221" s="499"/>
      <c r="BB221" s="463">
        <f>(AM221+AN221)-AO221</f>
        <v>0</v>
      </c>
    </row>
    <row r="222" spans="1:54" s="439" customFormat="1" ht="30" x14ac:dyDescent="0.25">
      <c r="A222" s="442" t="s">
        <v>1399</v>
      </c>
      <c r="B222" s="442" t="s">
        <v>124</v>
      </c>
      <c r="C222" s="443">
        <v>84</v>
      </c>
      <c r="D222" s="444"/>
      <c r="E222" s="444"/>
      <c r="F222" s="444"/>
      <c r="G222" s="444"/>
      <c r="H222" s="444"/>
      <c r="I222" s="444"/>
      <c r="J222" s="444"/>
      <c r="K222" s="444"/>
      <c r="L222" s="444"/>
      <c r="M222" s="476"/>
      <c r="N222" s="444"/>
      <c r="O222" s="444"/>
      <c r="P222" s="444"/>
      <c r="Q222" s="444"/>
      <c r="R222" s="444"/>
      <c r="S222" s="445" t="s">
        <v>26</v>
      </c>
      <c r="T222" s="444" t="s">
        <v>1262</v>
      </c>
      <c r="U222" s="475" t="s">
        <v>1400</v>
      </c>
      <c r="V222" s="475"/>
      <c r="W222" s="446" t="s">
        <v>74</v>
      </c>
      <c r="X222" s="447"/>
      <c r="Y222" s="447"/>
      <c r="Z222" s="447"/>
      <c r="AA222" s="447"/>
      <c r="AB222" s="447"/>
      <c r="AC222" s="447"/>
      <c r="AD222" s="493">
        <v>-107886.36</v>
      </c>
      <c r="AE222" s="494">
        <v>107886.36</v>
      </c>
      <c r="AF222" s="451">
        <f t="shared" si="64"/>
        <v>0</v>
      </c>
      <c r="AG222" s="493"/>
      <c r="AH222" s="495"/>
      <c r="AI222" s="496"/>
      <c r="AJ222" s="453"/>
      <c r="AK222" s="454">
        <v>0</v>
      </c>
      <c r="AL222" s="565">
        <v>0</v>
      </c>
      <c r="AM222" s="449"/>
      <c r="AN222" s="494"/>
      <c r="AO222" s="451">
        <f t="shared" si="74"/>
        <v>0</v>
      </c>
      <c r="AP222" s="452">
        <v>0</v>
      </c>
      <c r="AQ222" s="453">
        <v>0</v>
      </c>
      <c r="AR222" s="498"/>
      <c r="AS222" s="456">
        <f t="shared" si="75"/>
        <v>0</v>
      </c>
      <c r="AT222" s="457"/>
      <c r="AU222" s="458"/>
      <c r="AV222" s="499"/>
      <c r="BB222" s="463">
        <f t="shared" si="76"/>
        <v>0</v>
      </c>
    </row>
    <row r="223" spans="1:54" s="439" customFormat="1" ht="78.75" x14ac:dyDescent="0.25">
      <c r="A223" s="442" t="s">
        <v>1401</v>
      </c>
      <c r="B223" s="442" t="s">
        <v>124</v>
      </c>
      <c r="C223" s="443"/>
      <c r="D223" s="444"/>
      <c r="E223" s="444"/>
      <c r="F223" s="444"/>
      <c r="G223" s="444"/>
      <c r="H223" s="444"/>
      <c r="I223" s="444"/>
      <c r="J223" s="444" t="s">
        <v>1405</v>
      </c>
      <c r="K223" s="444"/>
      <c r="L223" s="444"/>
      <c r="M223" s="476">
        <v>43755</v>
      </c>
      <c r="N223" s="444"/>
      <c r="O223" s="444" t="s">
        <v>622</v>
      </c>
      <c r="P223" s="444" t="s">
        <v>1883</v>
      </c>
      <c r="Q223" s="444"/>
      <c r="R223" s="444"/>
      <c r="S223" s="445" t="s">
        <v>143</v>
      </c>
      <c r="T223" s="444" t="s">
        <v>85</v>
      </c>
      <c r="U223" s="475" t="s">
        <v>1392</v>
      </c>
      <c r="V223" s="475" t="s">
        <v>1493</v>
      </c>
      <c r="W223" s="446" t="s">
        <v>74</v>
      </c>
      <c r="X223" s="447"/>
      <c r="Y223" s="447"/>
      <c r="Z223" s="447"/>
      <c r="AA223" s="447"/>
      <c r="AB223" s="447"/>
      <c r="AC223" s="447">
        <v>43755</v>
      </c>
      <c r="AD223" s="493">
        <v>162979.26</v>
      </c>
      <c r="AE223" s="494">
        <v>0</v>
      </c>
      <c r="AF223" s="451">
        <f t="shared" si="64"/>
        <v>162979.26</v>
      </c>
      <c r="AG223" s="493"/>
      <c r="AH223" s="495"/>
      <c r="AI223" s="450">
        <f>+AF223</f>
        <v>162979.26</v>
      </c>
      <c r="AJ223" s="453"/>
      <c r="AK223" s="454"/>
      <c r="AL223" s="565"/>
      <c r="AM223" s="495"/>
      <c r="AN223" s="494"/>
      <c r="AO223" s="451">
        <f t="shared" si="74"/>
        <v>0</v>
      </c>
      <c r="AP223" s="452">
        <v>0</v>
      </c>
      <c r="AQ223" s="453">
        <v>0</v>
      </c>
      <c r="AR223" s="498"/>
      <c r="AS223" s="456">
        <f t="shared" si="75"/>
        <v>0</v>
      </c>
      <c r="AT223" s="457"/>
      <c r="AU223" s="458"/>
      <c r="AV223" s="499"/>
      <c r="BB223" s="463">
        <f>(AM223+AN223)-AO223</f>
        <v>0</v>
      </c>
    </row>
    <row r="224" spans="1:54" s="439" customFormat="1" ht="45" x14ac:dyDescent="0.25">
      <c r="A224" s="442" t="s">
        <v>1402</v>
      </c>
      <c r="B224" s="442" t="s">
        <v>1544</v>
      </c>
      <c r="C224" s="443">
        <v>85</v>
      </c>
      <c r="D224" s="444" t="s">
        <v>1517</v>
      </c>
      <c r="E224" s="444"/>
      <c r="F224" s="444"/>
      <c r="G224" s="444"/>
      <c r="H224" s="444"/>
      <c r="I224" s="444"/>
      <c r="J224" s="444" t="s">
        <v>1462</v>
      </c>
      <c r="K224" s="444"/>
      <c r="L224" s="444"/>
      <c r="M224" s="476">
        <v>43773</v>
      </c>
      <c r="N224" s="444"/>
      <c r="O224" s="444"/>
      <c r="P224" s="444"/>
      <c r="Q224" s="444"/>
      <c r="R224" s="444"/>
      <c r="S224" s="445" t="s">
        <v>26</v>
      </c>
      <c r="T224" s="444" t="s">
        <v>85</v>
      </c>
      <c r="U224" s="475" t="s">
        <v>1494</v>
      </c>
      <c r="V224" s="475" t="s">
        <v>1416</v>
      </c>
      <c r="W224" s="446" t="s">
        <v>74</v>
      </c>
      <c r="X224" s="447"/>
      <c r="Y224" s="447"/>
      <c r="Z224" s="447"/>
      <c r="AA224" s="447"/>
      <c r="AB224" s="447"/>
      <c r="AC224" s="447" t="s">
        <v>1420</v>
      </c>
      <c r="AD224" s="493">
        <v>558</v>
      </c>
      <c r="AE224" s="494"/>
      <c r="AF224" s="451">
        <f t="shared" si="64"/>
        <v>558</v>
      </c>
      <c r="AG224" s="493"/>
      <c r="AH224" s="495"/>
      <c r="AI224" s="496">
        <v>558</v>
      </c>
      <c r="AJ224" s="453"/>
      <c r="AK224" s="454">
        <f>AF224</f>
        <v>558</v>
      </c>
      <c r="AL224" s="565">
        <v>558</v>
      </c>
      <c r="AM224" s="495"/>
      <c r="AN224" s="494"/>
      <c r="AO224" s="451">
        <f t="shared" si="74"/>
        <v>0</v>
      </c>
      <c r="AP224" s="452">
        <v>0</v>
      </c>
      <c r="AQ224" s="453">
        <v>0</v>
      </c>
      <c r="AR224" s="498"/>
      <c r="AS224" s="456">
        <f t="shared" si="75"/>
        <v>0</v>
      </c>
      <c r="AT224" s="457"/>
      <c r="AU224" s="458"/>
      <c r="AV224" s="499"/>
      <c r="BB224" s="463">
        <f t="shared" si="76"/>
        <v>0</v>
      </c>
    </row>
    <row r="225" spans="1:54" s="439" customFormat="1" ht="78.75" x14ac:dyDescent="0.25">
      <c r="A225" s="442" t="s">
        <v>1414</v>
      </c>
      <c r="B225" s="442" t="s">
        <v>124</v>
      </c>
      <c r="C225" s="443"/>
      <c r="D225" s="444"/>
      <c r="E225" s="444"/>
      <c r="F225" s="444"/>
      <c r="G225" s="444"/>
      <c r="H225" s="444"/>
      <c r="I225" s="444"/>
      <c r="J225" s="444" t="s">
        <v>1419</v>
      </c>
      <c r="K225" s="444"/>
      <c r="L225" s="444"/>
      <c r="M225" s="476"/>
      <c r="N225" s="444"/>
      <c r="O225" s="444"/>
      <c r="P225" s="444"/>
      <c r="Q225" s="444"/>
      <c r="R225" s="444"/>
      <c r="S225" s="445" t="s">
        <v>143</v>
      </c>
      <c r="T225" s="444" t="s">
        <v>85</v>
      </c>
      <c r="U225" s="475" t="s">
        <v>1415</v>
      </c>
      <c r="V225" s="475" t="s">
        <v>1495</v>
      </c>
      <c r="W225" s="446" t="s">
        <v>74</v>
      </c>
      <c r="X225" s="447"/>
      <c r="Y225" s="447"/>
      <c r="Z225" s="447"/>
      <c r="AA225" s="447"/>
      <c r="AB225" s="447"/>
      <c r="AC225" s="447">
        <v>43757</v>
      </c>
      <c r="AD225" s="493" t="s">
        <v>124</v>
      </c>
      <c r="AE225" s="494"/>
      <c r="AF225" s="451">
        <f t="shared" ref="AF225:AF270" si="78">+SUM(AD225:AE225)</f>
        <v>0</v>
      </c>
      <c r="AG225" s="493"/>
      <c r="AH225" s="495"/>
      <c r="AI225" s="496"/>
      <c r="AJ225" s="453"/>
      <c r="AK225" s="454"/>
      <c r="AL225" s="565"/>
      <c r="AM225" s="495"/>
      <c r="AN225" s="494"/>
      <c r="AO225" s="451">
        <f t="shared" si="74"/>
        <v>0</v>
      </c>
      <c r="AP225" s="452">
        <v>0</v>
      </c>
      <c r="AQ225" s="453">
        <v>0</v>
      </c>
      <c r="AR225" s="498"/>
      <c r="AS225" s="456">
        <f t="shared" si="75"/>
        <v>0</v>
      </c>
      <c r="AT225" s="457"/>
      <c r="AU225" s="458"/>
      <c r="AV225" s="499"/>
      <c r="BB225" s="463">
        <f t="shared" si="76"/>
        <v>0</v>
      </c>
    </row>
    <row r="226" spans="1:54" s="439" customFormat="1" ht="30" x14ac:dyDescent="0.25">
      <c r="A226" s="442" t="s">
        <v>1431</v>
      </c>
      <c r="B226" s="442"/>
      <c r="C226" s="443"/>
      <c r="D226" s="444"/>
      <c r="E226" s="444"/>
      <c r="F226" s="444"/>
      <c r="G226" s="444"/>
      <c r="H226" s="444"/>
      <c r="I226" s="444"/>
      <c r="J226" s="444"/>
      <c r="K226" s="444"/>
      <c r="L226" s="444"/>
      <c r="M226" s="476"/>
      <c r="N226" s="444"/>
      <c r="O226" s="444"/>
      <c r="P226" s="444"/>
      <c r="Q226" s="444"/>
      <c r="R226" s="444"/>
      <c r="S226" s="445" t="s">
        <v>26</v>
      </c>
      <c r="T226" s="444" t="s">
        <v>1262</v>
      </c>
      <c r="U226" s="475" t="s">
        <v>1432</v>
      </c>
      <c r="V226" s="475"/>
      <c r="W226" s="446" t="s">
        <v>74</v>
      </c>
      <c r="X226" s="447"/>
      <c r="Y226" s="447"/>
      <c r="Z226" s="447"/>
      <c r="AA226" s="447"/>
      <c r="AB226" s="447"/>
      <c r="AC226" s="447"/>
      <c r="AD226" s="493">
        <v>-553945</v>
      </c>
      <c r="AE226" s="494"/>
      <c r="AF226" s="451">
        <f t="shared" si="78"/>
        <v>-553945</v>
      </c>
      <c r="AG226" s="493">
        <f>AF226</f>
        <v>-553945</v>
      </c>
      <c r="AH226" s="495"/>
      <c r="AI226" s="496"/>
      <c r="AJ226" s="453"/>
      <c r="AK226" s="454">
        <v>-553945</v>
      </c>
      <c r="AL226" s="565">
        <v>-553945</v>
      </c>
      <c r="AM226" s="449"/>
      <c r="AN226" s="494"/>
      <c r="AO226" s="451">
        <f t="shared" si="74"/>
        <v>0</v>
      </c>
      <c r="AP226" s="452">
        <v>0</v>
      </c>
      <c r="AQ226" s="453">
        <v>0</v>
      </c>
      <c r="AR226" s="498"/>
      <c r="AS226" s="456">
        <f t="shared" si="75"/>
        <v>0</v>
      </c>
      <c r="AT226" s="457"/>
      <c r="AU226" s="458"/>
      <c r="AV226" s="499"/>
      <c r="BB226" s="463">
        <f t="shared" si="76"/>
        <v>0</v>
      </c>
    </row>
    <row r="227" spans="1:54" s="439" customFormat="1" ht="30" x14ac:dyDescent="0.25">
      <c r="A227" s="442" t="s">
        <v>1434</v>
      </c>
      <c r="B227" s="442"/>
      <c r="C227" s="443"/>
      <c r="D227" s="444"/>
      <c r="E227" s="444"/>
      <c r="F227" s="444"/>
      <c r="G227" s="444"/>
      <c r="H227" s="444"/>
      <c r="I227" s="444"/>
      <c r="J227" s="444"/>
      <c r="K227" s="444"/>
      <c r="L227" s="444"/>
      <c r="M227" s="476"/>
      <c r="N227" s="444"/>
      <c r="O227" s="444"/>
      <c r="P227" s="444"/>
      <c r="Q227" s="444"/>
      <c r="R227" s="444"/>
      <c r="S227" s="445" t="s">
        <v>26</v>
      </c>
      <c r="T227" s="444" t="s">
        <v>1262</v>
      </c>
      <c r="U227" s="475" t="s">
        <v>1435</v>
      </c>
      <c r="V227" s="475"/>
      <c r="W227" s="446" t="s">
        <v>74</v>
      </c>
      <c r="X227" s="447"/>
      <c r="Y227" s="447"/>
      <c r="Z227" s="447"/>
      <c r="AA227" s="447"/>
      <c r="AB227" s="447"/>
      <c r="AC227" s="447"/>
      <c r="AD227" s="493">
        <v>3719347.61</v>
      </c>
      <c r="AE227" s="494">
        <v>-3719347.61</v>
      </c>
      <c r="AF227" s="451">
        <f t="shared" si="78"/>
        <v>0</v>
      </c>
      <c r="AG227" s="493">
        <f>AF227</f>
        <v>0</v>
      </c>
      <c r="AH227" s="495"/>
      <c r="AI227" s="496"/>
      <c r="AJ227" s="453"/>
      <c r="AK227" s="565">
        <f>AD227</f>
        <v>3719347.61</v>
      </c>
      <c r="AL227" s="565">
        <v>0</v>
      </c>
      <c r="AM227" s="449"/>
      <c r="AN227" s="494"/>
      <c r="AO227" s="451">
        <f t="shared" si="74"/>
        <v>0</v>
      </c>
      <c r="AP227" s="452">
        <v>0</v>
      </c>
      <c r="AQ227" s="453">
        <v>0</v>
      </c>
      <c r="AR227" s="498"/>
      <c r="AS227" s="456">
        <f t="shared" si="75"/>
        <v>3719347.61</v>
      </c>
      <c r="AT227" s="457"/>
      <c r="AU227" s="458"/>
      <c r="AV227" s="499"/>
      <c r="BB227" s="463">
        <f t="shared" si="76"/>
        <v>0</v>
      </c>
    </row>
    <row r="228" spans="1:54" s="439" customFormat="1" ht="30" x14ac:dyDescent="0.25">
      <c r="A228" s="442" t="s">
        <v>1436</v>
      </c>
      <c r="B228" s="442"/>
      <c r="C228" s="443"/>
      <c r="D228" s="444"/>
      <c r="E228" s="444"/>
      <c r="F228" s="444"/>
      <c r="G228" s="444"/>
      <c r="H228" s="444"/>
      <c r="I228" s="444"/>
      <c r="J228" s="444"/>
      <c r="K228" s="444"/>
      <c r="L228" s="444"/>
      <c r="M228" s="476"/>
      <c r="N228" s="444"/>
      <c r="O228" s="444"/>
      <c r="P228" s="444"/>
      <c r="Q228" s="444"/>
      <c r="R228" s="444"/>
      <c r="S228" s="445" t="s">
        <v>26</v>
      </c>
      <c r="T228" s="444" t="s">
        <v>1262</v>
      </c>
      <c r="U228" s="475" t="s">
        <v>1437</v>
      </c>
      <c r="V228" s="475"/>
      <c r="W228" s="446" t="s">
        <v>74</v>
      </c>
      <c r="X228" s="447"/>
      <c r="Y228" s="447"/>
      <c r="Z228" s="447"/>
      <c r="AA228" s="447"/>
      <c r="AB228" s="447"/>
      <c r="AC228" s="447"/>
      <c r="AD228" s="493">
        <v>0</v>
      </c>
      <c r="AE228" s="494"/>
      <c r="AF228" s="451">
        <f t="shared" si="78"/>
        <v>0</v>
      </c>
      <c r="AG228" s="493">
        <f>AF228</f>
        <v>0</v>
      </c>
      <c r="AH228" s="495"/>
      <c r="AI228" s="496"/>
      <c r="AJ228" s="453"/>
      <c r="AK228" s="454">
        <f>AF228</f>
        <v>0</v>
      </c>
      <c r="AL228" s="565">
        <v>0</v>
      </c>
      <c r="AM228" s="449"/>
      <c r="AN228" s="494"/>
      <c r="AO228" s="451">
        <f t="shared" si="74"/>
        <v>0</v>
      </c>
      <c r="AP228" s="452">
        <v>0</v>
      </c>
      <c r="AQ228" s="453">
        <v>0</v>
      </c>
      <c r="AR228" s="498"/>
      <c r="AS228" s="456">
        <f t="shared" si="75"/>
        <v>0</v>
      </c>
      <c r="AT228" s="457"/>
      <c r="AU228" s="458"/>
      <c r="AV228" s="499"/>
      <c r="BB228" s="463">
        <f t="shared" si="76"/>
        <v>0</v>
      </c>
    </row>
    <row r="229" spans="1:54" s="439" customFormat="1" ht="60" x14ac:dyDescent="0.25">
      <c r="A229" s="442" t="s">
        <v>1443</v>
      </c>
      <c r="B229" s="442" t="s">
        <v>1647</v>
      </c>
      <c r="C229" s="443">
        <v>97</v>
      </c>
      <c r="D229" s="444"/>
      <c r="E229" s="444"/>
      <c r="F229" s="444"/>
      <c r="G229" s="444"/>
      <c r="H229" s="444"/>
      <c r="I229" s="444"/>
      <c r="J229" s="444" t="s">
        <v>1456</v>
      </c>
      <c r="K229" s="444"/>
      <c r="L229" s="444"/>
      <c r="M229" s="476">
        <v>43773</v>
      </c>
      <c r="N229" s="444"/>
      <c r="O229" s="444"/>
      <c r="P229" s="444"/>
      <c r="Q229" s="444"/>
      <c r="R229" s="444"/>
      <c r="S229" s="445" t="s">
        <v>26</v>
      </c>
      <c r="T229" s="444" t="s">
        <v>85</v>
      </c>
      <c r="U229" s="475" t="s">
        <v>1447</v>
      </c>
      <c r="V229" s="475" t="s">
        <v>1457</v>
      </c>
      <c r="W229" s="446" t="s">
        <v>74</v>
      </c>
      <c r="X229" s="447"/>
      <c r="Y229" s="447"/>
      <c r="Z229" s="447"/>
      <c r="AA229" s="447"/>
      <c r="AB229" s="447"/>
      <c r="AC229" s="447">
        <v>43773</v>
      </c>
      <c r="AD229" s="493">
        <v>3257.16</v>
      </c>
      <c r="AE229" s="494"/>
      <c r="AF229" s="451">
        <f t="shared" si="78"/>
        <v>3257.16</v>
      </c>
      <c r="AG229" s="493"/>
      <c r="AH229" s="495"/>
      <c r="AI229" s="496">
        <f>AF229</f>
        <v>3257.16</v>
      </c>
      <c r="AJ229" s="453"/>
      <c r="AK229" s="454">
        <f>AI229</f>
        <v>3257.16</v>
      </c>
      <c r="AL229" s="565">
        <v>3257.16</v>
      </c>
      <c r="AM229" s="495"/>
      <c r="AN229" s="494"/>
      <c r="AO229" s="451">
        <f t="shared" si="74"/>
        <v>0</v>
      </c>
      <c r="AP229" s="452">
        <v>0</v>
      </c>
      <c r="AQ229" s="453">
        <v>0</v>
      </c>
      <c r="AR229" s="498"/>
      <c r="AS229" s="456">
        <f t="shared" si="75"/>
        <v>0</v>
      </c>
      <c r="AT229" s="457"/>
      <c r="AU229" s="458"/>
      <c r="AV229" s="499"/>
      <c r="BB229" s="463"/>
    </row>
    <row r="230" spans="1:54" s="439" customFormat="1" ht="78.75" x14ac:dyDescent="0.25">
      <c r="A230" s="442" t="s">
        <v>1538</v>
      </c>
      <c r="B230" s="442"/>
      <c r="C230" s="443">
        <v>97</v>
      </c>
      <c r="D230" s="444"/>
      <c r="E230" s="444"/>
      <c r="F230" s="444"/>
      <c r="G230" s="444"/>
      <c r="H230" s="444"/>
      <c r="I230" s="444"/>
      <c r="J230" s="444" t="s">
        <v>1944</v>
      </c>
      <c r="K230" s="444"/>
      <c r="L230" s="444"/>
      <c r="M230" s="476">
        <v>43969</v>
      </c>
      <c r="N230" s="444"/>
      <c r="O230" s="444" t="s">
        <v>622</v>
      </c>
      <c r="P230" s="444" t="s">
        <v>1883</v>
      </c>
      <c r="Q230" s="444"/>
      <c r="R230" s="444"/>
      <c r="S230" s="523" t="s">
        <v>143</v>
      </c>
      <c r="T230" s="444" t="s">
        <v>85</v>
      </c>
      <c r="U230" s="475" t="s">
        <v>1537</v>
      </c>
      <c r="V230" s="475" t="s">
        <v>1628</v>
      </c>
      <c r="W230" s="446" t="s">
        <v>74</v>
      </c>
      <c r="X230" s="447"/>
      <c r="Y230" s="447"/>
      <c r="Z230" s="447"/>
      <c r="AA230" s="447"/>
      <c r="AB230" s="447"/>
      <c r="AC230" s="447">
        <v>43773</v>
      </c>
      <c r="AD230" s="493">
        <v>8555.0400000000009</v>
      </c>
      <c r="AE230" s="494"/>
      <c r="AF230" s="451">
        <f t="shared" si="78"/>
        <v>8555.0400000000009</v>
      </c>
      <c r="AG230" s="493"/>
      <c r="AH230" s="495"/>
      <c r="AI230" s="496">
        <f>AF230</f>
        <v>8555.0400000000009</v>
      </c>
      <c r="AJ230" s="453"/>
      <c r="AK230" s="454"/>
      <c r="AL230" s="565"/>
      <c r="AM230" s="565">
        <f>AI230</f>
        <v>8555.0400000000009</v>
      </c>
      <c r="AN230" s="494"/>
      <c r="AO230" s="451">
        <f t="shared" si="74"/>
        <v>8555.0400000000009</v>
      </c>
      <c r="AP230" s="452">
        <v>9322.7999999999993</v>
      </c>
      <c r="AQ230" s="453">
        <v>0</v>
      </c>
      <c r="AR230" s="498"/>
      <c r="AS230" s="456">
        <f t="shared" si="75"/>
        <v>0</v>
      </c>
      <c r="AT230" s="457"/>
      <c r="AU230" s="458"/>
      <c r="AV230" s="499"/>
      <c r="BB230" s="463"/>
    </row>
    <row r="231" spans="1:54" s="439" customFormat="1" ht="30" x14ac:dyDescent="0.25">
      <c r="A231" s="442" t="s">
        <v>1444</v>
      </c>
      <c r="B231" s="442" t="s">
        <v>1892</v>
      </c>
      <c r="C231" s="443">
        <v>90</v>
      </c>
      <c r="D231" s="444" t="s">
        <v>1899</v>
      </c>
      <c r="E231" s="444"/>
      <c r="F231" s="444"/>
      <c r="G231" s="444"/>
      <c r="H231" s="444"/>
      <c r="I231" s="444"/>
      <c r="J231" s="444" t="s">
        <v>1919</v>
      </c>
      <c r="K231" s="444"/>
      <c r="L231" s="444"/>
      <c r="M231" s="476">
        <v>43955</v>
      </c>
      <c r="N231" s="444"/>
      <c r="O231" s="444"/>
      <c r="P231" s="444"/>
      <c r="Q231" s="444"/>
      <c r="R231" s="444"/>
      <c r="S231" s="523" t="s">
        <v>26</v>
      </c>
      <c r="T231" s="444" t="s">
        <v>85</v>
      </c>
      <c r="U231" s="475" t="s">
        <v>1448</v>
      </c>
      <c r="V231" s="475" t="s">
        <v>1454</v>
      </c>
      <c r="W231" s="446" t="s">
        <v>74</v>
      </c>
      <c r="X231" s="447"/>
      <c r="Y231" s="447"/>
      <c r="Z231" s="447"/>
      <c r="AA231" s="447"/>
      <c r="AB231" s="447"/>
      <c r="AC231" s="447" t="s">
        <v>1451</v>
      </c>
      <c r="AD231" s="493">
        <v>63264.51</v>
      </c>
      <c r="AE231" s="494"/>
      <c r="AF231" s="451">
        <f t="shared" si="78"/>
        <v>63264.51</v>
      </c>
      <c r="AG231" s="493"/>
      <c r="AH231" s="495"/>
      <c r="AI231" s="496">
        <v>63264.51</v>
      </c>
      <c r="AJ231" s="453"/>
      <c r="AK231" s="565">
        <f>AI231</f>
        <v>63264.51</v>
      </c>
      <c r="AL231" s="565">
        <v>63264.51</v>
      </c>
      <c r="AM231" s="495">
        <v>0</v>
      </c>
      <c r="AN231" s="494"/>
      <c r="AO231" s="451">
        <f t="shared" si="74"/>
        <v>0</v>
      </c>
      <c r="AP231" s="452">
        <v>0</v>
      </c>
      <c r="AQ231" s="453">
        <v>0</v>
      </c>
      <c r="AR231" s="498"/>
      <c r="AS231" s="456">
        <f t="shared" si="75"/>
        <v>0</v>
      </c>
      <c r="AT231" s="457"/>
      <c r="AU231" s="458"/>
      <c r="AV231" s="499"/>
      <c r="BB231" s="463"/>
    </row>
    <row r="232" spans="1:54" s="439" customFormat="1" ht="30" x14ac:dyDescent="0.25">
      <c r="A232" s="442" t="s">
        <v>1445</v>
      </c>
      <c r="B232" s="442"/>
      <c r="C232" s="443">
        <v>91</v>
      </c>
      <c r="D232" s="444" t="s">
        <v>1942</v>
      </c>
      <c r="E232" s="444"/>
      <c r="F232" s="444"/>
      <c r="G232" s="444"/>
      <c r="H232" s="444"/>
      <c r="I232" s="444"/>
      <c r="J232" s="444" t="s">
        <v>1894</v>
      </c>
      <c r="K232" s="444"/>
      <c r="L232" s="444"/>
      <c r="M232" s="476">
        <v>43969</v>
      </c>
      <c r="N232" s="444"/>
      <c r="O232" s="444"/>
      <c r="P232" s="444"/>
      <c r="Q232" s="444"/>
      <c r="R232" s="444"/>
      <c r="S232" s="523" t="s">
        <v>26</v>
      </c>
      <c r="T232" s="444" t="s">
        <v>85</v>
      </c>
      <c r="U232" s="475" t="s">
        <v>1449</v>
      </c>
      <c r="V232" s="475" t="s">
        <v>1496</v>
      </c>
      <c r="W232" s="446" t="s">
        <v>74</v>
      </c>
      <c r="X232" s="447"/>
      <c r="Y232" s="447"/>
      <c r="Z232" s="447"/>
      <c r="AA232" s="447"/>
      <c r="AB232" s="447"/>
      <c r="AC232" s="447" t="s">
        <v>1452</v>
      </c>
      <c r="AD232" s="493">
        <v>17788.52</v>
      </c>
      <c r="AE232" s="494"/>
      <c r="AF232" s="451">
        <f t="shared" si="78"/>
        <v>17788.52</v>
      </c>
      <c r="AG232" s="493"/>
      <c r="AH232" s="495"/>
      <c r="AI232" s="496">
        <f>AF232</f>
        <v>17788.52</v>
      </c>
      <c r="AJ232" s="453"/>
      <c r="AK232" s="454"/>
      <c r="AL232" s="565"/>
      <c r="AM232" s="495"/>
      <c r="AN232" s="494"/>
      <c r="AO232" s="451">
        <f t="shared" si="74"/>
        <v>0</v>
      </c>
      <c r="AP232" s="452">
        <v>0</v>
      </c>
      <c r="AQ232" s="453">
        <v>0</v>
      </c>
      <c r="AR232" s="498"/>
      <c r="AS232" s="456">
        <f t="shared" si="75"/>
        <v>0</v>
      </c>
      <c r="AT232" s="457"/>
      <c r="AU232" s="458"/>
      <c r="AV232" s="499"/>
      <c r="BB232" s="463"/>
    </row>
    <row r="233" spans="1:54" s="439" customFormat="1" ht="78.75" x14ac:dyDescent="0.25">
      <c r="A233" s="442" t="s">
        <v>1446</v>
      </c>
      <c r="B233" s="442"/>
      <c r="C233" s="443">
        <v>92</v>
      </c>
      <c r="D233" s="444"/>
      <c r="E233" s="444"/>
      <c r="F233" s="444"/>
      <c r="G233" s="444"/>
      <c r="H233" s="444"/>
      <c r="I233" s="444"/>
      <c r="J233" s="444"/>
      <c r="K233" s="444"/>
      <c r="L233" s="444"/>
      <c r="M233" s="476"/>
      <c r="N233" s="444"/>
      <c r="O233" s="444" t="s">
        <v>621</v>
      </c>
      <c r="P233" s="444" t="s">
        <v>1883</v>
      </c>
      <c r="Q233" s="444"/>
      <c r="R233" s="444"/>
      <c r="S233" s="445" t="s">
        <v>143</v>
      </c>
      <c r="T233" s="444" t="s">
        <v>85</v>
      </c>
      <c r="U233" s="475" t="s">
        <v>1450</v>
      </c>
      <c r="V233" s="475" t="s">
        <v>1455</v>
      </c>
      <c r="W233" s="446" t="s">
        <v>74</v>
      </c>
      <c r="X233" s="447"/>
      <c r="Y233" s="447"/>
      <c r="Z233" s="447"/>
      <c r="AA233" s="447"/>
      <c r="AB233" s="447"/>
      <c r="AC233" s="447" t="s">
        <v>1453</v>
      </c>
      <c r="AD233" s="493">
        <v>183.96</v>
      </c>
      <c r="AE233" s="494"/>
      <c r="AF233" s="451">
        <f t="shared" si="78"/>
        <v>183.96</v>
      </c>
      <c r="AG233" s="493"/>
      <c r="AH233" s="495"/>
      <c r="AI233" s="496">
        <f>AF233</f>
        <v>183.96</v>
      </c>
      <c r="AJ233" s="453"/>
      <c r="AK233" s="454"/>
      <c r="AL233" s="565"/>
      <c r="AM233" s="495">
        <f>AI233</f>
        <v>183.96</v>
      </c>
      <c r="AN233" s="494"/>
      <c r="AO233" s="451">
        <f t="shared" si="74"/>
        <v>183.96</v>
      </c>
      <c r="AP233" s="452">
        <v>183.96</v>
      </c>
      <c r="AQ233" s="453">
        <v>0</v>
      </c>
      <c r="AR233" s="498"/>
      <c r="AS233" s="456">
        <f t="shared" si="75"/>
        <v>0</v>
      </c>
      <c r="AT233" s="457"/>
      <c r="AU233" s="458"/>
      <c r="AV233" s="499"/>
      <c r="BB233" s="463"/>
    </row>
    <row r="234" spans="1:54" s="439" customFormat="1" ht="30" x14ac:dyDescent="0.25">
      <c r="A234" s="442" t="s">
        <v>1476</v>
      </c>
      <c r="B234" s="442" t="s">
        <v>1853</v>
      </c>
      <c r="C234" s="443">
        <v>94</v>
      </c>
      <c r="D234" s="444"/>
      <c r="E234" s="444"/>
      <c r="F234" s="444"/>
      <c r="G234" s="444"/>
      <c r="H234" s="444"/>
      <c r="I234" s="444"/>
      <c r="J234" s="444"/>
      <c r="K234" s="444"/>
      <c r="L234" s="444"/>
      <c r="M234" s="476"/>
      <c r="N234" s="444"/>
      <c r="O234" s="444"/>
      <c r="P234" s="444"/>
      <c r="Q234" s="444"/>
      <c r="R234" s="444"/>
      <c r="S234" s="523" t="s">
        <v>26</v>
      </c>
      <c r="T234" s="444" t="s">
        <v>85</v>
      </c>
      <c r="U234" s="475" t="s">
        <v>1539</v>
      </c>
      <c r="V234" s="475" t="s">
        <v>1477</v>
      </c>
      <c r="W234" s="446" t="s">
        <v>74</v>
      </c>
      <c r="X234" s="447"/>
      <c r="Y234" s="447"/>
      <c r="Z234" s="447"/>
      <c r="AA234" s="447"/>
      <c r="AB234" s="447"/>
      <c r="AC234" s="447" t="s">
        <v>1497</v>
      </c>
      <c r="AD234" s="493">
        <v>8490</v>
      </c>
      <c r="AE234" s="494"/>
      <c r="AF234" s="451">
        <f t="shared" si="78"/>
        <v>8490</v>
      </c>
      <c r="AG234" s="493"/>
      <c r="AH234" s="495"/>
      <c r="AI234" s="496">
        <f>AF234</f>
        <v>8490</v>
      </c>
      <c r="AJ234" s="453"/>
      <c r="AK234" s="454">
        <v>8490</v>
      </c>
      <c r="AL234" s="565">
        <v>8490</v>
      </c>
      <c r="AM234" s="495"/>
      <c r="AN234" s="494"/>
      <c r="AO234" s="451">
        <f t="shared" si="74"/>
        <v>0</v>
      </c>
      <c r="AP234" s="452">
        <v>0</v>
      </c>
      <c r="AQ234" s="453">
        <v>0</v>
      </c>
      <c r="AR234" s="498"/>
      <c r="AS234" s="456">
        <f t="shared" si="75"/>
        <v>0</v>
      </c>
      <c r="AT234" s="457"/>
      <c r="AU234" s="458"/>
      <c r="AV234" s="499"/>
      <c r="BB234" s="463"/>
    </row>
    <row r="235" spans="1:54" s="439" customFormat="1" ht="30" x14ac:dyDescent="0.25">
      <c r="A235" s="442" t="s">
        <v>1498</v>
      </c>
      <c r="B235" s="442" t="s">
        <v>1853</v>
      </c>
      <c r="C235" s="443">
        <v>82</v>
      </c>
      <c r="D235" s="444"/>
      <c r="E235" s="444"/>
      <c r="F235" s="444"/>
      <c r="G235" s="444"/>
      <c r="H235" s="444"/>
      <c r="I235" s="444"/>
      <c r="J235" s="444" t="s">
        <v>1504</v>
      </c>
      <c r="K235" s="444"/>
      <c r="L235" s="444"/>
      <c r="M235" s="476">
        <v>43775</v>
      </c>
      <c r="N235" s="444"/>
      <c r="O235" s="444"/>
      <c r="P235" s="444"/>
      <c r="Q235" s="444"/>
      <c r="R235" s="444"/>
      <c r="S235" s="523" t="s">
        <v>26</v>
      </c>
      <c r="T235" s="444" t="s">
        <v>85</v>
      </c>
      <c r="U235" s="475" t="s">
        <v>1501</v>
      </c>
      <c r="V235" s="475" t="s">
        <v>1503</v>
      </c>
      <c r="W235" s="446" t="s">
        <v>74</v>
      </c>
      <c r="X235" s="447"/>
      <c r="Y235" s="447"/>
      <c r="Z235" s="447"/>
      <c r="AA235" s="447"/>
      <c r="AB235" s="447"/>
      <c r="AC235" s="447" t="s">
        <v>1502</v>
      </c>
      <c r="AD235" s="493">
        <v>13197.17</v>
      </c>
      <c r="AE235" s="494"/>
      <c r="AF235" s="451">
        <f t="shared" si="78"/>
        <v>13197.17</v>
      </c>
      <c r="AG235" s="493"/>
      <c r="AH235" s="495"/>
      <c r="AI235" s="496">
        <v>13197.17</v>
      </c>
      <c r="AJ235" s="453"/>
      <c r="AK235" s="454">
        <v>13197.17</v>
      </c>
      <c r="AL235" s="565">
        <v>13197.17</v>
      </c>
      <c r="AM235" s="495"/>
      <c r="AN235" s="494"/>
      <c r="AO235" s="451">
        <f t="shared" si="74"/>
        <v>0</v>
      </c>
      <c r="AP235" s="452">
        <v>0</v>
      </c>
      <c r="AQ235" s="453">
        <v>0</v>
      </c>
      <c r="AR235" s="498"/>
      <c r="AS235" s="456">
        <f t="shared" si="75"/>
        <v>0</v>
      </c>
      <c r="AT235" s="457"/>
      <c r="AU235" s="458"/>
      <c r="AV235" s="499"/>
      <c r="BB235" s="463"/>
    </row>
    <row r="236" spans="1:54" s="439" customFormat="1" ht="75" x14ac:dyDescent="0.25">
      <c r="A236" s="442" t="s">
        <v>1506</v>
      </c>
      <c r="B236" s="442"/>
      <c r="C236" s="443"/>
      <c r="D236" s="444"/>
      <c r="E236" s="444"/>
      <c r="F236" s="444"/>
      <c r="G236" s="444"/>
      <c r="H236" s="444"/>
      <c r="I236" s="444"/>
      <c r="J236" s="444" t="s">
        <v>1918</v>
      </c>
      <c r="K236" s="444"/>
      <c r="L236" s="444"/>
      <c r="M236" s="476">
        <v>43955</v>
      </c>
      <c r="N236" s="444"/>
      <c r="O236" s="444" t="s">
        <v>622</v>
      </c>
      <c r="P236" s="444" t="s">
        <v>1883</v>
      </c>
      <c r="Q236" s="444"/>
      <c r="R236" s="444"/>
      <c r="S236" s="523" t="s">
        <v>26</v>
      </c>
      <c r="T236" s="444" t="s">
        <v>85</v>
      </c>
      <c r="U236" s="475" t="s">
        <v>1507</v>
      </c>
      <c r="V236" s="475" t="s">
        <v>1521</v>
      </c>
      <c r="W236" s="446" t="s">
        <v>74</v>
      </c>
      <c r="X236" s="447"/>
      <c r="Y236" s="447"/>
      <c r="Z236" s="447"/>
      <c r="AA236" s="447"/>
      <c r="AB236" s="447"/>
      <c r="AC236" s="447" t="s">
        <v>1502</v>
      </c>
      <c r="AD236" s="493">
        <v>182728.33</v>
      </c>
      <c r="AE236" s="494"/>
      <c r="AF236" s="451">
        <f t="shared" si="78"/>
        <v>182728.33</v>
      </c>
      <c r="AG236" s="493"/>
      <c r="AH236" s="495"/>
      <c r="AI236" s="496">
        <v>104363.32</v>
      </c>
      <c r="AJ236" s="453"/>
      <c r="AK236" s="454">
        <v>104363.32</v>
      </c>
      <c r="AL236" s="565">
        <v>104363.32</v>
      </c>
      <c r="AM236" s="495"/>
      <c r="AN236" s="494"/>
      <c r="AO236" s="451">
        <f t="shared" si="74"/>
        <v>0</v>
      </c>
      <c r="AP236" s="452">
        <v>0</v>
      </c>
      <c r="AQ236" s="453">
        <v>0</v>
      </c>
      <c r="AR236" s="498"/>
      <c r="AS236" s="456">
        <f t="shared" si="75"/>
        <v>0</v>
      </c>
      <c r="AT236" s="457"/>
      <c r="AV236" s="467"/>
      <c r="BB236" s="463">
        <f t="shared" si="76"/>
        <v>0</v>
      </c>
    </row>
    <row r="237" spans="1:54" s="439" customFormat="1" ht="31.5" x14ac:dyDescent="0.25">
      <c r="A237" s="442" t="s">
        <v>1508</v>
      </c>
      <c r="B237" s="442"/>
      <c r="C237" s="443">
        <v>95</v>
      </c>
      <c r="D237" s="444"/>
      <c r="E237" s="444"/>
      <c r="F237" s="444"/>
      <c r="G237" s="444"/>
      <c r="H237" s="444"/>
      <c r="I237" s="444"/>
      <c r="J237" s="444"/>
      <c r="K237" s="444"/>
      <c r="L237" s="444"/>
      <c r="M237" s="476"/>
      <c r="N237" s="444"/>
      <c r="O237" s="444"/>
      <c r="P237" s="444"/>
      <c r="Q237" s="444"/>
      <c r="R237" s="444"/>
      <c r="S237" s="445" t="s">
        <v>48</v>
      </c>
      <c r="T237" s="444" t="s">
        <v>85</v>
      </c>
      <c r="U237" s="475" t="s">
        <v>1511</v>
      </c>
      <c r="V237" s="475" t="s">
        <v>1518</v>
      </c>
      <c r="W237" s="446" t="s">
        <v>74</v>
      </c>
      <c r="X237" s="447"/>
      <c r="Y237" s="447"/>
      <c r="Z237" s="447"/>
      <c r="AA237" s="447"/>
      <c r="AB237" s="447"/>
      <c r="AC237" s="443" t="s">
        <v>1514</v>
      </c>
      <c r="AD237" s="493">
        <v>0</v>
      </c>
      <c r="AE237" s="494"/>
      <c r="AF237" s="451">
        <f t="shared" si="78"/>
        <v>0</v>
      </c>
      <c r="AG237" s="493"/>
      <c r="AH237" s="495"/>
      <c r="AI237" s="496"/>
      <c r="AJ237" s="453"/>
      <c r="AK237" s="454"/>
      <c r="AL237" s="565"/>
      <c r="AM237" s="495"/>
      <c r="AN237" s="494"/>
      <c r="AO237" s="451">
        <f t="shared" si="74"/>
        <v>0</v>
      </c>
      <c r="AP237" s="452">
        <v>0</v>
      </c>
      <c r="AQ237" s="453">
        <v>0</v>
      </c>
      <c r="AR237" s="498"/>
      <c r="AS237" s="456">
        <f t="shared" si="75"/>
        <v>0</v>
      </c>
      <c r="AT237" s="457"/>
      <c r="AV237" s="467"/>
      <c r="BB237" s="463"/>
    </row>
    <row r="238" spans="1:54" s="439" customFormat="1" ht="30" x14ac:dyDescent="0.25">
      <c r="A238" s="442" t="s">
        <v>1509</v>
      </c>
      <c r="B238" s="442" t="s">
        <v>1853</v>
      </c>
      <c r="C238" s="443">
        <v>96</v>
      </c>
      <c r="D238" s="444"/>
      <c r="E238" s="444"/>
      <c r="F238" s="444"/>
      <c r="G238" s="444"/>
      <c r="H238" s="444"/>
      <c r="I238" s="444"/>
      <c r="J238" s="444"/>
      <c r="K238" s="444"/>
      <c r="L238" s="444"/>
      <c r="M238" s="476"/>
      <c r="N238" s="444"/>
      <c r="O238" s="444" t="s">
        <v>621</v>
      </c>
      <c r="P238" s="444" t="s">
        <v>1883</v>
      </c>
      <c r="Q238" s="444"/>
      <c r="R238" s="444"/>
      <c r="S238" s="445" t="s">
        <v>26</v>
      </c>
      <c r="T238" s="444" t="s">
        <v>85</v>
      </c>
      <c r="U238" s="475" t="s">
        <v>1512</v>
      </c>
      <c r="V238" s="475" t="s">
        <v>1519</v>
      </c>
      <c r="W238" s="446" t="s">
        <v>74</v>
      </c>
      <c r="X238" s="447"/>
      <c r="Y238" s="447"/>
      <c r="Z238" s="447"/>
      <c r="AA238" s="447"/>
      <c r="AB238" s="447"/>
      <c r="AC238" s="443" t="s">
        <v>1515</v>
      </c>
      <c r="AD238" s="493">
        <v>121807.45</v>
      </c>
      <c r="AE238" s="494">
        <f>94403.64-AD238</f>
        <v>-27403.809999999998</v>
      </c>
      <c r="AF238" s="451">
        <f t="shared" si="78"/>
        <v>94403.64</v>
      </c>
      <c r="AG238" s="493"/>
      <c r="AH238" s="495"/>
      <c r="AI238" s="496">
        <f>AF238</f>
        <v>94403.64</v>
      </c>
      <c r="AJ238" s="453"/>
      <c r="AK238" s="454">
        <v>103844.27</v>
      </c>
      <c r="AL238" s="565">
        <v>103844.27</v>
      </c>
      <c r="AM238" s="495">
        <v>0</v>
      </c>
      <c r="AN238" s="494"/>
      <c r="AO238" s="451">
        <f t="shared" si="74"/>
        <v>0</v>
      </c>
      <c r="AP238" s="452">
        <v>0</v>
      </c>
      <c r="AQ238" s="453">
        <v>0</v>
      </c>
      <c r="AR238" s="498"/>
      <c r="AS238" s="456">
        <f t="shared" si="75"/>
        <v>0</v>
      </c>
      <c r="AT238" s="457"/>
      <c r="AV238" s="467"/>
      <c r="BB238" s="463"/>
    </row>
    <row r="239" spans="1:54" s="439" customFormat="1" ht="78.75" x14ac:dyDescent="0.25">
      <c r="A239" s="442" t="s">
        <v>1510</v>
      </c>
      <c r="B239" s="442"/>
      <c r="C239" s="443">
        <v>98</v>
      </c>
      <c r="D239" s="444"/>
      <c r="E239" s="444"/>
      <c r="F239" s="444"/>
      <c r="G239" s="444"/>
      <c r="H239" s="444"/>
      <c r="I239" s="444"/>
      <c r="J239" s="444"/>
      <c r="K239" s="444"/>
      <c r="L239" s="444"/>
      <c r="M239" s="476"/>
      <c r="N239" s="444"/>
      <c r="O239" s="444" t="s">
        <v>621</v>
      </c>
      <c r="P239" s="444" t="s">
        <v>1883</v>
      </c>
      <c r="Q239" s="444"/>
      <c r="R239" s="444"/>
      <c r="S239" s="445" t="s">
        <v>143</v>
      </c>
      <c r="T239" s="444" t="s">
        <v>85</v>
      </c>
      <c r="U239" s="475" t="s">
        <v>1513</v>
      </c>
      <c r="V239" s="475" t="s">
        <v>1520</v>
      </c>
      <c r="W239" s="446" t="s">
        <v>74</v>
      </c>
      <c r="X239" s="447"/>
      <c r="Y239" s="447"/>
      <c r="Z239" s="447"/>
      <c r="AA239" s="447"/>
      <c r="AB239" s="447"/>
      <c r="AC239" s="443" t="s">
        <v>1516</v>
      </c>
      <c r="AD239" s="493">
        <v>2366.98</v>
      </c>
      <c r="AE239" s="494"/>
      <c r="AF239" s="451">
        <f t="shared" si="78"/>
        <v>2366.98</v>
      </c>
      <c r="AG239" s="493"/>
      <c r="AH239" s="495"/>
      <c r="AI239" s="496">
        <f>AF239</f>
        <v>2366.98</v>
      </c>
      <c r="AJ239" s="453"/>
      <c r="AK239" s="454"/>
      <c r="AL239" s="565"/>
      <c r="AM239" s="495">
        <f>AI239</f>
        <v>2366.98</v>
      </c>
      <c r="AN239" s="494"/>
      <c r="AO239" s="451">
        <f t="shared" si="74"/>
        <v>2366.98</v>
      </c>
      <c r="AP239" s="452">
        <v>2366.98</v>
      </c>
      <c r="AQ239" s="453">
        <v>0</v>
      </c>
      <c r="AR239" s="498"/>
      <c r="AS239" s="456">
        <f t="shared" si="75"/>
        <v>0</v>
      </c>
      <c r="AT239" s="457"/>
      <c r="AV239" s="467"/>
      <c r="BB239" s="463"/>
    </row>
    <row r="240" spans="1:54" s="439" customFormat="1" ht="45" x14ac:dyDescent="0.25">
      <c r="A240" s="442" t="s">
        <v>1522</v>
      </c>
      <c r="B240" s="442" t="s">
        <v>1647</v>
      </c>
      <c r="C240" s="443">
        <v>93</v>
      </c>
      <c r="D240" s="444" t="s">
        <v>1625</v>
      </c>
      <c r="E240" s="444"/>
      <c r="F240" s="444"/>
      <c r="G240" s="444"/>
      <c r="H240" s="444"/>
      <c r="I240" s="444"/>
      <c r="J240" s="444" t="s">
        <v>1571</v>
      </c>
      <c r="K240" s="444"/>
      <c r="L240" s="444"/>
      <c r="M240" s="476">
        <v>43851</v>
      </c>
      <c r="N240" s="444"/>
      <c r="O240" s="444"/>
      <c r="P240" s="444"/>
      <c r="Q240" s="444"/>
      <c r="R240" s="444"/>
      <c r="S240" s="445" t="s">
        <v>26</v>
      </c>
      <c r="T240" s="444" t="s">
        <v>85</v>
      </c>
      <c r="U240" s="475" t="s">
        <v>1524</v>
      </c>
      <c r="V240" s="475" t="s">
        <v>1525</v>
      </c>
      <c r="W240" s="446" t="s">
        <v>74</v>
      </c>
      <c r="X240" s="447"/>
      <c r="Y240" s="447"/>
      <c r="Z240" s="447"/>
      <c r="AA240" s="447"/>
      <c r="AB240" s="447"/>
      <c r="AC240" s="443" t="s">
        <v>1523</v>
      </c>
      <c r="AD240" s="493">
        <v>28853.55</v>
      </c>
      <c r="AE240" s="494"/>
      <c r="AF240" s="451">
        <f t="shared" si="78"/>
        <v>28853.55</v>
      </c>
      <c r="AG240" s="493"/>
      <c r="AH240" s="495"/>
      <c r="AI240" s="496">
        <v>28853.55</v>
      </c>
      <c r="AJ240" s="453"/>
      <c r="AK240" s="454">
        <v>28853.55</v>
      </c>
      <c r="AL240" s="565">
        <v>28853.55</v>
      </c>
      <c r="AM240" s="495"/>
      <c r="AN240" s="494"/>
      <c r="AO240" s="451">
        <f t="shared" si="74"/>
        <v>0</v>
      </c>
      <c r="AP240" s="452">
        <v>0</v>
      </c>
      <c r="AQ240" s="453">
        <v>0</v>
      </c>
      <c r="AR240" s="498"/>
      <c r="AS240" s="456">
        <f t="shared" si="75"/>
        <v>0</v>
      </c>
      <c r="AT240" s="457"/>
      <c r="AV240" s="467"/>
      <c r="BB240" s="463"/>
    </row>
    <row r="241" spans="1:54" s="439" customFormat="1" ht="30" x14ac:dyDescent="0.25">
      <c r="A241" s="442" t="s">
        <v>1526</v>
      </c>
      <c r="B241" s="442" t="s">
        <v>1581</v>
      </c>
      <c r="C241" s="443"/>
      <c r="D241" s="444" t="s">
        <v>1584</v>
      </c>
      <c r="E241" s="444"/>
      <c r="F241" s="444"/>
      <c r="G241" s="444"/>
      <c r="H241" s="444"/>
      <c r="I241" s="444"/>
      <c r="J241" s="444" t="s">
        <v>1533</v>
      </c>
      <c r="K241" s="444"/>
      <c r="L241" s="444"/>
      <c r="M241" s="476">
        <v>43790</v>
      </c>
      <c r="N241" s="444"/>
      <c r="O241" s="444"/>
      <c r="P241" s="444"/>
      <c r="Q241" s="444"/>
      <c r="R241" s="444"/>
      <c r="S241" s="445" t="s">
        <v>26</v>
      </c>
      <c r="T241" s="444" t="s">
        <v>85</v>
      </c>
      <c r="U241" s="475" t="s">
        <v>1527</v>
      </c>
      <c r="V241" s="475" t="s">
        <v>1528</v>
      </c>
      <c r="W241" s="446" t="s">
        <v>74</v>
      </c>
      <c r="X241" s="447"/>
      <c r="Y241" s="447"/>
      <c r="Z241" s="447"/>
      <c r="AA241" s="447"/>
      <c r="AB241" s="447"/>
      <c r="AC241" s="447">
        <v>43790</v>
      </c>
      <c r="AD241" s="493">
        <v>13854.89</v>
      </c>
      <c r="AE241" s="494"/>
      <c r="AF241" s="451">
        <f t="shared" si="78"/>
        <v>13854.89</v>
      </c>
      <c r="AG241" s="493"/>
      <c r="AH241" s="495"/>
      <c r="AI241" s="496">
        <v>13854.89</v>
      </c>
      <c r="AJ241" s="453"/>
      <c r="AK241" s="454">
        <v>13854.89</v>
      </c>
      <c r="AL241" s="565">
        <v>13854.89</v>
      </c>
      <c r="AM241" s="495"/>
      <c r="AN241" s="494"/>
      <c r="AO241" s="451">
        <f t="shared" si="74"/>
        <v>0</v>
      </c>
      <c r="AP241" s="452">
        <v>0</v>
      </c>
      <c r="AQ241" s="453">
        <v>0</v>
      </c>
      <c r="AR241" s="498"/>
      <c r="AS241" s="456">
        <f t="shared" si="75"/>
        <v>0</v>
      </c>
      <c r="AT241" s="457"/>
      <c r="AV241" s="467"/>
      <c r="BB241" s="463"/>
    </row>
    <row r="242" spans="1:54" s="439" customFormat="1" ht="60" x14ac:dyDescent="0.25">
      <c r="A242" s="442" t="s">
        <v>1529</v>
      </c>
      <c r="B242" s="442" t="s">
        <v>1647</v>
      </c>
      <c r="C242" s="443"/>
      <c r="D242" s="444"/>
      <c r="E242" s="444"/>
      <c r="F242" s="444"/>
      <c r="G242" s="444"/>
      <c r="H242" s="444"/>
      <c r="I242" s="444"/>
      <c r="J242" s="444" t="s">
        <v>1613</v>
      </c>
      <c r="K242" s="444"/>
      <c r="L242" s="444"/>
      <c r="M242" s="476">
        <v>43812</v>
      </c>
      <c r="N242" s="444"/>
      <c r="O242" s="444"/>
      <c r="P242" s="444"/>
      <c r="Q242" s="444"/>
      <c r="R242" s="444"/>
      <c r="S242" s="445" t="s">
        <v>26</v>
      </c>
      <c r="T242" s="444" t="s">
        <v>85</v>
      </c>
      <c r="U242" s="475" t="s">
        <v>1531</v>
      </c>
      <c r="V242" s="475" t="s">
        <v>1530</v>
      </c>
      <c r="W242" s="446" t="s">
        <v>74</v>
      </c>
      <c r="X242" s="447"/>
      <c r="Y242" s="447"/>
      <c r="Z242" s="447"/>
      <c r="AA242" s="447"/>
      <c r="AB242" s="447"/>
      <c r="AC242" s="447">
        <v>43812</v>
      </c>
      <c r="AD242" s="493">
        <v>3620.58</v>
      </c>
      <c r="AE242" s="494"/>
      <c r="AF242" s="451">
        <f t="shared" si="78"/>
        <v>3620.58</v>
      </c>
      <c r="AG242" s="493"/>
      <c r="AH242" s="495"/>
      <c r="AI242" s="496"/>
      <c r="AJ242" s="453"/>
      <c r="AK242" s="454">
        <v>136.5</v>
      </c>
      <c r="AL242" s="565">
        <v>136.5</v>
      </c>
      <c r="AM242" s="495"/>
      <c r="AN242" s="494"/>
      <c r="AO242" s="451">
        <f t="shared" si="74"/>
        <v>0</v>
      </c>
      <c r="AP242" s="452">
        <v>0</v>
      </c>
      <c r="AQ242" s="453">
        <v>0</v>
      </c>
      <c r="AR242" s="498"/>
      <c r="AS242" s="456">
        <f t="shared" si="75"/>
        <v>0</v>
      </c>
      <c r="AT242" s="457"/>
      <c r="AV242" s="467"/>
      <c r="BB242" s="463"/>
    </row>
    <row r="243" spans="1:54" s="439" customFormat="1" ht="31.5" x14ac:dyDescent="0.25">
      <c r="A243" s="442" t="s">
        <v>1540</v>
      </c>
      <c r="B243" s="442"/>
      <c r="C243" s="443"/>
      <c r="D243" s="444"/>
      <c r="E243" s="444"/>
      <c r="F243" s="444"/>
      <c r="G243" s="444"/>
      <c r="H243" s="444"/>
      <c r="I243" s="444"/>
      <c r="J243" s="444"/>
      <c r="K243" s="444"/>
      <c r="L243" s="444"/>
      <c r="M243" s="476"/>
      <c r="N243" s="444"/>
      <c r="O243" s="444"/>
      <c r="P243" s="444"/>
      <c r="Q243" s="444"/>
      <c r="R243" s="444"/>
      <c r="S243" s="523" t="s">
        <v>54</v>
      </c>
      <c r="T243" s="444" t="s">
        <v>85</v>
      </c>
      <c r="U243" s="475" t="s">
        <v>1542</v>
      </c>
      <c r="V243" s="446" t="s">
        <v>1603</v>
      </c>
      <c r="W243" s="446"/>
      <c r="X243" s="447"/>
      <c r="Y243" s="447"/>
      <c r="Z243" s="447"/>
      <c r="AA243" s="447"/>
      <c r="AB243" s="447"/>
      <c r="AC243" s="447"/>
      <c r="AD243" s="493" t="s">
        <v>124</v>
      </c>
      <c r="AE243" s="494"/>
      <c r="AF243" s="451">
        <f t="shared" si="78"/>
        <v>0</v>
      </c>
      <c r="AG243" s="493"/>
      <c r="AH243" s="495"/>
      <c r="AI243" s="496"/>
      <c r="AJ243" s="453"/>
      <c r="AK243" s="454"/>
      <c r="AL243" s="565"/>
      <c r="AM243" s="495"/>
      <c r="AN243" s="494"/>
      <c r="AO243" s="451">
        <f t="shared" si="74"/>
        <v>0</v>
      </c>
      <c r="AP243" s="452">
        <v>0</v>
      </c>
      <c r="AQ243" s="453">
        <v>0</v>
      </c>
      <c r="AR243" s="498"/>
      <c r="AS243" s="456">
        <f t="shared" si="75"/>
        <v>0</v>
      </c>
      <c r="AT243" s="457"/>
      <c r="AV243" s="467"/>
      <c r="BB243" s="463"/>
    </row>
    <row r="244" spans="1:54" s="439" customFormat="1" ht="31.5" x14ac:dyDescent="0.25">
      <c r="A244" s="442" t="s">
        <v>1541</v>
      </c>
      <c r="B244" s="442"/>
      <c r="C244" s="443"/>
      <c r="D244" s="444"/>
      <c r="E244" s="444"/>
      <c r="F244" s="444"/>
      <c r="G244" s="444"/>
      <c r="H244" s="444"/>
      <c r="I244" s="444"/>
      <c r="J244" s="444" t="s">
        <v>1740</v>
      </c>
      <c r="K244" s="444"/>
      <c r="L244" s="444"/>
      <c r="M244" s="476">
        <v>43899</v>
      </c>
      <c r="N244" s="444"/>
      <c r="O244" s="444"/>
      <c r="P244" s="444"/>
      <c r="Q244" s="444"/>
      <c r="R244" s="444"/>
      <c r="S244" s="523" t="s">
        <v>68</v>
      </c>
      <c r="T244" s="444" t="s">
        <v>85</v>
      </c>
      <c r="U244" s="475" t="s">
        <v>1543</v>
      </c>
      <c r="V244" s="475" t="s">
        <v>1573</v>
      </c>
      <c r="W244" s="446" t="s">
        <v>2032</v>
      </c>
      <c r="X244" s="447"/>
      <c r="Y244" s="447"/>
      <c r="Z244" s="447"/>
      <c r="AA244" s="447"/>
      <c r="AB244" s="447"/>
      <c r="AC244" s="447"/>
      <c r="AD244" s="493" t="s">
        <v>124</v>
      </c>
      <c r="AE244" s="494"/>
      <c r="AF244" s="451">
        <f t="shared" si="78"/>
        <v>0</v>
      </c>
      <c r="AG244" s="493"/>
      <c r="AH244" s="495"/>
      <c r="AI244" s="496"/>
      <c r="AJ244" s="453"/>
      <c r="AK244" s="454"/>
      <c r="AL244" s="565"/>
      <c r="AM244" s="495"/>
      <c r="AN244" s="494"/>
      <c r="AO244" s="451">
        <f t="shared" si="74"/>
        <v>0</v>
      </c>
      <c r="AP244" s="452">
        <v>0</v>
      </c>
      <c r="AQ244" s="453">
        <v>0</v>
      </c>
      <c r="AR244" s="498"/>
      <c r="AS244" s="456">
        <f t="shared" si="75"/>
        <v>0</v>
      </c>
      <c r="AT244" s="457"/>
      <c r="AV244" s="467"/>
      <c r="BB244" s="463"/>
    </row>
    <row r="245" spans="1:54" s="439" customFormat="1" ht="78.75" x14ac:dyDescent="0.25">
      <c r="A245" s="442" t="s">
        <v>1546</v>
      </c>
      <c r="B245" s="442"/>
      <c r="C245" s="443"/>
      <c r="D245" s="444"/>
      <c r="E245" s="444"/>
      <c r="F245" s="444"/>
      <c r="G245" s="444"/>
      <c r="H245" s="444"/>
      <c r="I245" s="444"/>
      <c r="J245" s="444" t="s">
        <v>1591</v>
      </c>
      <c r="K245" s="444"/>
      <c r="L245" s="444"/>
      <c r="M245" s="476">
        <v>43948</v>
      </c>
      <c r="N245" s="444"/>
      <c r="O245" s="444" t="s">
        <v>622</v>
      </c>
      <c r="P245" s="444" t="s">
        <v>1886</v>
      </c>
      <c r="Q245" s="444"/>
      <c r="R245" s="444"/>
      <c r="S245" s="445" t="s">
        <v>143</v>
      </c>
      <c r="T245" s="444" t="s">
        <v>85</v>
      </c>
      <c r="U245" s="475" t="s">
        <v>1548</v>
      </c>
      <c r="V245" s="475" t="s">
        <v>1592</v>
      </c>
      <c r="W245" s="446"/>
      <c r="X245" s="447"/>
      <c r="Y245" s="447"/>
      <c r="Z245" s="447"/>
      <c r="AA245" s="447"/>
      <c r="AB245" s="447"/>
      <c r="AC245" s="447">
        <v>43476</v>
      </c>
      <c r="AD245" s="493">
        <v>179861</v>
      </c>
      <c r="AE245" s="494"/>
      <c r="AF245" s="451">
        <f t="shared" si="78"/>
        <v>179861</v>
      </c>
      <c r="AG245" s="493"/>
      <c r="AH245" s="495"/>
      <c r="AI245" s="496">
        <v>179861</v>
      </c>
      <c r="AJ245" s="453">
        <f t="shared" ref="AJ245:AJ246" si="79">+AF245-SUM(AG245:AI245)</f>
        <v>0</v>
      </c>
      <c r="AK245" s="454"/>
      <c r="AL245" s="565"/>
      <c r="AM245" s="495">
        <v>155957</v>
      </c>
      <c r="AN245" s="494"/>
      <c r="AO245" s="451">
        <f t="shared" si="74"/>
        <v>155957</v>
      </c>
      <c r="AP245" s="452">
        <v>155957</v>
      </c>
      <c r="AQ245" s="453">
        <v>0</v>
      </c>
      <c r="AR245" s="498"/>
      <c r="AS245" s="456">
        <f t="shared" si="75"/>
        <v>0</v>
      </c>
      <c r="AT245" s="457"/>
      <c r="AV245" s="467"/>
      <c r="BB245" s="463"/>
    </row>
    <row r="246" spans="1:54" s="439" customFormat="1" ht="120" x14ac:dyDescent="0.25">
      <c r="A246" s="442" t="s">
        <v>1547</v>
      </c>
      <c r="B246" s="442"/>
      <c r="C246" s="443">
        <v>99</v>
      </c>
      <c r="D246" s="444"/>
      <c r="E246" s="444"/>
      <c r="F246" s="444"/>
      <c r="G246" s="444"/>
      <c r="H246" s="444"/>
      <c r="I246" s="444"/>
      <c r="J246" s="444" t="s">
        <v>2023</v>
      </c>
      <c r="K246" s="444"/>
      <c r="L246" s="444"/>
      <c r="M246" s="476">
        <v>43954</v>
      </c>
      <c r="N246" s="444"/>
      <c r="O246" s="444" t="s">
        <v>621</v>
      </c>
      <c r="P246" s="444" t="s">
        <v>1886</v>
      </c>
      <c r="Q246" s="444"/>
      <c r="R246" s="444"/>
      <c r="S246" s="523" t="s">
        <v>143</v>
      </c>
      <c r="T246" s="444" t="s">
        <v>85</v>
      </c>
      <c r="U246" s="530" t="s">
        <v>1549</v>
      </c>
      <c r="V246" s="530" t="s">
        <v>1612</v>
      </c>
      <c r="W246" s="446"/>
      <c r="X246" s="447"/>
      <c r="Y246" s="447"/>
      <c r="Z246" s="447"/>
      <c r="AA246" s="447"/>
      <c r="AB246" s="447"/>
      <c r="AC246" s="447" t="s">
        <v>1674</v>
      </c>
      <c r="AD246" s="493">
        <v>58853.41</v>
      </c>
      <c r="AE246" s="494"/>
      <c r="AF246" s="451">
        <f t="shared" si="78"/>
        <v>58853.41</v>
      </c>
      <c r="AG246" s="493"/>
      <c r="AH246" s="495"/>
      <c r="AI246" s="496">
        <v>58853.41</v>
      </c>
      <c r="AJ246" s="453">
        <f t="shared" si="79"/>
        <v>0</v>
      </c>
      <c r="AK246" s="454"/>
      <c r="AL246" s="565"/>
      <c r="AM246" s="495">
        <v>50000</v>
      </c>
      <c r="AN246" s="494"/>
      <c r="AO246" s="451">
        <f t="shared" si="74"/>
        <v>50000</v>
      </c>
      <c r="AP246" s="452">
        <v>50000</v>
      </c>
      <c r="AQ246" s="453">
        <v>0</v>
      </c>
      <c r="AR246" s="498"/>
      <c r="AS246" s="456">
        <f t="shared" si="75"/>
        <v>0</v>
      </c>
      <c r="AT246" s="457"/>
      <c r="AV246" s="467"/>
      <c r="BB246" s="463"/>
    </row>
    <row r="247" spans="1:54" s="439" customFormat="1" ht="45" x14ac:dyDescent="0.25">
      <c r="A247" s="442" t="s">
        <v>1550</v>
      </c>
      <c r="B247" s="442" t="s">
        <v>1854</v>
      </c>
      <c r="C247" s="443">
        <v>100</v>
      </c>
      <c r="D247" s="444"/>
      <c r="E247" s="444"/>
      <c r="F247" s="444"/>
      <c r="G247" s="444"/>
      <c r="H247" s="444"/>
      <c r="I247" s="444"/>
      <c r="J247" s="444" t="s">
        <v>1618</v>
      </c>
      <c r="K247" s="444"/>
      <c r="L247" s="444"/>
      <c r="M247" s="476"/>
      <c r="N247" s="444"/>
      <c r="O247" s="444"/>
      <c r="P247" s="444"/>
      <c r="Q247" s="444"/>
      <c r="R247" s="444"/>
      <c r="S247" s="523" t="s">
        <v>26</v>
      </c>
      <c r="T247" s="444" t="s">
        <v>85</v>
      </c>
      <c r="U247" s="475" t="s">
        <v>1553</v>
      </c>
      <c r="V247" s="475" t="s">
        <v>1572</v>
      </c>
      <c r="W247" s="446"/>
      <c r="X247" s="447"/>
      <c r="Y247" s="447"/>
      <c r="Z247" s="447"/>
      <c r="AA247" s="447"/>
      <c r="AB247" s="447"/>
      <c r="AC247" s="447" t="s">
        <v>1619</v>
      </c>
      <c r="AD247" s="493">
        <v>27442.35</v>
      </c>
      <c r="AE247" s="494"/>
      <c r="AF247" s="451">
        <f t="shared" si="78"/>
        <v>27442.35</v>
      </c>
      <c r="AG247" s="493"/>
      <c r="AH247" s="495"/>
      <c r="AI247" s="496">
        <v>27442.35</v>
      </c>
      <c r="AJ247" s="453">
        <f t="shared" ref="AJ247" si="80">+AF247-SUM(AG247:AI247)</f>
        <v>0</v>
      </c>
      <c r="AK247" s="454">
        <v>27442.35</v>
      </c>
      <c r="AL247" s="565">
        <v>27442.35</v>
      </c>
      <c r="AM247" s="495"/>
      <c r="AN247" s="494"/>
      <c r="AO247" s="451">
        <f t="shared" si="74"/>
        <v>0</v>
      </c>
      <c r="AP247" s="452">
        <v>0</v>
      </c>
      <c r="AQ247" s="453">
        <v>0</v>
      </c>
      <c r="AR247" s="498"/>
      <c r="AS247" s="456">
        <f t="shared" si="75"/>
        <v>0</v>
      </c>
      <c r="AT247" s="457"/>
      <c r="AV247" s="467"/>
      <c r="BB247" s="463"/>
    </row>
    <row r="248" spans="1:54" s="439" customFormat="1" ht="78.75" x14ac:dyDescent="0.25">
      <c r="A248" s="442" t="s">
        <v>1551</v>
      </c>
      <c r="B248" s="442" t="s">
        <v>1892</v>
      </c>
      <c r="C248" s="443">
        <v>101</v>
      </c>
      <c r="D248" s="444"/>
      <c r="E248" s="444"/>
      <c r="F248" s="444"/>
      <c r="G248" s="444"/>
      <c r="H248" s="444"/>
      <c r="I248" s="444"/>
      <c r="J248" s="444"/>
      <c r="K248" s="444"/>
      <c r="L248" s="444"/>
      <c r="M248" s="476"/>
      <c r="N248" s="444"/>
      <c r="O248" s="444" t="s">
        <v>621</v>
      </c>
      <c r="P248" s="444" t="s">
        <v>1883</v>
      </c>
      <c r="Q248" s="444"/>
      <c r="R248" s="444"/>
      <c r="S248" s="445" t="s">
        <v>143</v>
      </c>
      <c r="T248" s="444" t="s">
        <v>85</v>
      </c>
      <c r="U248" s="475" t="s">
        <v>1552</v>
      </c>
      <c r="V248" s="475" t="s">
        <v>1568</v>
      </c>
      <c r="W248" s="446"/>
      <c r="X248" s="447"/>
      <c r="Y248" s="447"/>
      <c r="Z248" s="447"/>
      <c r="AA248" s="447"/>
      <c r="AB248" s="447"/>
      <c r="AC248" s="447" t="s">
        <v>1620</v>
      </c>
      <c r="AD248" s="493">
        <v>87658.84</v>
      </c>
      <c r="AE248" s="494"/>
      <c r="AF248" s="451">
        <f t="shared" si="78"/>
        <v>87658.84</v>
      </c>
      <c r="AG248" s="493"/>
      <c r="AH248" s="495"/>
      <c r="AI248" s="496"/>
      <c r="AJ248" s="453"/>
      <c r="AK248" s="454"/>
      <c r="AL248" s="565">
        <v>87658.84</v>
      </c>
      <c r="AM248" s="495">
        <v>87658.84</v>
      </c>
      <c r="AN248" s="494"/>
      <c r="AO248" s="451">
        <f t="shared" si="74"/>
        <v>87658.84</v>
      </c>
      <c r="AP248" s="452">
        <v>87658.84</v>
      </c>
      <c r="AQ248" s="453">
        <v>0</v>
      </c>
      <c r="AR248" s="498"/>
      <c r="AS248" s="456">
        <f t="shared" si="75"/>
        <v>-87658.84</v>
      </c>
      <c r="AT248" s="457"/>
      <c r="AV248" s="467"/>
      <c r="BB248" s="463"/>
    </row>
    <row r="249" spans="1:54" s="439" customFormat="1" ht="105" x14ac:dyDescent="0.25">
      <c r="A249" s="442" t="s">
        <v>1559</v>
      </c>
      <c r="B249" s="442" t="s">
        <v>1892</v>
      </c>
      <c r="C249" s="443"/>
      <c r="D249" s="444" t="s">
        <v>1943</v>
      </c>
      <c r="E249" s="444"/>
      <c r="F249" s="444"/>
      <c r="G249" s="444"/>
      <c r="H249" s="444"/>
      <c r="I249" s="444"/>
      <c r="J249" s="444" t="s">
        <v>1648</v>
      </c>
      <c r="K249" s="444"/>
      <c r="L249" s="444"/>
      <c r="M249" s="476">
        <v>43969</v>
      </c>
      <c r="N249" s="444"/>
      <c r="O249" s="444"/>
      <c r="P249" s="444"/>
      <c r="Q249" s="444"/>
      <c r="R249" s="444"/>
      <c r="S249" s="523" t="s">
        <v>26</v>
      </c>
      <c r="T249" s="444" t="s">
        <v>85</v>
      </c>
      <c r="U249" s="475" t="s">
        <v>1562</v>
      </c>
      <c r="V249" s="475" t="s">
        <v>1602</v>
      </c>
      <c r="W249" s="446"/>
      <c r="X249" s="447"/>
      <c r="Y249" s="447"/>
      <c r="Z249" s="447"/>
      <c r="AA249" s="447"/>
      <c r="AB249" s="447"/>
      <c r="AC249" s="476">
        <v>43863</v>
      </c>
      <c r="AD249" s="493">
        <v>15918.93</v>
      </c>
      <c r="AE249" s="494"/>
      <c r="AF249" s="451">
        <f t="shared" si="78"/>
        <v>15918.93</v>
      </c>
      <c r="AG249" s="493"/>
      <c r="AH249" s="495"/>
      <c r="AI249" s="496">
        <v>15918.93</v>
      </c>
      <c r="AJ249" s="453">
        <f>+AF249-SUM(AG249:AI249)</f>
        <v>0</v>
      </c>
      <c r="AK249" s="454">
        <v>15918.93</v>
      </c>
      <c r="AL249" s="565">
        <v>15918.93</v>
      </c>
      <c r="AM249" s="495">
        <v>20044</v>
      </c>
      <c r="AN249" s="494"/>
      <c r="AO249" s="451">
        <f t="shared" si="74"/>
        <v>20044</v>
      </c>
      <c r="AP249" s="452">
        <v>20044</v>
      </c>
      <c r="AQ249" s="453">
        <v>0</v>
      </c>
      <c r="AR249" s="498"/>
      <c r="AS249" s="456">
        <f t="shared" si="75"/>
        <v>0</v>
      </c>
      <c r="AT249" s="457"/>
      <c r="AV249" s="467"/>
      <c r="BB249" s="463"/>
    </row>
    <row r="250" spans="1:54" s="439" customFormat="1" ht="60" x14ac:dyDescent="0.25">
      <c r="A250" s="442" t="s">
        <v>1560</v>
      </c>
      <c r="B250" s="442"/>
      <c r="C250" s="443"/>
      <c r="D250" s="444"/>
      <c r="E250" s="444"/>
      <c r="F250" s="444"/>
      <c r="G250" s="444"/>
      <c r="H250" s="444"/>
      <c r="I250" s="444"/>
      <c r="J250" s="444" t="s">
        <v>1689</v>
      </c>
      <c r="K250" s="444"/>
      <c r="L250" s="444"/>
      <c r="M250" s="476">
        <v>43873</v>
      </c>
      <c r="N250" s="444"/>
      <c r="O250" s="444"/>
      <c r="P250" s="444"/>
      <c r="Q250" s="444"/>
      <c r="R250" s="444"/>
      <c r="S250" s="523" t="s">
        <v>26</v>
      </c>
      <c r="T250" s="444" t="s">
        <v>85</v>
      </c>
      <c r="U250" s="475" t="s">
        <v>1563</v>
      </c>
      <c r="V250" s="475" t="s">
        <v>1601</v>
      </c>
      <c r="W250" s="446"/>
      <c r="X250" s="447"/>
      <c r="Y250" s="447"/>
      <c r="Z250" s="447"/>
      <c r="AA250" s="447"/>
      <c r="AB250" s="447"/>
      <c r="AC250" s="447" t="s">
        <v>1690</v>
      </c>
      <c r="AD250" s="493">
        <v>1046079.07</v>
      </c>
      <c r="AE250" s="494">
        <v>-150000</v>
      </c>
      <c r="AF250" s="451">
        <f t="shared" si="78"/>
        <v>896079.07</v>
      </c>
      <c r="AG250" s="493"/>
      <c r="AH250" s="495"/>
      <c r="AI250" s="496"/>
      <c r="AJ250" s="453"/>
      <c r="AK250" s="454">
        <v>887373</v>
      </c>
      <c r="AL250" s="565">
        <v>887373</v>
      </c>
      <c r="AM250" s="495"/>
      <c r="AN250" s="494"/>
      <c r="AO250" s="451">
        <f t="shared" si="74"/>
        <v>0</v>
      </c>
      <c r="AP250" s="452">
        <v>0</v>
      </c>
      <c r="AQ250" s="453">
        <v>0</v>
      </c>
      <c r="AR250" s="498"/>
      <c r="AS250" s="456">
        <f t="shared" si="75"/>
        <v>0</v>
      </c>
      <c r="AT250" s="457"/>
      <c r="AV250" s="467"/>
      <c r="BB250" s="463"/>
    </row>
    <row r="251" spans="1:54" s="439" customFormat="1" ht="78.75" x14ac:dyDescent="0.25">
      <c r="A251" s="442" t="s">
        <v>1554</v>
      </c>
      <c r="B251" s="442"/>
      <c r="C251" s="443"/>
      <c r="D251" s="444"/>
      <c r="E251" s="444"/>
      <c r="F251" s="444"/>
      <c r="G251" s="444"/>
      <c r="H251" s="444"/>
      <c r="I251" s="444"/>
      <c r="J251" s="444" t="s">
        <v>1555</v>
      </c>
      <c r="K251" s="444"/>
      <c r="L251" s="444"/>
      <c r="M251" s="476">
        <v>43799</v>
      </c>
      <c r="N251" s="476" t="s">
        <v>621</v>
      </c>
      <c r="O251" s="444" t="s">
        <v>622</v>
      </c>
      <c r="P251" s="444" t="s">
        <v>1887</v>
      </c>
      <c r="Q251" s="444"/>
      <c r="R251" s="444"/>
      <c r="S251" s="445" t="s">
        <v>143</v>
      </c>
      <c r="T251" s="444" t="s">
        <v>85</v>
      </c>
      <c r="U251" s="475" t="s">
        <v>270</v>
      </c>
      <c r="V251" s="475" t="s">
        <v>1257</v>
      </c>
      <c r="W251" s="475"/>
      <c r="X251" s="447"/>
      <c r="Y251" s="447"/>
      <c r="Z251" s="447"/>
      <c r="AA251" s="447"/>
      <c r="AB251" s="447"/>
      <c r="AC251" s="447">
        <v>43799</v>
      </c>
      <c r="AD251" s="449">
        <v>4496767.6500000004</v>
      </c>
      <c r="AE251" s="450"/>
      <c r="AF251" s="451">
        <f t="shared" si="78"/>
        <v>4496767.6500000004</v>
      </c>
      <c r="AG251" s="449"/>
      <c r="AH251" s="452"/>
      <c r="AI251" s="450">
        <v>2466755.69</v>
      </c>
      <c r="AJ251" s="453">
        <f>+AF251-SUM(AG251:AI251)</f>
        <v>2030011.9600000004</v>
      </c>
      <c r="AK251" s="454">
        <v>0</v>
      </c>
      <c r="AL251" s="565">
        <v>0</v>
      </c>
      <c r="AM251" s="449"/>
      <c r="AN251" s="450">
        <v>3354671.74</v>
      </c>
      <c r="AO251" s="451">
        <f t="shared" si="74"/>
        <v>3354671.74</v>
      </c>
      <c r="AP251" s="452">
        <f>AO251-6386.72</f>
        <v>3348285.02</v>
      </c>
      <c r="AQ251" s="453">
        <v>0</v>
      </c>
      <c r="AR251" s="462"/>
      <c r="AS251" s="456">
        <f t="shared" si="75"/>
        <v>0</v>
      </c>
      <c r="AT251" s="457"/>
      <c r="AU251" s="481"/>
      <c r="AV251" s="467"/>
      <c r="AX251" s="463">
        <f>(AP251+AQ251)-(AO251)</f>
        <v>-6386.7200000002049</v>
      </c>
      <c r="BB251" s="463">
        <f>(AM251+AN251)-AO251</f>
        <v>0</v>
      </c>
    </row>
    <row r="252" spans="1:54" s="439" customFormat="1" ht="45" x14ac:dyDescent="0.25">
      <c r="A252" s="442" t="s">
        <v>1561</v>
      </c>
      <c r="B252" s="442"/>
      <c r="C252" s="443"/>
      <c r="D252" s="444" t="s">
        <v>1598</v>
      </c>
      <c r="E252" s="444"/>
      <c r="F252" s="444"/>
      <c r="G252" s="444"/>
      <c r="H252" s="444"/>
      <c r="I252" s="444"/>
      <c r="J252" s="444"/>
      <c r="K252" s="444"/>
      <c r="L252" s="444"/>
      <c r="M252" s="476">
        <v>43808</v>
      </c>
      <c r="N252" s="476" t="s">
        <v>622</v>
      </c>
      <c r="O252" s="444"/>
      <c r="P252" s="444"/>
      <c r="Q252" s="444"/>
      <c r="R252" s="444"/>
      <c r="S252" s="445" t="s">
        <v>26</v>
      </c>
      <c r="T252" s="444" t="s">
        <v>1262</v>
      </c>
      <c r="U252" s="475" t="s">
        <v>1564</v>
      </c>
      <c r="V252" s="475" t="s">
        <v>1599</v>
      </c>
      <c r="W252" s="446"/>
      <c r="X252" s="447"/>
      <c r="Y252" s="447"/>
      <c r="Z252" s="447"/>
      <c r="AA252" s="447"/>
      <c r="AB252" s="447"/>
      <c r="AC252" s="447" t="s">
        <v>2031</v>
      </c>
      <c r="AD252" s="493">
        <v>0</v>
      </c>
      <c r="AE252" s="494"/>
      <c r="AF252" s="451">
        <f t="shared" si="78"/>
        <v>0</v>
      </c>
      <c r="AG252" s="493"/>
      <c r="AH252" s="495"/>
      <c r="AI252" s="496"/>
      <c r="AJ252" s="453">
        <f t="shared" ref="AJ252:AJ277" si="81">+AF252-SUM(AG252:AI252)</f>
        <v>0</v>
      </c>
      <c r="AK252" s="454">
        <v>0</v>
      </c>
      <c r="AL252" s="565">
        <v>0</v>
      </c>
      <c r="AM252" s="495"/>
      <c r="AN252" s="494"/>
      <c r="AO252" s="451">
        <f t="shared" si="74"/>
        <v>0</v>
      </c>
      <c r="AP252" s="452">
        <v>0</v>
      </c>
      <c r="AQ252" s="453">
        <v>0</v>
      </c>
      <c r="AR252" s="498"/>
      <c r="AS252" s="456">
        <f t="shared" si="75"/>
        <v>0</v>
      </c>
      <c r="AT252" s="457"/>
      <c r="AV252" s="467"/>
      <c r="BB252" s="463"/>
    </row>
    <row r="253" spans="1:54" s="439" customFormat="1" ht="45" x14ac:dyDescent="0.25">
      <c r="A253" s="442" t="s">
        <v>1569</v>
      </c>
      <c r="B253" s="442"/>
      <c r="C253" s="443"/>
      <c r="D253" s="444"/>
      <c r="E253" s="444"/>
      <c r="F253" s="444"/>
      <c r="G253" s="444"/>
      <c r="H253" s="444"/>
      <c r="I253" s="444"/>
      <c r="J253" s="444"/>
      <c r="K253" s="444"/>
      <c r="L253" s="444"/>
      <c r="M253" s="476"/>
      <c r="N253" s="444"/>
      <c r="O253" s="444"/>
      <c r="P253" s="444"/>
      <c r="Q253" s="444"/>
      <c r="R253" s="444"/>
      <c r="S253" s="445" t="s">
        <v>26</v>
      </c>
      <c r="T253" s="444" t="s">
        <v>1262</v>
      </c>
      <c r="U253" s="475" t="s">
        <v>1570</v>
      </c>
      <c r="V253" s="475" t="s">
        <v>1600</v>
      </c>
      <c r="W253" s="446"/>
      <c r="X253" s="447"/>
      <c r="Y253" s="447"/>
      <c r="Z253" s="447"/>
      <c r="AA253" s="447"/>
      <c r="AB253" s="447"/>
      <c r="AC253" s="447" t="s">
        <v>2031</v>
      </c>
      <c r="AD253" s="493">
        <v>0</v>
      </c>
      <c r="AE253" s="494"/>
      <c r="AF253" s="451">
        <f t="shared" si="78"/>
        <v>0</v>
      </c>
      <c r="AG253" s="493"/>
      <c r="AH253" s="495"/>
      <c r="AI253" s="496"/>
      <c r="AJ253" s="453">
        <f t="shared" si="81"/>
        <v>0</v>
      </c>
      <c r="AK253" s="454">
        <v>0</v>
      </c>
      <c r="AL253" s="565">
        <v>0</v>
      </c>
      <c r="AM253" s="495"/>
      <c r="AN253" s="494"/>
      <c r="AO253" s="451">
        <f t="shared" si="74"/>
        <v>0</v>
      </c>
      <c r="AP253" s="452">
        <v>0</v>
      </c>
      <c r="AQ253" s="453">
        <v>0</v>
      </c>
      <c r="AR253" s="498"/>
      <c r="AS253" s="456">
        <f t="shared" si="75"/>
        <v>0</v>
      </c>
      <c r="AT253" s="457"/>
      <c r="AV253" s="467"/>
      <c r="BB253" s="463"/>
    </row>
    <row r="254" spans="1:54" s="439" customFormat="1" ht="78.75" x14ac:dyDescent="0.25">
      <c r="A254" s="442" t="s">
        <v>1575</v>
      </c>
      <c r="B254" s="442"/>
      <c r="C254" s="443"/>
      <c r="D254" s="444"/>
      <c r="E254" s="444"/>
      <c r="F254" s="444"/>
      <c r="G254" s="444"/>
      <c r="H254" s="444"/>
      <c r="I254" s="444"/>
      <c r="J254" s="444" t="s">
        <v>1649</v>
      </c>
      <c r="K254" s="444"/>
      <c r="L254" s="444"/>
      <c r="M254" s="476">
        <v>43862</v>
      </c>
      <c r="N254" s="444"/>
      <c r="O254" s="444" t="s">
        <v>622</v>
      </c>
      <c r="P254" s="444" t="s">
        <v>1883</v>
      </c>
      <c r="Q254" s="444"/>
      <c r="R254" s="444"/>
      <c r="S254" s="445" t="s">
        <v>143</v>
      </c>
      <c r="T254" s="444" t="s">
        <v>85</v>
      </c>
      <c r="U254" s="475" t="s">
        <v>1597</v>
      </c>
      <c r="V254" s="475" t="s">
        <v>1611</v>
      </c>
      <c r="W254" s="446"/>
      <c r="X254" s="447"/>
      <c r="Y254" s="447"/>
      <c r="Z254" s="447"/>
      <c r="AA254" s="447"/>
      <c r="AB254" s="447"/>
      <c r="AC254" s="476">
        <v>43862</v>
      </c>
      <c r="AD254" s="493">
        <v>3199.23</v>
      </c>
      <c r="AE254" s="494"/>
      <c r="AF254" s="451">
        <f t="shared" si="78"/>
        <v>3199.23</v>
      </c>
      <c r="AG254" s="493"/>
      <c r="AH254" s="495"/>
      <c r="AI254" s="496"/>
      <c r="AJ254" s="453">
        <f t="shared" si="81"/>
        <v>3199.23</v>
      </c>
      <c r="AK254" s="454"/>
      <c r="AL254" s="565"/>
      <c r="AM254" s="495"/>
      <c r="AN254" s="494"/>
      <c r="AO254" s="451">
        <f t="shared" si="74"/>
        <v>0</v>
      </c>
      <c r="AP254" s="452">
        <v>0</v>
      </c>
      <c r="AQ254" s="453">
        <v>0</v>
      </c>
      <c r="AR254" s="498"/>
      <c r="AS254" s="456">
        <f t="shared" si="75"/>
        <v>0</v>
      </c>
      <c r="AT254" s="457"/>
      <c r="AV254" s="467"/>
      <c r="BB254" s="463"/>
    </row>
    <row r="255" spans="1:54" s="439" customFormat="1" ht="75" x14ac:dyDescent="0.25">
      <c r="A255" s="442" t="s">
        <v>1588</v>
      </c>
      <c r="B255" s="442" t="s">
        <v>1892</v>
      </c>
      <c r="C255" s="443"/>
      <c r="D255" s="444"/>
      <c r="E255" s="444"/>
      <c r="F255" s="444"/>
      <c r="G255" s="444"/>
      <c r="H255" s="444"/>
      <c r="I255" s="444"/>
      <c r="J255" s="444" t="s">
        <v>1596</v>
      </c>
      <c r="K255" s="444"/>
      <c r="L255" s="444"/>
      <c r="M255" s="476">
        <v>43840</v>
      </c>
      <c r="N255" s="476" t="s">
        <v>621</v>
      </c>
      <c r="O255" s="444" t="s">
        <v>622</v>
      </c>
      <c r="P255" s="444" t="s">
        <v>1883</v>
      </c>
      <c r="Q255" s="444"/>
      <c r="R255" s="444"/>
      <c r="S255" s="523" t="s">
        <v>26</v>
      </c>
      <c r="T255" s="444" t="s">
        <v>85</v>
      </c>
      <c r="U255" s="475" t="s">
        <v>181</v>
      </c>
      <c r="V255" s="475" t="s">
        <v>1595</v>
      </c>
      <c r="W255" s="446"/>
      <c r="X255" s="447"/>
      <c r="Y255" s="447"/>
      <c r="Z255" s="447"/>
      <c r="AA255" s="447"/>
      <c r="AB255" s="447"/>
      <c r="AC255" s="447">
        <v>43840</v>
      </c>
      <c r="AD255" s="493">
        <f>303633.45+101211.15</f>
        <v>404844.6</v>
      </c>
      <c r="AE255" s="494"/>
      <c r="AF255" s="451">
        <f t="shared" si="78"/>
        <v>404844.6</v>
      </c>
      <c r="AG255" s="493"/>
      <c r="AH255" s="495"/>
      <c r="AI255" s="496">
        <v>250000</v>
      </c>
      <c r="AJ255" s="453">
        <f>+AF255-SUM(AG255:AI255)</f>
        <v>154844.59999999998</v>
      </c>
      <c r="AK255" s="454">
        <v>250000</v>
      </c>
      <c r="AL255" s="565">
        <v>250000</v>
      </c>
      <c r="AM255" s="495"/>
      <c r="AN255" s="494"/>
      <c r="AO255" s="451"/>
      <c r="AP255" s="452">
        <v>0</v>
      </c>
      <c r="AQ255" s="453">
        <v>0</v>
      </c>
      <c r="AR255" s="498"/>
      <c r="AS255" s="456">
        <f t="shared" si="75"/>
        <v>0</v>
      </c>
      <c r="AT255" s="457"/>
      <c r="AV255" s="467"/>
      <c r="BB255" s="463"/>
    </row>
    <row r="256" spans="1:54" s="439" customFormat="1" ht="78.75" x14ac:dyDescent="0.25">
      <c r="A256" s="442" t="s">
        <v>1871</v>
      </c>
      <c r="B256" s="442"/>
      <c r="C256" s="443"/>
      <c r="D256" s="444"/>
      <c r="E256" s="444"/>
      <c r="F256" s="444"/>
      <c r="G256" s="444"/>
      <c r="H256" s="444"/>
      <c r="I256" s="444"/>
      <c r="J256" s="444" t="s">
        <v>1596</v>
      </c>
      <c r="K256" s="444"/>
      <c r="L256" s="444"/>
      <c r="M256" s="476">
        <v>43840</v>
      </c>
      <c r="N256" s="476" t="s">
        <v>621</v>
      </c>
      <c r="O256" s="444"/>
      <c r="P256" s="444"/>
      <c r="Q256" s="444"/>
      <c r="R256" s="444"/>
      <c r="S256" s="445" t="s">
        <v>143</v>
      </c>
      <c r="T256" s="444" t="s">
        <v>85</v>
      </c>
      <c r="U256" s="475" t="s">
        <v>1872</v>
      </c>
      <c r="V256" s="475" t="s">
        <v>1595</v>
      </c>
      <c r="W256" s="446"/>
      <c r="X256" s="447"/>
      <c r="Y256" s="447"/>
      <c r="Z256" s="447"/>
      <c r="AA256" s="447"/>
      <c r="AB256" s="447"/>
      <c r="AC256" s="447">
        <v>43840</v>
      </c>
      <c r="AD256" s="493"/>
      <c r="AE256" s="494"/>
      <c r="AF256" s="451">
        <f t="shared" ref="AF256" si="82">+SUM(AD256:AE256)</f>
        <v>0</v>
      </c>
      <c r="AG256" s="493"/>
      <c r="AH256" s="495"/>
      <c r="AI256" s="496"/>
      <c r="AJ256" s="453"/>
      <c r="AK256" s="454"/>
      <c r="AL256" s="565"/>
      <c r="AM256" s="495">
        <v>50000</v>
      </c>
      <c r="AN256" s="494"/>
      <c r="AO256" s="451">
        <f t="shared" ref="AO256" si="83">AN256+AM256</f>
        <v>50000</v>
      </c>
      <c r="AP256" s="452">
        <f>AO256</f>
        <v>50000</v>
      </c>
      <c r="AQ256" s="453">
        <v>0</v>
      </c>
      <c r="AR256" s="498"/>
      <c r="AS256" s="456">
        <f t="shared" si="75"/>
        <v>0</v>
      </c>
      <c r="AT256" s="457"/>
      <c r="AV256" s="467"/>
      <c r="BB256" s="463"/>
    </row>
    <row r="257" spans="1:54" s="439" customFormat="1" ht="60" x14ac:dyDescent="0.25">
      <c r="A257" s="442" t="s">
        <v>1589</v>
      </c>
      <c r="B257" s="442"/>
      <c r="C257" s="443"/>
      <c r="D257" s="444"/>
      <c r="E257" s="444"/>
      <c r="F257" s="444"/>
      <c r="G257" s="444"/>
      <c r="H257" s="444"/>
      <c r="I257" s="444"/>
      <c r="J257" s="444" t="s">
        <v>1880</v>
      </c>
      <c r="K257" s="444"/>
      <c r="L257" s="444"/>
      <c r="M257" s="476">
        <v>43924</v>
      </c>
      <c r="N257" s="476" t="s">
        <v>621</v>
      </c>
      <c r="O257" s="444" t="s">
        <v>622</v>
      </c>
      <c r="P257" s="444" t="s">
        <v>1886</v>
      </c>
      <c r="Q257" s="444"/>
      <c r="R257" s="444"/>
      <c r="S257" s="523" t="s">
        <v>26</v>
      </c>
      <c r="T257" s="444" t="s">
        <v>85</v>
      </c>
      <c r="U257" s="475" t="s">
        <v>1593</v>
      </c>
      <c r="V257" s="475" t="s">
        <v>1604</v>
      </c>
      <c r="W257" s="446"/>
      <c r="X257" s="447"/>
      <c r="Y257" s="447"/>
      <c r="Z257" s="447"/>
      <c r="AA257" s="447"/>
      <c r="AB257" s="447"/>
      <c r="AC257" s="447">
        <v>43924</v>
      </c>
      <c r="AD257" s="493">
        <v>300915.28999999998</v>
      </c>
      <c r="AE257" s="494"/>
      <c r="AF257" s="451">
        <f t="shared" si="78"/>
        <v>300915.28999999998</v>
      </c>
      <c r="AG257" s="493"/>
      <c r="AH257" s="495"/>
      <c r="AI257" s="496">
        <v>300915.28999999998</v>
      </c>
      <c r="AJ257" s="453">
        <f t="shared" si="81"/>
        <v>0</v>
      </c>
      <c r="AK257" s="454">
        <v>264659</v>
      </c>
      <c r="AL257" s="565">
        <v>264659</v>
      </c>
      <c r="AM257" s="495"/>
      <c r="AN257" s="494"/>
      <c r="AO257" s="451">
        <f t="shared" si="74"/>
        <v>0</v>
      </c>
      <c r="AP257" s="452">
        <v>0</v>
      </c>
      <c r="AQ257" s="453">
        <v>0</v>
      </c>
      <c r="AR257" s="498"/>
      <c r="AS257" s="456">
        <f t="shared" si="75"/>
        <v>0</v>
      </c>
      <c r="AT257" s="457"/>
      <c r="AV257" s="467"/>
      <c r="BB257" s="463"/>
    </row>
    <row r="258" spans="1:54" s="439" customFormat="1" ht="78.75" x14ac:dyDescent="0.25">
      <c r="A258" s="442" t="s">
        <v>1590</v>
      </c>
      <c r="B258" s="442"/>
      <c r="C258" s="443"/>
      <c r="D258" s="444"/>
      <c r="E258" s="444"/>
      <c r="F258" s="444"/>
      <c r="G258" s="444"/>
      <c r="H258" s="444"/>
      <c r="I258" s="444"/>
      <c r="J258" s="444" t="s">
        <v>1617</v>
      </c>
      <c r="K258" s="444"/>
      <c r="L258" s="444"/>
      <c r="M258" s="476">
        <v>43843</v>
      </c>
      <c r="N258" s="476" t="s">
        <v>621</v>
      </c>
      <c r="O258" s="444"/>
      <c r="P258" s="444"/>
      <c r="Q258" s="444"/>
      <c r="R258" s="444"/>
      <c r="S258" s="445" t="s">
        <v>143</v>
      </c>
      <c r="T258" s="444" t="s">
        <v>85</v>
      </c>
      <c r="U258" s="475" t="s">
        <v>1594</v>
      </c>
      <c r="V258" s="475" t="s">
        <v>1605</v>
      </c>
      <c r="W258" s="446"/>
      <c r="X258" s="447"/>
      <c r="Y258" s="447"/>
      <c r="Z258" s="447"/>
      <c r="AA258" s="447"/>
      <c r="AB258" s="447"/>
      <c r="AC258" s="447">
        <v>43843</v>
      </c>
      <c r="AD258" s="493" t="s">
        <v>124</v>
      </c>
      <c r="AE258" s="494"/>
      <c r="AF258" s="451">
        <f t="shared" si="78"/>
        <v>0</v>
      </c>
      <c r="AG258" s="493"/>
      <c r="AH258" s="495"/>
      <c r="AI258" s="496"/>
      <c r="AJ258" s="453">
        <f t="shared" si="81"/>
        <v>0</v>
      </c>
      <c r="AK258" s="454"/>
      <c r="AL258" s="565"/>
      <c r="AM258" s="495">
        <v>97410</v>
      </c>
      <c r="AN258" s="494"/>
      <c r="AO258" s="451">
        <f t="shared" si="74"/>
        <v>97410</v>
      </c>
      <c r="AP258" s="452">
        <v>97410</v>
      </c>
      <c r="AQ258" s="453">
        <v>0</v>
      </c>
      <c r="AR258" s="498"/>
      <c r="AS258" s="456">
        <f t="shared" si="75"/>
        <v>0</v>
      </c>
      <c r="AT258" s="457"/>
      <c r="AV258" s="467"/>
      <c r="BB258" s="463"/>
    </row>
    <row r="259" spans="1:54" s="439" customFormat="1" ht="78.75" x14ac:dyDescent="0.25">
      <c r="A259" s="442" t="s">
        <v>1606</v>
      </c>
      <c r="B259" s="442"/>
      <c r="C259" s="443"/>
      <c r="D259" s="444"/>
      <c r="E259" s="444"/>
      <c r="F259" s="444"/>
      <c r="G259" s="444"/>
      <c r="H259" s="444"/>
      <c r="I259" s="444"/>
      <c r="J259" s="444"/>
      <c r="K259" s="444"/>
      <c r="L259" s="444"/>
      <c r="M259" s="476"/>
      <c r="N259" s="444"/>
      <c r="O259" s="444"/>
      <c r="P259" s="444"/>
      <c r="Q259" s="444"/>
      <c r="R259" s="444"/>
      <c r="S259" s="445" t="s">
        <v>143</v>
      </c>
      <c r="T259" s="444" t="s">
        <v>85</v>
      </c>
      <c r="U259" s="475" t="s">
        <v>1607</v>
      </c>
      <c r="V259" s="475" t="s">
        <v>1610</v>
      </c>
      <c r="W259" s="446"/>
      <c r="X259" s="447"/>
      <c r="Y259" s="447"/>
      <c r="Z259" s="447"/>
      <c r="AA259" s="447"/>
      <c r="AB259" s="447"/>
      <c r="AC259" s="447"/>
      <c r="AD259" s="493" t="s">
        <v>124</v>
      </c>
      <c r="AE259" s="494"/>
      <c r="AF259" s="451">
        <f t="shared" si="78"/>
        <v>0</v>
      </c>
      <c r="AG259" s="493"/>
      <c r="AH259" s="495"/>
      <c r="AI259" s="496"/>
      <c r="AJ259" s="453">
        <f t="shared" si="81"/>
        <v>0</v>
      </c>
      <c r="AK259" s="454"/>
      <c r="AL259" s="565"/>
      <c r="AM259" s="495"/>
      <c r="AN259" s="494"/>
      <c r="AO259" s="451">
        <f t="shared" si="74"/>
        <v>0</v>
      </c>
      <c r="AP259" s="452">
        <v>0</v>
      </c>
      <c r="AQ259" s="453">
        <v>0</v>
      </c>
      <c r="AR259" s="498"/>
      <c r="AS259" s="456">
        <f t="shared" si="75"/>
        <v>0</v>
      </c>
      <c r="AT259" s="457"/>
      <c r="AV259" s="467"/>
      <c r="BB259" s="463"/>
    </row>
    <row r="260" spans="1:54" s="439" customFormat="1" ht="31.5" x14ac:dyDescent="0.25">
      <c r="A260" s="442" t="s">
        <v>1608</v>
      </c>
      <c r="B260" s="442"/>
      <c r="C260" s="443"/>
      <c r="D260" s="444"/>
      <c r="E260" s="444"/>
      <c r="F260" s="444"/>
      <c r="G260" s="444"/>
      <c r="H260" s="444"/>
      <c r="I260" s="444"/>
      <c r="J260" s="444"/>
      <c r="K260" s="444"/>
      <c r="L260" s="444"/>
      <c r="M260" s="476"/>
      <c r="N260" s="444"/>
      <c r="O260" s="444"/>
      <c r="P260" s="444"/>
      <c r="Q260" s="444"/>
      <c r="R260" s="444"/>
      <c r="S260" s="445" t="s">
        <v>54</v>
      </c>
      <c r="T260" s="444" t="s">
        <v>85</v>
      </c>
      <c r="U260" s="475" t="s">
        <v>1622</v>
      </c>
      <c r="V260" s="475"/>
      <c r="W260" s="446"/>
      <c r="X260" s="447"/>
      <c r="Y260" s="447"/>
      <c r="Z260" s="447"/>
      <c r="AA260" s="447"/>
      <c r="AB260" s="447"/>
      <c r="AC260" s="447"/>
      <c r="AD260" s="493"/>
      <c r="AE260" s="494"/>
      <c r="AF260" s="451">
        <f t="shared" si="78"/>
        <v>0</v>
      </c>
      <c r="AG260" s="493"/>
      <c r="AH260" s="495"/>
      <c r="AI260" s="496"/>
      <c r="AJ260" s="453">
        <f t="shared" si="81"/>
        <v>0</v>
      </c>
      <c r="AK260" s="454"/>
      <c r="AL260" s="565"/>
      <c r="AM260" s="495"/>
      <c r="AN260" s="494"/>
      <c r="AO260" s="451">
        <f t="shared" si="74"/>
        <v>0</v>
      </c>
      <c r="AP260" s="452">
        <v>0</v>
      </c>
      <c r="AQ260" s="453">
        <v>0</v>
      </c>
      <c r="AR260" s="498"/>
      <c r="AS260" s="456">
        <f t="shared" si="75"/>
        <v>0</v>
      </c>
      <c r="AT260" s="457"/>
      <c r="AV260" s="467"/>
      <c r="BB260" s="463"/>
    </row>
    <row r="261" spans="1:54" s="439" customFormat="1" ht="30" x14ac:dyDescent="0.25">
      <c r="A261" s="442" t="s">
        <v>1609</v>
      </c>
      <c r="B261" s="442" t="s">
        <v>1853</v>
      </c>
      <c r="C261" s="443"/>
      <c r="D261" s="444"/>
      <c r="E261" s="444"/>
      <c r="F261" s="444"/>
      <c r="G261" s="444"/>
      <c r="H261" s="444"/>
      <c r="I261" s="444"/>
      <c r="J261" s="444" t="s">
        <v>1656</v>
      </c>
      <c r="K261" s="444"/>
      <c r="L261" s="444"/>
      <c r="M261" s="476">
        <v>43863</v>
      </c>
      <c r="N261" s="444"/>
      <c r="O261" s="444"/>
      <c r="P261" s="444"/>
      <c r="Q261" s="444"/>
      <c r="R261" s="444"/>
      <c r="S261" s="523" t="s">
        <v>26</v>
      </c>
      <c r="T261" s="444" t="s">
        <v>85</v>
      </c>
      <c r="U261" s="475" t="s">
        <v>1627</v>
      </c>
      <c r="V261" s="475" t="s">
        <v>1657</v>
      </c>
      <c r="W261" s="446"/>
      <c r="X261" s="447"/>
      <c r="Y261" s="447"/>
      <c r="Z261" s="447"/>
      <c r="AA261" s="447"/>
      <c r="AB261" s="447"/>
      <c r="AC261" s="476">
        <v>43863</v>
      </c>
      <c r="AD261" s="493">
        <v>1708.63</v>
      </c>
      <c r="AE261" s="494"/>
      <c r="AF261" s="451">
        <f t="shared" si="78"/>
        <v>1708.63</v>
      </c>
      <c r="AG261" s="493"/>
      <c r="AH261" s="495"/>
      <c r="AI261" s="496">
        <v>1708.63</v>
      </c>
      <c r="AJ261" s="453">
        <f t="shared" si="81"/>
        <v>0</v>
      </c>
      <c r="AK261" s="454">
        <v>1708.63</v>
      </c>
      <c r="AL261" s="565">
        <v>1708.63</v>
      </c>
      <c r="AM261" s="495"/>
      <c r="AN261" s="494"/>
      <c r="AO261" s="451">
        <f t="shared" si="74"/>
        <v>0</v>
      </c>
      <c r="AP261" s="452"/>
      <c r="AQ261" s="453">
        <v>0</v>
      </c>
      <c r="AR261" s="498"/>
      <c r="AS261" s="456">
        <f t="shared" si="75"/>
        <v>0</v>
      </c>
      <c r="AT261" s="457"/>
      <c r="AV261" s="467"/>
      <c r="BB261" s="463"/>
    </row>
    <row r="262" spans="1:54" s="439" customFormat="1" ht="45" x14ac:dyDescent="0.25">
      <c r="A262" s="442" t="s">
        <v>1615</v>
      </c>
      <c r="B262" s="442" t="s">
        <v>1853</v>
      </c>
      <c r="C262" s="443">
        <v>103</v>
      </c>
      <c r="D262" s="444"/>
      <c r="E262" s="444"/>
      <c r="F262" s="444"/>
      <c r="G262" s="444"/>
      <c r="H262" s="444"/>
      <c r="I262" s="444"/>
      <c r="J262" s="444"/>
      <c r="K262" s="444"/>
      <c r="L262" s="444"/>
      <c r="M262" s="476"/>
      <c r="N262" s="444"/>
      <c r="O262" s="444"/>
      <c r="P262" s="444"/>
      <c r="Q262" s="444"/>
      <c r="R262" s="444"/>
      <c r="S262" s="523" t="s">
        <v>26</v>
      </c>
      <c r="T262" s="444" t="s">
        <v>85</v>
      </c>
      <c r="U262" s="475" t="s">
        <v>1638</v>
      </c>
      <c r="V262" s="475" t="s">
        <v>1637</v>
      </c>
      <c r="W262" s="446" t="s">
        <v>74</v>
      </c>
      <c r="X262" s="447"/>
      <c r="Y262" s="447"/>
      <c r="Z262" s="447"/>
      <c r="AA262" s="447"/>
      <c r="AB262" s="447"/>
      <c r="AC262" s="447" t="s">
        <v>1621</v>
      </c>
      <c r="AD262" s="493">
        <v>22552.81</v>
      </c>
      <c r="AE262" s="494"/>
      <c r="AF262" s="451">
        <f t="shared" ref="AF262" si="84">+SUM(AD262:AE262)</f>
        <v>22552.81</v>
      </c>
      <c r="AG262" s="493"/>
      <c r="AH262" s="495"/>
      <c r="AI262" s="496"/>
      <c r="AJ262" s="453">
        <f t="shared" si="81"/>
        <v>22552.81</v>
      </c>
      <c r="AK262" s="454">
        <v>25000</v>
      </c>
      <c r="AL262" s="565">
        <v>25000</v>
      </c>
      <c r="AM262" s="495"/>
      <c r="AN262" s="494"/>
      <c r="AO262" s="451">
        <f t="shared" si="74"/>
        <v>0</v>
      </c>
      <c r="AP262" s="452">
        <v>0</v>
      </c>
      <c r="AQ262" s="453">
        <v>0</v>
      </c>
      <c r="AR262" s="498"/>
      <c r="AS262" s="456">
        <f t="shared" si="75"/>
        <v>0</v>
      </c>
      <c r="AT262" s="457"/>
      <c r="AV262" s="467"/>
      <c r="BB262" s="463"/>
    </row>
    <row r="263" spans="1:54" s="439" customFormat="1" ht="90" x14ac:dyDescent="0.25">
      <c r="A263" s="442" t="s">
        <v>1626</v>
      </c>
      <c r="B263" s="442"/>
      <c r="C263" s="443"/>
      <c r="D263" s="444"/>
      <c r="E263" s="444"/>
      <c r="F263" s="444"/>
      <c r="G263" s="444"/>
      <c r="H263" s="444"/>
      <c r="I263" s="444"/>
      <c r="J263" s="444" t="s">
        <v>1744</v>
      </c>
      <c r="K263" s="444"/>
      <c r="L263" s="444"/>
      <c r="M263" s="476">
        <v>43920</v>
      </c>
      <c r="N263" s="444"/>
      <c r="O263" s="444" t="s">
        <v>622</v>
      </c>
      <c r="P263" s="559" t="s">
        <v>1888</v>
      </c>
      <c r="Q263" s="444"/>
      <c r="R263" s="444"/>
      <c r="S263" s="445" t="s">
        <v>143</v>
      </c>
      <c r="T263" s="444" t="s">
        <v>85</v>
      </c>
      <c r="U263" s="475" t="s">
        <v>1709</v>
      </c>
      <c r="V263" s="475" t="s">
        <v>1739</v>
      </c>
      <c r="W263" s="446"/>
      <c r="X263" s="447"/>
      <c r="Y263" s="447"/>
      <c r="Z263" s="447"/>
      <c r="AA263" s="447"/>
      <c r="AB263" s="447"/>
      <c r="AC263" s="447">
        <v>43845</v>
      </c>
      <c r="AD263" s="493">
        <v>2524827.98</v>
      </c>
      <c r="AE263" s="494"/>
      <c r="AF263" s="451">
        <f t="shared" si="78"/>
        <v>2524827.98</v>
      </c>
      <c r="AG263" s="493"/>
      <c r="AH263" s="495"/>
      <c r="AI263" s="496"/>
      <c r="AJ263" s="453">
        <f t="shared" si="81"/>
        <v>2524827.98</v>
      </c>
      <c r="AK263" s="454"/>
      <c r="AL263" s="565"/>
      <c r="AM263" s="495"/>
      <c r="AN263" s="494"/>
      <c r="AO263" s="451">
        <f t="shared" si="74"/>
        <v>0</v>
      </c>
      <c r="AP263" s="452">
        <v>0</v>
      </c>
      <c r="AQ263" s="453">
        <v>0</v>
      </c>
      <c r="AR263" s="498"/>
      <c r="AS263" s="456">
        <f t="shared" si="75"/>
        <v>0</v>
      </c>
      <c r="AT263" s="457"/>
      <c r="AV263" s="467"/>
      <c r="BB263" s="463"/>
    </row>
    <row r="264" spans="1:54" s="439" customFormat="1" ht="60" x14ac:dyDescent="0.25">
      <c r="A264" s="442" t="s">
        <v>1639</v>
      </c>
      <c r="B264" s="442"/>
      <c r="C264" s="443">
        <v>105</v>
      </c>
      <c r="D264" s="444" t="s">
        <v>1923</v>
      </c>
      <c r="E264" s="444"/>
      <c r="F264" s="444"/>
      <c r="G264" s="444"/>
      <c r="H264" s="444"/>
      <c r="I264" s="444"/>
      <c r="J264" s="444"/>
      <c r="K264" s="444"/>
      <c r="L264" s="444"/>
      <c r="M264" s="476">
        <v>43969</v>
      </c>
      <c r="N264" s="444"/>
      <c r="O264" s="444"/>
      <c r="P264" s="444"/>
      <c r="Q264" s="444"/>
      <c r="R264" s="444"/>
      <c r="S264" s="523" t="s">
        <v>26</v>
      </c>
      <c r="T264" s="444" t="s">
        <v>85</v>
      </c>
      <c r="U264" s="475" t="s">
        <v>1640</v>
      </c>
      <c r="V264" s="475" t="s">
        <v>1642</v>
      </c>
      <c r="W264" s="446" t="s">
        <v>74</v>
      </c>
      <c r="X264" s="447"/>
      <c r="Y264" s="447"/>
      <c r="Z264" s="447"/>
      <c r="AA264" s="447"/>
      <c r="AB264" s="447"/>
      <c r="AC264" s="447" t="s">
        <v>1641</v>
      </c>
      <c r="AD264" s="493">
        <v>6054.57</v>
      </c>
      <c r="AE264" s="494">
        <f>-AD264+5461.37</f>
        <v>-593.19999999999982</v>
      </c>
      <c r="AF264" s="451">
        <f t="shared" si="78"/>
        <v>5461.37</v>
      </c>
      <c r="AG264" s="493"/>
      <c r="AH264" s="495"/>
      <c r="AI264" s="496"/>
      <c r="AJ264" s="453">
        <f t="shared" si="81"/>
        <v>5461.37</v>
      </c>
      <c r="AK264" s="565">
        <v>5461.37</v>
      </c>
      <c r="AL264" s="565">
        <v>6045.48</v>
      </c>
      <c r="AM264" s="495"/>
      <c r="AN264" s="494"/>
      <c r="AO264" s="451">
        <f t="shared" si="74"/>
        <v>0</v>
      </c>
      <c r="AP264" s="452"/>
      <c r="AQ264" s="453">
        <v>0</v>
      </c>
      <c r="AR264" s="498"/>
      <c r="AS264" s="456">
        <f t="shared" si="75"/>
        <v>-584.10999999999967</v>
      </c>
      <c r="AT264" s="457"/>
      <c r="AV264" s="467"/>
      <c r="BB264" s="463"/>
    </row>
    <row r="265" spans="1:54" s="439" customFormat="1" ht="60" x14ac:dyDescent="0.25">
      <c r="A265" s="442" t="s">
        <v>1643</v>
      </c>
      <c r="B265" s="442"/>
      <c r="C265" s="443">
        <v>106</v>
      </c>
      <c r="D265" s="444" t="s">
        <v>1940</v>
      </c>
      <c r="E265" s="444"/>
      <c r="F265" s="444"/>
      <c r="G265" s="444"/>
      <c r="H265" s="444"/>
      <c r="I265" s="444"/>
      <c r="J265" s="444" t="s">
        <v>1676</v>
      </c>
      <c r="K265" s="444"/>
      <c r="L265" s="444"/>
      <c r="M265" s="476">
        <v>43969</v>
      </c>
      <c r="N265" s="444"/>
      <c r="O265" s="444"/>
      <c r="P265" s="444"/>
      <c r="Q265" s="444"/>
      <c r="R265" s="444"/>
      <c r="S265" s="523" t="s">
        <v>26</v>
      </c>
      <c r="T265" s="444" t="s">
        <v>85</v>
      </c>
      <c r="U265" s="475" t="s">
        <v>1644</v>
      </c>
      <c r="V265" s="475" t="s">
        <v>1646</v>
      </c>
      <c r="W265" s="446" t="s">
        <v>74</v>
      </c>
      <c r="X265" s="447"/>
      <c r="Y265" s="447"/>
      <c r="Z265" s="447"/>
      <c r="AA265" s="447"/>
      <c r="AB265" s="447"/>
      <c r="AC265" s="447" t="s">
        <v>1645</v>
      </c>
      <c r="AD265" s="493">
        <v>6888.05</v>
      </c>
      <c r="AE265" s="494"/>
      <c r="AF265" s="451">
        <f t="shared" ref="AF265" si="85">+SUM(AD265:AE265)</f>
        <v>6888.05</v>
      </c>
      <c r="AG265" s="493"/>
      <c r="AH265" s="495"/>
      <c r="AI265" s="496">
        <f>AF265</f>
        <v>6888.05</v>
      </c>
      <c r="AJ265" s="453">
        <f t="shared" si="81"/>
        <v>0</v>
      </c>
      <c r="AK265" s="454">
        <v>6888.05</v>
      </c>
      <c r="AL265" s="565">
        <v>6888.05</v>
      </c>
      <c r="AM265" s="495"/>
      <c r="AN265" s="494"/>
      <c r="AO265" s="451"/>
      <c r="AP265" s="452">
        <v>0</v>
      </c>
      <c r="AQ265" s="453">
        <v>0</v>
      </c>
      <c r="AR265" s="498"/>
      <c r="AS265" s="456">
        <f t="shared" si="75"/>
        <v>0</v>
      </c>
      <c r="AT265" s="457"/>
      <c r="AV265" s="467"/>
      <c r="BB265" s="463"/>
    </row>
    <row r="266" spans="1:54" s="439" customFormat="1" ht="45" x14ac:dyDescent="0.25">
      <c r="A266" s="442" t="s">
        <v>1650</v>
      </c>
      <c r="B266" s="442"/>
      <c r="C266" s="443"/>
      <c r="D266" s="444"/>
      <c r="E266" s="444"/>
      <c r="F266" s="444"/>
      <c r="G266" s="444"/>
      <c r="H266" s="444"/>
      <c r="I266" s="444"/>
      <c r="J266" s="444"/>
      <c r="K266" s="444"/>
      <c r="L266" s="444"/>
      <c r="M266" s="476"/>
      <c r="N266" s="444"/>
      <c r="O266" s="444"/>
      <c r="P266" s="444"/>
      <c r="Q266" s="444"/>
      <c r="R266" s="444"/>
      <c r="S266" s="445" t="s">
        <v>54</v>
      </c>
      <c r="T266" s="444" t="s">
        <v>85</v>
      </c>
      <c r="U266" s="475" t="s">
        <v>1660</v>
      </c>
      <c r="V266" s="475" t="s">
        <v>1708</v>
      </c>
      <c r="W266" s="446"/>
      <c r="X266" s="447"/>
      <c r="Y266" s="447"/>
      <c r="Z266" s="447"/>
      <c r="AA266" s="447"/>
      <c r="AB266" s="447"/>
      <c r="AC266" s="447"/>
      <c r="AD266" s="493"/>
      <c r="AE266" s="494"/>
      <c r="AF266" s="451">
        <f t="shared" si="78"/>
        <v>0</v>
      </c>
      <c r="AG266" s="493"/>
      <c r="AH266" s="495"/>
      <c r="AI266" s="496"/>
      <c r="AJ266" s="453">
        <f t="shared" si="81"/>
        <v>0</v>
      </c>
      <c r="AK266" s="454"/>
      <c r="AL266" s="565"/>
      <c r="AM266" s="495"/>
      <c r="AN266" s="494"/>
      <c r="AO266" s="451">
        <f t="shared" ref="AO266:AO270" si="86">AN266+AM266</f>
        <v>0</v>
      </c>
      <c r="AP266" s="452">
        <v>0</v>
      </c>
      <c r="AQ266" s="453">
        <v>0</v>
      </c>
      <c r="AR266" s="498"/>
      <c r="AS266" s="456">
        <f t="shared" si="75"/>
        <v>0</v>
      </c>
      <c r="AT266" s="457"/>
      <c r="AV266" s="467"/>
      <c r="BB266" s="463"/>
    </row>
    <row r="267" spans="1:54" s="439" customFormat="1" ht="78.75" x14ac:dyDescent="0.25">
      <c r="A267" s="442" t="s">
        <v>1651</v>
      </c>
      <c r="B267" s="442"/>
      <c r="C267" s="443"/>
      <c r="D267" s="444"/>
      <c r="E267" s="444"/>
      <c r="F267" s="444"/>
      <c r="G267" s="444"/>
      <c r="H267" s="444"/>
      <c r="I267" s="444"/>
      <c r="J267" s="444" t="s">
        <v>1662</v>
      </c>
      <c r="K267" s="444"/>
      <c r="L267" s="444"/>
      <c r="M267" s="476">
        <v>43862</v>
      </c>
      <c r="N267" s="444"/>
      <c r="O267" s="444"/>
      <c r="P267" s="444"/>
      <c r="Q267" s="444"/>
      <c r="R267" s="444"/>
      <c r="S267" s="445" t="s">
        <v>143</v>
      </c>
      <c r="T267" s="444" t="s">
        <v>85</v>
      </c>
      <c r="U267" s="475" t="s">
        <v>1661</v>
      </c>
      <c r="V267" s="475" t="s">
        <v>1675</v>
      </c>
      <c r="W267" s="446" t="s">
        <v>74</v>
      </c>
      <c r="X267" s="447"/>
      <c r="Y267" s="447"/>
      <c r="Z267" s="447"/>
      <c r="AA267" s="447"/>
      <c r="AB267" s="447"/>
      <c r="AC267" s="476">
        <v>43862</v>
      </c>
      <c r="AD267" s="493" t="s">
        <v>124</v>
      </c>
      <c r="AE267" s="494"/>
      <c r="AF267" s="451">
        <f t="shared" si="78"/>
        <v>0</v>
      </c>
      <c r="AG267" s="493"/>
      <c r="AH267" s="495"/>
      <c r="AI267" s="496"/>
      <c r="AJ267" s="453">
        <f t="shared" si="81"/>
        <v>0</v>
      </c>
      <c r="AK267" s="454"/>
      <c r="AL267" s="565"/>
      <c r="AM267" s="495"/>
      <c r="AN267" s="494"/>
      <c r="AO267" s="451">
        <f t="shared" si="86"/>
        <v>0</v>
      </c>
      <c r="AP267" s="452">
        <v>0</v>
      </c>
      <c r="AQ267" s="453">
        <v>0</v>
      </c>
      <c r="AR267" s="498"/>
      <c r="AS267" s="456">
        <f t="shared" ref="AS267:AS333" si="87">AK267-AL267</f>
        <v>0</v>
      </c>
      <c r="AT267" s="457"/>
      <c r="AV267" s="467"/>
      <c r="BB267" s="463"/>
    </row>
    <row r="268" spans="1:54" s="439" customFormat="1" ht="31.5" x14ac:dyDescent="0.25">
      <c r="A268" s="442" t="s">
        <v>1652</v>
      </c>
      <c r="B268" s="442"/>
      <c r="C268" s="443"/>
      <c r="D268" s="444"/>
      <c r="E268" s="444"/>
      <c r="F268" s="444"/>
      <c r="G268" s="444"/>
      <c r="H268" s="444"/>
      <c r="I268" s="444"/>
      <c r="J268" s="444"/>
      <c r="K268" s="444"/>
      <c r="L268" s="444"/>
      <c r="M268" s="476"/>
      <c r="N268" s="444"/>
      <c r="O268" s="444"/>
      <c r="P268" s="444"/>
      <c r="Q268" s="444"/>
      <c r="R268" s="444"/>
      <c r="S268" s="445" t="s">
        <v>54</v>
      </c>
      <c r="T268" s="444" t="s">
        <v>85</v>
      </c>
      <c r="U268" s="475" t="s">
        <v>1294</v>
      </c>
      <c r="V268" s="475"/>
      <c r="W268" s="446"/>
      <c r="X268" s="447"/>
      <c r="Y268" s="447"/>
      <c r="Z268" s="447"/>
      <c r="AA268" s="447"/>
      <c r="AB268" s="447"/>
      <c r="AC268" s="447"/>
      <c r="AD268" s="493"/>
      <c r="AE268" s="494"/>
      <c r="AF268" s="451">
        <f t="shared" si="78"/>
        <v>0</v>
      </c>
      <c r="AG268" s="493"/>
      <c r="AH268" s="495"/>
      <c r="AI268" s="496"/>
      <c r="AJ268" s="453">
        <f t="shared" si="81"/>
        <v>0</v>
      </c>
      <c r="AK268" s="454"/>
      <c r="AL268" s="565"/>
      <c r="AM268" s="495"/>
      <c r="AN268" s="494"/>
      <c r="AO268" s="451">
        <f t="shared" si="86"/>
        <v>0</v>
      </c>
      <c r="AP268" s="452">
        <v>0</v>
      </c>
      <c r="AQ268" s="453">
        <v>0</v>
      </c>
      <c r="AR268" s="498"/>
      <c r="AS268" s="456">
        <f t="shared" si="87"/>
        <v>0</v>
      </c>
      <c r="AT268" s="457"/>
      <c r="AV268" s="467"/>
      <c r="BB268" s="463"/>
    </row>
    <row r="269" spans="1:54" s="439" customFormat="1" ht="31.5" x14ac:dyDescent="0.25">
      <c r="A269" s="442" t="s">
        <v>1653</v>
      </c>
      <c r="B269" s="442"/>
      <c r="C269" s="443"/>
      <c r="D269" s="444"/>
      <c r="E269" s="444"/>
      <c r="F269" s="444"/>
      <c r="G269" s="444"/>
      <c r="H269" s="444"/>
      <c r="I269" s="444"/>
      <c r="J269" s="444" t="s">
        <v>1664</v>
      </c>
      <c r="K269" s="444"/>
      <c r="L269" s="444"/>
      <c r="M269" s="476"/>
      <c r="N269" s="444"/>
      <c r="O269" s="444"/>
      <c r="P269" s="444"/>
      <c r="Q269" s="444"/>
      <c r="R269" s="444"/>
      <c r="S269" s="445" t="s">
        <v>54</v>
      </c>
      <c r="T269" s="444" t="s">
        <v>85</v>
      </c>
      <c r="U269" s="475" t="s">
        <v>1294</v>
      </c>
      <c r="V269" s="475"/>
      <c r="W269" s="446"/>
      <c r="X269" s="447"/>
      <c r="Y269" s="447"/>
      <c r="Z269" s="447"/>
      <c r="AA269" s="447"/>
      <c r="AB269" s="447"/>
      <c r="AC269" s="447"/>
      <c r="AD269" s="493">
        <v>864931.66</v>
      </c>
      <c r="AE269" s="494">
        <f>-AD269</f>
        <v>-864931.66</v>
      </c>
      <c r="AF269" s="451">
        <f t="shared" ref="AF269:AF279" si="88">+SUM(AD269:AE269)</f>
        <v>0</v>
      </c>
      <c r="AG269" s="493"/>
      <c r="AH269" s="495"/>
      <c r="AI269" s="496"/>
      <c r="AJ269" s="453">
        <f t="shared" si="81"/>
        <v>0</v>
      </c>
      <c r="AK269" s="454"/>
      <c r="AL269" s="565"/>
      <c r="AM269" s="495"/>
      <c r="AN269" s="494"/>
      <c r="AO269" s="451">
        <f t="shared" si="86"/>
        <v>0</v>
      </c>
      <c r="AP269" s="452">
        <v>0</v>
      </c>
      <c r="AQ269" s="453">
        <v>0</v>
      </c>
      <c r="AR269" s="498"/>
      <c r="AS269" s="456">
        <f t="shared" si="87"/>
        <v>0</v>
      </c>
      <c r="AT269" s="457"/>
      <c r="AV269" s="467"/>
      <c r="BB269" s="463"/>
    </row>
    <row r="270" spans="1:54" s="439" customFormat="1" ht="90" x14ac:dyDescent="0.25">
      <c r="A270" s="442" t="s">
        <v>1654</v>
      </c>
      <c r="B270" s="442"/>
      <c r="C270" s="443"/>
      <c r="D270" s="444"/>
      <c r="E270" s="444"/>
      <c r="F270" s="444"/>
      <c r="G270" s="444"/>
      <c r="H270" s="444"/>
      <c r="I270" s="444"/>
      <c r="J270" s="444" t="s">
        <v>1745</v>
      </c>
      <c r="K270" s="444"/>
      <c r="L270" s="444"/>
      <c r="M270" s="476">
        <v>43920</v>
      </c>
      <c r="N270" s="444"/>
      <c r="O270" s="444" t="s">
        <v>622</v>
      </c>
      <c r="P270" s="559" t="s">
        <v>1888</v>
      </c>
      <c r="Q270" s="444"/>
      <c r="R270" s="444"/>
      <c r="S270" s="445" t="s">
        <v>143</v>
      </c>
      <c r="T270" s="444" t="s">
        <v>85</v>
      </c>
      <c r="U270" s="475" t="s">
        <v>1683</v>
      </c>
      <c r="V270" s="475" t="s">
        <v>1739</v>
      </c>
      <c r="W270" s="446"/>
      <c r="X270" s="447"/>
      <c r="Y270" s="447"/>
      <c r="Z270" s="447"/>
      <c r="AA270" s="447"/>
      <c r="AB270" s="447"/>
      <c r="AC270" s="447">
        <v>43852</v>
      </c>
      <c r="AD270" s="493">
        <v>4644738.17</v>
      </c>
      <c r="AE270" s="494"/>
      <c r="AF270" s="451">
        <f t="shared" si="78"/>
        <v>4644738.17</v>
      </c>
      <c r="AG270" s="493"/>
      <c r="AH270" s="495"/>
      <c r="AI270" s="496"/>
      <c r="AJ270" s="453">
        <f t="shared" si="81"/>
        <v>4644738.17</v>
      </c>
      <c r="AK270" s="454"/>
      <c r="AL270" s="565"/>
      <c r="AM270" s="495"/>
      <c r="AN270" s="494"/>
      <c r="AO270" s="451">
        <f t="shared" si="86"/>
        <v>0</v>
      </c>
      <c r="AP270" s="452">
        <v>0</v>
      </c>
      <c r="AQ270" s="453">
        <v>0</v>
      </c>
      <c r="AR270" s="498"/>
      <c r="AS270" s="456">
        <f t="shared" si="87"/>
        <v>0</v>
      </c>
      <c r="AT270" s="457"/>
      <c r="AV270" s="467"/>
      <c r="BB270" s="463"/>
    </row>
    <row r="271" spans="1:54" s="439" customFormat="1" ht="30" x14ac:dyDescent="0.25">
      <c r="A271" s="442" t="s">
        <v>1655</v>
      </c>
      <c r="B271" s="442" t="s">
        <v>1853</v>
      </c>
      <c r="C271" s="443"/>
      <c r="D271" s="444"/>
      <c r="E271" s="444"/>
      <c r="F271" s="444"/>
      <c r="G271" s="444"/>
      <c r="H271" s="444"/>
      <c r="I271" s="444"/>
      <c r="J271" s="444" t="s">
        <v>1663</v>
      </c>
      <c r="K271" s="444"/>
      <c r="L271" s="444"/>
      <c r="M271" s="476">
        <v>43862</v>
      </c>
      <c r="N271" s="444"/>
      <c r="O271" s="444"/>
      <c r="P271" s="444"/>
      <c r="Q271" s="444"/>
      <c r="R271" s="444"/>
      <c r="S271" s="523" t="s">
        <v>26</v>
      </c>
      <c r="T271" s="444" t="s">
        <v>85</v>
      </c>
      <c r="U271" s="475" t="s">
        <v>1658</v>
      </c>
      <c r="V271" s="475" t="s">
        <v>1659</v>
      </c>
      <c r="W271" s="446" t="s">
        <v>74</v>
      </c>
      <c r="X271" s="447"/>
      <c r="Y271" s="447"/>
      <c r="Z271" s="447"/>
      <c r="AA271" s="447"/>
      <c r="AB271" s="447"/>
      <c r="AC271" s="476">
        <v>43862</v>
      </c>
      <c r="AD271" s="493">
        <v>4275.0600000000004</v>
      </c>
      <c r="AE271" s="494"/>
      <c r="AF271" s="451">
        <f t="shared" si="88"/>
        <v>4275.0600000000004</v>
      </c>
      <c r="AG271" s="493"/>
      <c r="AH271" s="495"/>
      <c r="AI271" s="496">
        <v>4275.0600000000004</v>
      </c>
      <c r="AJ271" s="453">
        <f t="shared" si="81"/>
        <v>0</v>
      </c>
      <c r="AK271" s="454">
        <v>4275.0600000000004</v>
      </c>
      <c r="AL271" s="565">
        <v>4275.0600000000004</v>
      </c>
      <c r="AM271" s="495"/>
      <c r="AN271" s="494"/>
      <c r="AO271" s="451">
        <f t="shared" ref="AO271:AO301" si="89">AN271+AM271</f>
        <v>0</v>
      </c>
      <c r="AP271" s="452">
        <v>0</v>
      </c>
      <c r="AQ271" s="453">
        <v>0</v>
      </c>
      <c r="AR271" s="498"/>
      <c r="AS271" s="456">
        <f t="shared" si="87"/>
        <v>0</v>
      </c>
      <c r="AT271" s="457"/>
      <c r="AV271" s="467"/>
      <c r="BB271" s="463"/>
    </row>
    <row r="272" spans="1:54" s="439" customFormat="1" ht="45" x14ac:dyDescent="0.25">
      <c r="A272" s="442" t="s">
        <v>1681</v>
      </c>
      <c r="B272" s="442"/>
      <c r="C272" s="443"/>
      <c r="D272" s="444"/>
      <c r="E272" s="444"/>
      <c r="F272" s="444"/>
      <c r="G272" s="444"/>
      <c r="H272" s="444"/>
      <c r="I272" s="444"/>
      <c r="J272" s="444"/>
      <c r="K272" s="444"/>
      <c r="L272" s="444"/>
      <c r="M272" s="476"/>
      <c r="N272" s="444"/>
      <c r="O272" s="444"/>
      <c r="P272" s="444"/>
      <c r="Q272" s="444"/>
      <c r="R272" s="444"/>
      <c r="S272" s="445" t="s">
        <v>54</v>
      </c>
      <c r="T272" s="444" t="s">
        <v>85</v>
      </c>
      <c r="U272" s="475" t="s">
        <v>1684</v>
      </c>
      <c r="V272" s="475" t="s">
        <v>1685</v>
      </c>
      <c r="W272" s="446" t="s">
        <v>74</v>
      </c>
      <c r="X272" s="447"/>
      <c r="Y272" s="447"/>
      <c r="Z272" s="447"/>
      <c r="AA272" s="447"/>
      <c r="AB272" s="447"/>
      <c r="AC272" s="476"/>
      <c r="AD272" s="493"/>
      <c r="AE272" s="494"/>
      <c r="AF272" s="451">
        <f t="shared" si="88"/>
        <v>0</v>
      </c>
      <c r="AG272" s="493"/>
      <c r="AH272" s="495"/>
      <c r="AI272" s="496"/>
      <c r="AJ272" s="453">
        <f t="shared" si="81"/>
        <v>0</v>
      </c>
      <c r="AK272" s="454"/>
      <c r="AL272" s="565"/>
      <c r="AM272" s="495"/>
      <c r="AN272" s="494"/>
      <c r="AO272" s="451">
        <f t="shared" si="89"/>
        <v>0</v>
      </c>
      <c r="AP272" s="452">
        <v>0</v>
      </c>
      <c r="AQ272" s="453">
        <v>0</v>
      </c>
      <c r="AR272" s="498"/>
      <c r="AS272" s="456">
        <f t="shared" si="87"/>
        <v>0</v>
      </c>
      <c r="AT272" s="457"/>
      <c r="AV272" s="467"/>
      <c r="BB272" s="463"/>
    </row>
    <row r="273" spans="1:54" s="439" customFormat="1" ht="78.75" x14ac:dyDescent="0.25">
      <c r="A273" s="442" t="s">
        <v>1682</v>
      </c>
      <c r="B273" s="442"/>
      <c r="C273" s="443"/>
      <c r="D273" s="444"/>
      <c r="E273" s="444"/>
      <c r="F273" s="444"/>
      <c r="G273" s="444"/>
      <c r="H273" s="444"/>
      <c r="I273" s="444"/>
      <c r="J273" s="444" t="s">
        <v>1895</v>
      </c>
      <c r="K273" s="444"/>
      <c r="L273" s="444"/>
      <c r="M273" s="476">
        <v>43950</v>
      </c>
      <c r="N273" s="444"/>
      <c r="O273" s="444" t="s">
        <v>622</v>
      </c>
      <c r="P273" s="444" t="s">
        <v>1886</v>
      </c>
      <c r="Q273" s="444"/>
      <c r="R273" s="444"/>
      <c r="S273" s="445" t="s">
        <v>143</v>
      </c>
      <c r="T273" s="444" t="s">
        <v>85</v>
      </c>
      <c r="U273" s="475" t="s">
        <v>1686</v>
      </c>
      <c r="V273" s="475" t="s">
        <v>2021</v>
      </c>
      <c r="W273" s="446" t="s">
        <v>74</v>
      </c>
      <c r="X273" s="447"/>
      <c r="Y273" s="447"/>
      <c r="Z273" s="447"/>
      <c r="AA273" s="447"/>
      <c r="AB273" s="447"/>
      <c r="AC273" s="476">
        <v>43950</v>
      </c>
      <c r="AD273" s="493">
        <v>25962.45</v>
      </c>
      <c r="AE273" s="494"/>
      <c r="AF273" s="451">
        <f t="shared" si="88"/>
        <v>25962.45</v>
      </c>
      <c r="AG273" s="493"/>
      <c r="AH273" s="495"/>
      <c r="AI273" s="496"/>
      <c r="AJ273" s="453">
        <f t="shared" si="81"/>
        <v>25962.45</v>
      </c>
      <c r="AK273" s="454"/>
      <c r="AL273" s="565"/>
      <c r="AM273" s="495"/>
      <c r="AN273" s="494"/>
      <c r="AO273" s="451">
        <f t="shared" si="89"/>
        <v>0</v>
      </c>
      <c r="AP273" s="452">
        <v>0</v>
      </c>
      <c r="AQ273" s="453">
        <v>0</v>
      </c>
      <c r="AR273" s="498"/>
      <c r="AS273" s="456">
        <f t="shared" si="87"/>
        <v>0</v>
      </c>
      <c r="AT273" s="457"/>
      <c r="AV273" s="467"/>
      <c r="BB273" s="463"/>
    </row>
    <row r="274" spans="1:54" s="439" customFormat="1" ht="30" x14ac:dyDescent="0.25">
      <c r="A274" s="442" t="s">
        <v>1687</v>
      </c>
      <c r="B274" s="442" t="s">
        <v>1892</v>
      </c>
      <c r="C274" s="443"/>
      <c r="D274" s="444" t="s">
        <v>1900</v>
      </c>
      <c r="E274" s="444"/>
      <c r="F274" s="444"/>
      <c r="G274" s="444"/>
      <c r="H274" s="444"/>
      <c r="I274" s="444"/>
      <c r="J274" s="444"/>
      <c r="K274" s="444"/>
      <c r="L274" s="444"/>
      <c r="M274" s="476">
        <v>43969</v>
      </c>
      <c r="N274" s="444"/>
      <c r="O274" s="444"/>
      <c r="P274" s="444"/>
      <c r="Q274" s="444"/>
      <c r="R274" s="444"/>
      <c r="S274" s="523" t="s">
        <v>26</v>
      </c>
      <c r="T274" s="444" t="s">
        <v>85</v>
      </c>
      <c r="U274" s="475" t="s">
        <v>1691</v>
      </c>
      <c r="V274" s="475" t="s">
        <v>1707</v>
      </c>
      <c r="W274" s="446" t="s">
        <v>74</v>
      </c>
      <c r="X274" s="447"/>
      <c r="Y274" s="447"/>
      <c r="Z274" s="447"/>
      <c r="AA274" s="447"/>
      <c r="AB274" s="447"/>
      <c r="AC274" s="476">
        <v>43893</v>
      </c>
      <c r="AD274" s="493">
        <v>395727.69</v>
      </c>
      <c r="AE274" s="494"/>
      <c r="AF274" s="451">
        <f t="shared" si="88"/>
        <v>395727.69</v>
      </c>
      <c r="AG274" s="493"/>
      <c r="AH274" s="495"/>
      <c r="AI274" s="496">
        <v>395727.69</v>
      </c>
      <c r="AJ274" s="453">
        <f t="shared" si="81"/>
        <v>0</v>
      </c>
      <c r="AK274" s="565">
        <v>395727.69</v>
      </c>
      <c r="AL274" s="565">
        <v>395727.69</v>
      </c>
      <c r="AM274" s="495"/>
      <c r="AN274" s="494"/>
      <c r="AO274" s="451">
        <f t="shared" si="89"/>
        <v>0</v>
      </c>
      <c r="AP274" s="452"/>
      <c r="AQ274" s="453">
        <v>0</v>
      </c>
      <c r="AR274" s="498"/>
      <c r="AS274" s="456">
        <f t="shared" si="87"/>
        <v>0</v>
      </c>
      <c r="AT274" s="457"/>
      <c r="AV274" s="467"/>
      <c r="BB274" s="463"/>
    </row>
    <row r="275" spans="1:54" s="439" customFormat="1" ht="225" x14ac:dyDescent="0.25">
      <c r="A275" s="442" t="s">
        <v>1692</v>
      </c>
      <c r="B275" s="442"/>
      <c r="C275" s="443"/>
      <c r="D275" s="444"/>
      <c r="E275" s="444"/>
      <c r="F275" s="444"/>
      <c r="G275" s="444"/>
      <c r="H275" s="444"/>
      <c r="I275" s="444"/>
      <c r="J275" s="444" t="s">
        <v>2022</v>
      </c>
      <c r="K275" s="444"/>
      <c r="L275" s="444"/>
      <c r="M275" s="476">
        <v>43964</v>
      </c>
      <c r="N275" s="444"/>
      <c r="O275" s="444" t="s">
        <v>622</v>
      </c>
      <c r="P275" s="444" t="s">
        <v>1886</v>
      </c>
      <c r="Q275" s="444"/>
      <c r="R275" s="444"/>
      <c r="S275" s="445" t="s">
        <v>143</v>
      </c>
      <c r="T275" s="444" t="s">
        <v>85</v>
      </c>
      <c r="U275" s="475" t="s">
        <v>1695</v>
      </c>
      <c r="V275" s="475" t="s">
        <v>1928</v>
      </c>
      <c r="W275" s="446" t="s">
        <v>74</v>
      </c>
      <c r="X275" s="447"/>
      <c r="Y275" s="447"/>
      <c r="Z275" s="447"/>
      <c r="AA275" s="447"/>
      <c r="AB275" s="447"/>
      <c r="AC275" s="476">
        <v>43871</v>
      </c>
      <c r="AD275" s="493">
        <v>189382.5</v>
      </c>
      <c r="AE275" s="494"/>
      <c r="AF275" s="451">
        <f t="shared" si="88"/>
        <v>189382.5</v>
      </c>
      <c r="AG275" s="493"/>
      <c r="AH275" s="495"/>
      <c r="AI275" s="496"/>
      <c r="AJ275" s="453">
        <f t="shared" si="81"/>
        <v>189382.5</v>
      </c>
      <c r="AK275" s="454"/>
      <c r="AL275" s="565"/>
      <c r="AM275" s="495"/>
      <c r="AN275" s="494"/>
      <c r="AO275" s="451">
        <f t="shared" si="89"/>
        <v>0</v>
      </c>
      <c r="AP275" s="452">
        <v>0</v>
      </c>
      <c r="AQ275" s="453">
        <v>0</v>
      </c>
      <c r="AR275" s="498"/>
      <c r="AS275" s="456">
        <f t="shared" si="87"/>
        <v>0</v>
      </c>
      <c r="AT275" s="457"/>
      <c r="AV275" s="467"/>
      <c r="BB275" s="463"/>
    </row>
    <row r="276" spans="1:54" s="439" customFormat="1" ht="78.75" x14ac:dyDescent="0.25">
      <c r="A276" s="442" t="s">
        <v>1693</v>
      </c>
      <c r="B276" s="442"/>
      <c r="C276" s="443"/>
      <c r="D276" s="444"/>
      <c r="E276" s="444"/>
      <c r="F276" s="444"/>
      <c r="G276" s="444"/>
      <c r="H276" s="444"/>
      <c r="I276" s="444"/>
      <c r="J276" s="444"/>
      <c r="K276" s="444"/>
      <c r="L276" s="444"/>
      <c r="M276" s="476"/>
      <c r="N276" s="444"/>
      <c r="O276" s="444"/>
      <c r="P276" s="444"/>
      <c r="Q276" s="444"/>
      <c r="R276" s="444"/>
      <c r="S276" s="445" t="s">
        <v>143</v>
      </c>
      <c r="T276" s="444" t="s">
        <v>85</v>
      </c>
      <c r="U276" s="475" t="s">
        <v>1294</v>
      </c>
      <c r="V276" s="475"/>
      <c r="W276" s="446" t="s">
        <v>74</v>
      </c>
      <c r="X276" s="447"/>
      <c r="Y276" s="447"/>
      <c r="Z276" s="447"/>
      <c r="AA276" s="447"/>
      <c r="AB276" s="447"/>
      <c r="AC276" s="476"/>
      <c r="AD276" s="493"/>
      <c r="AE276" s="494"/>
      <c r="AF276" s="451">
        <f t="shared" si="88"/>
        <v>0</v>
      </c>
      <c r="AG276" s="493"/>
      <c r="AH276" s="495"/>
      <c r="AI276" s="496"/>
      <c r="AJ276" s="453">
        <f t="shared" si="81"/>
        <v>0</v>
      </c>
      <c r="AK276" s="454"/>
      <c r="AL276" s="565"/>
      <c r="AM276" s="495"/>
      <c r="AN276" s="494"/>
      <c r="AO276" s="451">
        <f t="shared" si="89"/>
        <v>0</v>
      </c>
      <c r="AP276" s="452">
        <v>0</v>
      </c>
      <c r="AQ276" s="453">
        <v>0</v>
      </c>
      <c r="AR276" s="498"/>
      <c r="AS276" s="456">
        <f t="shared" si="87"/>
        <v>0</v>
      </c>
      <c r="AT276" s="457"/>
      <c r="AV276" s="467"/>
      <c r="BB276" s="463"/>
    </row>
    <row r="277" spans="1:54" s="439" customFormat="1" ht="78.75" x14ac:dyDescent="0.25">
      <c r="A277" s="442" t="s">
        <v>1694</v>
      </c>
      <c r="B277" s="442"/>
      <c r="C277" s="443"/>
      <c r="D277" s="444"/>
      <c r="E277" s="444"/>
      <c r="F277" s="444"/>
      <c r="G277" s="444"/>
      <c r="H277" s="444"/>
      <c r="I277" s="444"/>
      <c r="J277" s="444" t="s">
        <v>1743</v>
      </c>
      <c r="K277" s="444"/>
      <c r="L277" s="444"/>
      <c r="M277" s="476">
        <v>43920</v>
      </c>
      <c r="N277" s="444"/>
      <c r="O277" s="444" t="s">
        <v>622</v>
      </c>
      <c r="P277" s="559" t="s">
        <v>1888</v>
      </c>
      <c r="Q277" s="444"/>
      <c r="R277" s="444"/>
      <c r="S277" s="445" t="s">
        <v>143</v>
      </c>
      <c r="T277" s="444" t="s">
        <v>85</v>
      </c>
      <c r="U277" s="502" t="s">
        <v>1706</v>
      </c>
      <c r="V277" s="475" t="s">
        <v>1738</v>
      </c>
      <c r="W277" s="446" t="s">
        <v>74</v>
      </c>
      <c r="X277" s="447"/>
      <c r="Y277" s="447"/>
      <c r="Z277" s="447"/>
      <c r="AA277" s="447"/>
      <c r="AB277" s="447"/>
      <c r="AC277" s="476">
        <v>43870</v>
      </c>
      <c r="AD277" s="493">
        <v>2411445.2999999998</v>
      </c>
      <c r="AE277" s="494"/>
      <c r="AF277" s="451">
        <f t="shared" si="88"/>
        <v>2411445.2999999998</v>
      </c>
      <c r="AG277" s="493"/>
      <c r="AH277" s="495"/>
      <c r="AI277" s="496"/>
      <c r="AJ277" s="453">
        <f t="shared" si="81"/>
        <v>2411445.2999999998</v>
      </c>
      <c r="AK277" s="454"/>
      <c r="AL277" s="565"/>
      <c r="AM277" s="495">
        <v>1759711</v>
      </c>
      <c r="AN277" s="494"/>
      <c r="AO277" s="451">
        <f t="shared" si="89"/>
        <v>1759711</v>
      </c>
      <c r="AP277" s="452">
        <v>0</v>
      </c>
      <c r="AQ277" s="453">
        <v>1759711</v>
      </c>
      <c r="AR277" s="498"/>
      <c r="AS277" s="456">
        <f t="shared" si="87"/>
        <v>0</v>
      </c>
      <c r="AT277" s="457"/>
      <c r="AV277" s="467"/>
      <c r="BB277" s="463"/>
    </row>
    <row r="278" spans="1:54" s="439" customFormat="1" ht="47.25" x14ac:dyDescent="0.25">
      <c r="A278" s="442" t="s">
        <v>1697</v>
      </c>
      <c r="B278" s="442"/>
      <c r="C278" s="443"/>
      <c r="D278" s="444"/>
      <c r="E278" s="444"/>
      <c r="F278" s="444"/>
      <c r="G278" s="444"/>
      <c r="H278" s="444"/>
      <c r="I278" s="444"/>
      <c r="J278" s="444" t="s">
        <v>1696</v>
      </c>
      <c r="K278" s="444"/>
      <c r="L278" s="444"/>
      <c r="M278" s="476">
        <v>43881</v>
      </c>
      <c r="N278" s="444"/>
      <c r="O278" s="444"/>
      <c r="P278" s="444"/>
      <c r="Q278" s="444"/>
      <c r="R278" s="444"/>
      <c r="S278" s="445" t="s">
        <v>4</v>
      </c>
      <c r="T278" s="444" t="s">
        <v>85</v>
      </c>
      <c r="U278" s="475" t="s">
        <v>1698</v>
      </c>
      <c r="V278" s="475" t="s">
        <v>1699</v>
      </c>
      <c r="W278" s="446" t="s">
        <v>74</v>
      </c>
      <c r="X278" s="447"/>
      <c r="Y278" s="447"/>
      <c r="Z278" s="447"/>
      <c r="AA278" s="447"/>
      <c r="AB278" s="447"/>
      <c r="AC278" s="476">
        <v>43871</v>
      </c>
      <c r="AD278" s="493">
        <v>421365.66</v>
      </c>
      <c r="AE278" s="494">
        <f>-AD278</f>
        <v>-421365.66</v>
      </c>
      <c r="AF278" s="451">
        <f t="shared" si="88"/>
        <v>0</v>
      </c>
      <c r="AG278" s="493"/>
      <c r="AH278" s="495"/>
      <c r="AI278" s="496"/>
      <c r="AJ278" s="453">
        <f>+AF278-SUM(AG278:AI278)</f>
        <v>0</v>
      </c>
      <c r="AK278" s="454"/>
      <c r="AL278" s="565"/>
      <c r="AM278" s="495"/>
      <c r="AN278" s="494"/>
      <c r="AO278" s="451">
        <f t="shared" si="89"/>
        <v>0</v>
      </c>
      <c r="AP278" s="452">
        <v>0</v>
      </c>
      <c r="AQ278" s="453">
        <v>0</v>
      </c>
      <c r="AR278" s="498"/>
      <c r="AS278" s="456">
        <f t="shared" si="87"/>
        <v>0</v>
      </c>
      <c r="AT278" s="457"/>
      <c r="AV278" s="467"/>
      <c r="BB278" s="463"/>
    </row>
    <row r="279" spans="1:54" s="439" customFormat="1" ht="30" x14ac:dyDescent="0.25">
      <c r="A279" s="442" t="s">
        <v>1710</v>
      </c>
      <c r="B279" s="442" t="s">
        <v>1892</v>
      </c>
      <c r="C279" s="443">
        <v>111</v>
      </c>
      <c r="D279" s="444" t="s">
        <v>1921</v>
      </c>
      <c r="E279" s="444"/>
      <c r="F279" s="444"/>
      <c r="G279" s="444"/>
      <c r="H279" s="444"/>
      <c r="I279" s="444"/>
      <c r="J279" s="444" t="s">
        <v>1770</v>
      </c>
      <c r="K279" s="444"/>
      <c r="L279" s="444"/>
      <c r="M279" s="476"/>
      <c r="N279" s="444"/>
      <c r="O279" s="444"/>
      <c r="P279" s="444"/>
      <c r="Q279" s="444"/>
      <c r="R279" s="444"/>
      <c r="S279" s="523" t="s">
        <v>26</v>
      </c>
      <c r="T279" s="444" t="s">
        <v>85</v>
      </c>
      <c r="U279" s="475" t="s">
        <v>1715</v>
      </c>
      <c r="V279" s="475" t="s">
        <v>1716</v>
      </c>
      <c r="W279" s="446"/>
      <c r="X279" s="447"/>
      <c r="Y279" s="447"/>
      <c r="Z279" s="447"/>
      <c r="AA279" s="447"/>
      <c r="AB279" s="447"/>
      <c r="AC279" s="447" t="s">
        <v>1781</v>
      </c>
      <c r="AD279" s="493">
        <f>51735.19</f>
        <v>51735.19</v>
      </c>
      <c r="AE279" s="494"/>
      <c r="AF279" s="451">
        <f t="shared" si="88"/>
        <v>51735.19</v>
      </c>
      <c r="AG279" s="493"/>
      <c r="AH279" s="495"/>
      <c r="AI279" s="496">
        <f>51735.19</f>
        <v>51735.19</v>
      </c>
      <c r="AJ279" s="453">
        <f>+AF279-SUM(AG279:AI279)</f>
        <v>0</v>
      </c>
      <c r="AK279" s="565">
        <f>51735.19</f>
        <v>51735.19</v>
      </c>
      <c r="AL279" s="565">
        <v>56733.919999999998</v>
      </c>
      <c r="AM279" s="495"/>
      <c r="AN279" s="494"/>
      <c r="AO279" s="451">
        <f t="shared" si="89"/>
        <v>0</v>
      </c>
      <c r="AP279" s="452">
        <v>0</v>
      </c>
      <c r="AQ279" s="453">
        <v>0</v>
      </c>
      <c r="AR279" s="498"/>
      <c r="AS279" s="456">
        <f t="shared" si="87"/>
        <v>-4998.7299999999959</v>
      </c>
      <c r="AT279" s="457"/>
      <c r="AV279" s="467"/>
      <c r="BB279" s="463"/>
    </row>
    <row r="280" spans="1:54" s="439" customFormat="1" ht="78.75" x14ac:dyDescent="0.25">
      <c r="A280" s="442" t="s">
        <v>1711</v>
      </c>
      <c r="B280" s="442"/>
      <c r="C280" s="443"/>
      <c r="D280" s="444"/>
      <c r="E280" s="444"/>
      <c r="F280" s="444"/>
      <c r="G280" s="444"/>
      <c r="H280" s="444"/>
      <c r="I280" s="444"/>
      <c r="J280" s="444"/>
      <c r="K280" s="444"/>
      <c r="L280" s="444"/>
      <c r="M280" s="476"/>
      <c r="N280" s="444"/>
      <c r="O280" s="444"/>
      <c r="P280" s="444"/>
      <c r="Q280" s="444"/>
      <c r="R280" s="444"/>
      <c r="S280" s="445" t="s">
        <v>143</v>
      </c>
      <c r="T280" s="444" t="s">
        <v>85</v>
      </c>
      <c r="U280" s="475" t="s">
        <v>1717</v>
      </c>
      <c r="V280" s="475"/>
      <c r="W280" s="446"/>
      <c r="X280" s="447"/>
      <c r="Y280" s="447"/>
      <c r="Z280" s="447"/>
      <c r="AA280" s="447"/>
      <c r="AB280" s="447"/>
      <c r="AC280" s="447"/>
      <c r="AD280" s="493"/>
      <c r="AE280" s="494"/>
      <c r="AF280" s="451">
        <f t="shared" ref="AF280" si="90">+SUM(AD280:AE280)</f>
        <v>0</v>
      </c>
      <c r="AG280" s="493"/>
      <c r="AH280" s="495"/>
      <c r="AI280" s="496"/>
      <c r="AJ280" s="453">
        <f>+AF280-SUM(AG280:AI280)</f>
        <v>0</v>
      </c>
      <c r="AK280" s="454"/>
      <c r="AL280" s="565"/>
      <c r="AM280" s="495"/>
      <c r="AN280" s="494">
        <v>300000</v>
      </c>
      <c r="AO280" s="451">
        <f t="shared" si="89"/>
        <v>300000</v>
      </c>
      <c r="AP280" s="452">
        <f>AO280*0.5</f>
        <v>150000</v>
      </c>
      <c r="AQ280" s="453">
        <f>AO280-AP280</f>
        <v>150000</v>
      </c>
      <c r="AR280" s="498"/>
      <c r="AS280" s="456">
        <f t="shared" si="87"/>
        <v>0</v>
      </c>
      <c r="AT280" s="457"/>
      <c r="AV280" s="467"/>
      <c r="BB280" s="463"/>
    </row>
    <row r="281" spans="1:54" s="439" customFormat="1" ht="78.75" x14ac:dyDescent="0.25">
      <c r="A281" s="442" t="s">
        <v>1712</v>
      </c>
      <c r="B281" s="442"/>
      <c r="C281" s="443"/>
      <c r="D281" s="444"/>
      <c r="E281" s="444"/>
      <c r="F281" s="444"/>
      <c r="G281" s="444"/>
      <c r="H281" s="444"/>
      <c r="I281" s="444"/>
      <c r="J281" s="444"/>
      <c r="K281" s="444"/>
      <c r="L281" s="444"/>
      <c r="M281" s="476"/>
      <c r="N281" s="444"/>
      <c r="O281" s="444"/>
      <c r="P281" s="444"/>
      <c r="Q281" s="444"/>
      <c r="R281" s="444"/>
      <c r="S281" s="445" t="s">
        <v>143</v>
      </c>
      <c r="T281" s="444" t="s">
        <v>85</v>
      </c>
      <c r="U281" s="475" t="s">
        <v>1718</v>
      </c>
      <c r="V281" s="475"/>
      <c r="W281" s="446"/>
      <c r="X281" s="447"/>
      <c r="Y281" s="447"/>
      <c r="Z281" s="447"/>
      <c r="AA281" s="447"/>
      <c r="AB281" s="447"/>
      <c r="AC281" s="447"/>
      <c r="AD281" s="493"/>
      <c r="AE281" s="494"/>
      <c r="AF281" s="451"/>
      <c r="AG281" s="493"/>
      <c r="AH281" s="495"/>
      <c r="AI281" s="496"/>
      <c r="AJ281" s="453"/>
      <c r="AK281" s="454"/>
      <c r="AL281" s="565"/>
      <c r="AM281" s="495"/>
      <c r="AN281" s="494"/>
      <c r="AO281" s="451">
        <f t="shared" si="89"/>
        <v>0</v>
      </c>
      <c r="AP281" s="452">
        <v>0</v>
      </c>
      <c r="AQ281" s="453">
        <v>0</v>
      </c>
      <c r="AR281" s="498"/>
      <c r="AS281" s="456">
        <f t="shared" si="87"/>
        <v>0</v>
      </c>
      <c r="AT281" s="457"/>
      <c r="AV281" s="467"/>
      <c r="BB281" s="463"/>
    </row>
    <row r="282" spans="1:54" s="439" customFormat="1" ht="78.75" x14ac:dyDescent="0.25">
      <c r="A282" s="442" t="s">
        <v>1713</v>
      </c>
      <c r="B282" s="442"/>
      <c r="C282" s="443"/>
      <c r="D282" s="444"/>
      <c r="E282" s="444"/>
      <c r="F282" s="444"/>
      <c r="G282" s="444"/>
      <c r="H282" s="444"/>
      <c r="I282" s="444"/>
      <c r="J282" s="444"/>
      <c r="K282" s="444"/>
      <c r="L282" s="444"/>
      <c r="M282" s="476"/>
      <c r="N282" s="444"/>
      <c r="O282" s="444"/>
      <c r="P282" s="444"/>
      <c r="Q282" s="444"/>
      <c r="R282" s="444"/>
      <c r="S282" s="445" t="s">
        <v>143</v>
      </c>
      <c r="T282" s="444" t="s">
        <v>85</v>
      </c>
      <c r="U282" s="475" t="s">
        <v>1719</v>
      </c>
      <c r="V282" s="475"/>
      <c r="W282" s="446"/>
      <c r="X282" s="447"/>
      <c r="Y282" s="447"/>
      <c r="Z282" s="447"/>
      <c r="AA282" s="447"/>
      <c r="AB282" s="447"/>
      <c r="AC282" s="447"/>
      <c r="AD282" s="493"/>
      <c r="AE282" s="494"/>
      <c r="AF282" s="451"/>
      <c r="AG282" s="493"/>
      <c r="AH282" s="495"/>
      <c r="AI282" s="496"/>
      <c r="AJ282" s="453"/>
      <c r="AK282" s="454"/>
      <c r="AL282" s="565"/>
      <c r="AM282" s="495"/>
      <c r="AN282" s="494"/>
      <c r="AO282" s="451">
        <f t="shared" si="89"/>
        <v>0</v>
      </c>
      <c r="AP282" s="452">
        <v>0</v>
      </c>
      <c r="AQ282" s="453">
        <v>0</v>
      </c>
      <c r="AR282" s="498"/>
      <c r="AS282" s="456">
        <f t="shared" si="87"/>
        <v>0</v>
      </c>
      <c r="AT282" s="457"/>
      <c r="AV282" s="467"/>
      <c r="BB282" s="463"/>
    </row>
    <row r="283" spans="1:54" s="439" customFormat="1" ht="78.75" x14ac:dyDescent="0.25">
      <c r="A283" s="442" t="s">
        <v>1714</v>
      </c>
      <c r="B283" s="442"/>
      <c r="C283" s="443"/>
      <c r="D283" s="444"/>
      <c r="E283" s="444"/>
      <c r="F283" s="444"/>
      <c r="G283" s="444"/>
      <c r="H283" s="444"/>
      <c r="I283" s="444"/>
      <c r="J283" s="444"/>
      <c r="K283" s="444"/>
      <c r="L283" s="444"/>
      <c r="M283" s="476"/>
      <c r="N283" s="444"/>
      <c r="O283" s="444" t="s">
        <v>622</v>
      </c>
      <c r="P283" s="444" t="s">
        <v>1886</v>
      </c>
      <c r="Q283" s="444"/>
      <c r="R283" s="444"/>
      <c r="S283" s="445" t="s">
        <v>143</v>
      </c>
      <c r="T283" s="444" t="s">
        <v>85</v>
      </c>
      <c r="U283" s="475" t="s">
        <v>1720</v>
      </c>
      <c r="V283" s="475" t="s">
        <v>1772</v>
      </c>
      <c r="W283" s="446"/>
      <c r="X283" s="447"/>
      <c r="Y283" s="447"/>
      <c r="Z283" s="447"/>
      <c r="AA283" s="447"/>
      <c r="AB283" s="447"/>
      <c r="AC283" s="447">
        <v>43902</v>
      </c>
      <c r="AD283" s="493">
        <v>578069.62</v>
      </c>
      <c r="AE283" s="494"/>
      <c r="AF283" s="451">
        <f t="shared" ref="AF283" si="91">+SUM(AD283:AE283)</f>
        <v>578069.62</v>
      </c>
      <c r="AG283" s="493"/>
      <c r="AH283" s="495"/>
      <c r="AI283" s="496"/>
      <c r="AJ283" s="453">
        <f>+AF283-SUM(AG283:AI283)</f>
        <v>578069.62</v>
      </c>
      <c r="AK283" s="454"/>
      <c r="AL283" s="565"/>
      <c r="AM283" s="495">
        <v>289000</v>
      </c>
      <c r="AN283" s="494"/>
      <c r="AO283" s="451">
        <f t="shared" si="89"/>
        <v>289000</v>
      </c>
      <c r="AP283" s="452">
        <v>289000</v>
      </c>
      <c r="AQ283" s="453">
        <v>0</v>
      </c>
      <c r="AR283" s="498"/>
      <c r="AS283" s="456">
        <f t="shared" si="87"/>
        <v>0</v>
      </c>
      <c r="AT283" s="457"/>
      <c r="AV283" s="467"/>
      <c r="BB283" s="463"/>
    </row>
    <row r="284" spans="1:54" s="439" customFormat="1" ht="78.75" x14ac:dyDescent="0.25">
      <c r="A284" s="442" t="s">
        <v>1721</v>
      </c>
      <c r="B284" s="442"/>
      <c r="C284" s="443"/>
      <c r="D284" s="444"/>
      <c r="E284" s="444"/>
      <c r="F284" s="444"/>
      <c r="G284" s="444"/>
      <c r="H284" s="444"/>
      <c r="I284" s="444"/>
      <c r="J284" s="444"/>
      <c r="K284" s="444"/>
      <c r="L284" s="444"/>
      <c r="M284" s="476"/>
      <c r="N284" s="444"/>
      <c r="O284" s="444"/>
      <c r="P284" s="444"/>
      <c r="Q284" s="444"/>
      <c r="R284" s="444"/>
      <c r="S284" s="445" t="s">
        <v>143</v>
      </c>
      <c r="T284" s="444" t="s">
        <v>85</v>
      </c>
      <c r="U284" s="475" t="s">
        <v>1723</v>
      </c>
      <c r="V284" s="475"/>
      <c r="W284" s="446"/>
      <c r="X284" s="447"/>
      <c r="Y284" s="447"/>
      <c r="Z284" s="447"/>
      <c r="AA284" s="447"/>
      <c r="AB284" s="447"/>
      <c r="AC284" s="447"/>
      <c r="AD284" s="493"/>
      <c r="AE284" s="494"/>
      <c r="AF284" s="451"/>
      <c r="AG284" s="493"/>
      <c r="AH284" s="495"/>
      <c r="AI284" s="496"/>
      <c r="AJ284" s="453"/>
      <c r="AK284" s="454"/>
      <c r="AL284" s="565"/>
      <c r="AM284" s="495"/>
      <c r="AN284" s="494"/>
      <c r="AO284" s="451">
        <f t="shared" si="89"/>
        <v>0</v>
      </c>
      <c r="AP284" s="452">
        <v>0</v>
      </c>
      <c r="AQ284" s="453">
        <v>0</v>
      </c>
      <c r="AR284" s="498"/>
      <c r="AS284" s="456">
        <f t="shared" si="87"/>
        <v>0</v>
      </c>
      <c r="AT284" s="457"/>
      <c r="AV284" s="467"/>
      <c r="BB284" s="463"/>
    </row>
    <row r="285" spans="1:54" s="653" customFormat="1" ht="78.75" x14ac:dyDescent="0.25">
      <c r="A285" s="635" t="s">
        <v>1722</v>
      </c>
      <c r="B285" s="635"/>
      <c r="C285" s="636"/>
      <c r="D285" s="637"/>
      <c r="E285" s="637"/>
      <c r="F285" s="637"/>
      <c r="G285" s="637"/>
      <c r="H285" s="637"/>
      <c r="I285" s="637"/>
      <c r="J285" s="637"/>
      <c r="K285" s="637"/>
      <c r="L285" s="637"/>
      <c r="M285" s="638"/>
      <c r="N285" s="637"/>
      <c r="O285" s="637"/>
      <c r="P285" s="637"/>
      <c r="Q285" s="637"/>
      <c r="R285" s="637"/>
      <c r="S285" s="639" t="s">
        <v>143</v>
      </c>
      <c r="T285" s="637" t="s">
        <v>85</v>
      </c>
      <c r="U285" s="640" t="s">
        <v>1724</v>
      </c>
      <c r="V285" s="640"/>
      <c r="W285" s="641"/>
      <c r="X285" s="642"/>
      <c r="Y285" s="642"/>
      <c r="Z285" s="642"/>
      <c r="AA285" s="642"/>
      <c r="AB285" s="642"/>
      <c r="AC285" s="642"/>
      <c r="AD285" s="643">
        <v>1207061.51</v>
      </c>
      <c r="AE285" s="644">
        <v>-1207061.51</v>
      </c>
      <c r="AF285" s="533">
        <f t="shared" ref="AF285:AF288" si="92">+SUM(AD285:AE285)</f>
        <v>0</v>
      </c>
      <c r="AG285" s="643"/>
      <c r="AH285" s="645"/>
      <c r="AI285" s="646"/>
      <c r="AJ285" s="647">
        <f>+AF285-SUM(AG285:AI285)</f>
        <v>0</v>
      </c>
      <c r="AK285" s="648"/>
      <c r="AL285" s="648"/>
      <c r="AM285" s="645">
        <v>1207061.51</v>
      </c>
      <c r="AN285" s="644"/>
      <c r="AO285" s="533">
        <f t="shared" si="89"/>
        <v>1207061.51</v>
      </c>
      <c r="AP285" s="649">
        <f>AO285</f>
        <v>1207061.51</v>
      </c>
      <c r="AQ285" s="647">
        <f>AO285-AP285</f>
        <v>0</v>
      </c>
      <c r="AR285" s="650"/>
      <c r="AS285" s="651">
        <f t="shared" si="87"/>
        <v>0</v>
      </c>
      <c r="AT285" s="652"/>
      <c r="AV285" s="654"/>
      <c r="BB285" s="655"/>
    </row>
    <row r="286" spans="1:54" s="439" customFormat="1" ht="45" x14ac:dyDescent="0.25">
      <c r="A286" s="442" t="s">
        <v>1725</v>
      </c>
      <c r="B286" s="442" t="s">
        <v>1892</v>
      </c>
      <c r="C286" s="443"/>
      <c r="D286" s="444"/>
      <c r="E286" s="444"/>
      <c r="F286" s="444"/>
      <c r="G286" s="444"/>
      <c r="H286" s="444"/>
      <c r="I286" s="444"/>
      <c r="J286" s="444" t="s">
        <v>1878</v>
      </c>
      <c r="K286" s="444"/>
      <c r="L286" s="444"/>
      <c r="M286" s="476">
        <v>43893</v>
      </c>
      <c r="N286" s="444"/>
      <c r="O286" s="444" t="s">
        <v>622</v>
      </c>
      <c r="P286" s="444" t="s">
        <v>1886</v>
      </c>
      <c r="Q286" s="444"/>
      <c r="R286" s="444"/>
      <c r="S286" s="523" t="s">
        <v>26</v>
      </c>
      <c r="T286" s="444" t="s">
        <v>85</v>
      </c>
      <c r="U286" s="502" t="s">
        <v>1790</v>
      </c>
      <c r="V286" s="475" t="s">
        <v>1791</v>
      </c>
      <c r="W286" s="446"/>
      <c r="X286" s="447"/>
      <c r="Y286" s="447"/>
      <c r="Z286" s="447"/>
      <c r="AA286" s="447"/>
      <c r="AB286" s="447"/>
      <c r="AC286" s="447">
        <v>43893</v>
      </c>
      <c r="AD286" s="493">
        <v>1568773.44</v>
      </c>
      <c r="AE286" s="494"/>
      <c r="AF286" s="451">
        <f t="shared" si="92"/>
        <v>1568773.44</v>
      </c>
      <c r="AG286" s="493"/>
      <c r="AH286" s="495"/>
      <c r="AI286" s="496"/>
      <c r="AJ286" s="453">
        <f>+AF286-SUM(AG286:AI286)</f>
        <v>1568773.44</v>
      </c>
      <c r="AK286" s="454">
        <f>1426157.67+14</f>
        <v>1426171.67</v>
      </c>
      <c r="AL286" s="565">
        <v>1426171.67</v>
      </c>
      <c r="AM286" s="495"/>
      <c r="AN286" s="494"/>
      <c r="AO286" s="451">
        <f t="shared" si="89"/>
        <v>0</v>
      </c>
      <c r="AP286" s="452"/>
      <c r="AQ286" s="453">
        <v>0</v>
      </c>
      <c r="AR286" s="498"/>
      <c r="AS286" s="456">
        <f t="shared" si="87"/>
        <v>0</v>
      </c>
      <c r="AT286" s="457"/>
      <c r="AV286" s="467"/>
      <c r="BB286" s="463"/>
    </row>
    <row r="287" spans="1:54" s="439" customFormat="1" ht="150" x14ac:dyDescent="0.25">
      <c r="A287" s="442" t="s">
        <v>1749</v>
      </c>
      <c r="B287" s="442" t="s">
        <v>1853</v>
      </c>
      <c r="C287" s="443"/>
      <c r="D287" s="444" t="s">
        <v>1852</v>
      </c>
      <c r="E287" s="444"/>
      <c r="F287" s="444"/>
      <c r="G287" s="444"/>
      <c r="H287" s="444"/>
      <c r="I287" s="444"/>
      <c r="J287" s="476"/>
      <c r="K287" s="476"/>
      <c r="L287" s="476"/>
      <c r="M287" s="476">
        <v>43941</v>
      </c>
      <c r="N287" s="444"/>
      <c r="O287" s="444"/>
      <c r="P287" s="444"/>
      <c r="Q287" s="444"/>
      <c r="R287" s="444"/>
      <c r="S287" s="523" t="s">
        <v>26</v>
      </c>
      <c r="T287" s="444" t="s">
        <v>85</v>
      </c>
      <c r="U287" s="502" t="s">
        <v>1765</v>
      </c>
      <c r="V287" s="475" t="s">
        <v>1766</v>
      </c>
      <c r="W287" s="446"/>
      <c r="X287" s="447"/>
      <c r="Y287" s="447"/>
      <c r="Z287" s="447"/>
      <c r="AA287" s="447"/>
      <c r="AB287" s="447"/>
      <c r="AC287" s="447">
        <v>43904</v>
      </c>
      <c r="AD287" s="493">
        <v>28124.53</v>
      </c>
      <c r="AE287" s="494"/>
      <c r="AF287" s="451">
        <f t="shared" si="92"/>
        <v>28124.53</v>
      </c>
      <c r="AG287" s="493"/>
      <c r="AH287" s="495"/>
      <c r="AI287" s="496">
        <v>28124.53</v>
      </c>
      <c r="AJ287" s="453">
        <f>+AF287-SUM(AG287:AI287)</f>
        <v>0</v>
      </c>
      <c r="AK287" s="454">
        <v>28124.53</v>
      </c>
      <c r="AL287" s="565">
        <v>28124.53</v>
      </c>
      <c r="AM287" s="495"/>
      <c r="AN287" s="494"/>
      <c r="AO287" s="451">
        <f t="shared" si="89"/>
        <v>0</v>
      </c>
      <c r="AP287" s="452">
        <v>0</v>
      </c>
      <c r="AQ287" s="453">
        <v>0</v>
      </c>
      <c r="AR287" s="498"/>
      <c r="AS287" s="456">
        <f t="shared" si="87"/>
        <v>0</v>
      </c>
      <c r="AT287" s="457"/>
      <c r="AV287" s="467"/>
      <c r="BB287" s="463"/>
    </row>
    <row r="288" spans="1:54" s="439" customFormat="1" ht="47.25" x14ac:dyDescent="0.25">
      <c r="A288" s="442" t="s">
        <v>1750</v>
      </c>
      <c r="B288" s="442"/>
      <c r="C288" s="443"/>
      <c r="D288" s="444"/>
      <c r="E288" s="444"/>
      <c r="F288" s="444"/>
      <c r="G288" s="444"/>
      <c r="H288" s="444"/>
      <c r="I288" s="444"/>
      <c r="J288" s="444" t="s">
        <v>1877</v>
      </c>
      <c r="K288" s="444"/>
      <c r="L288" s="444"/>
      <c r="M288" s="476">
        <v>43942</v>
      </c>
      <c r="N288" s="444"/>
      <c r="O288" s="444"/>
      <c r="P288" s="444"/>
      <c r="Q288" s="444"/>
      <c r="R288" s="444"/>
      <c r="S288" s="523" t="s">
        <v>4</v>
      </c>
      <c r="T288" s="444" t="s">
        <v>85</v>
      </c>
      <c r="U288" s="502" t="s">
        <v>1771</v>
      </c>
      <c r="V288" s="475" t="s">
        <v>1869</v>
      </c>
      <c r="W288" s="446"/>
      <c r="X288" s="447"/>
      <c r="Y288" s="447"/>
      <c r="Z288" s="447"/>
      <c r="AA288" s="447"/>
      <c r="AB288" s="447"/>
      <c r="AC288" s="447">
        <v>43942</v>
      </c>
      <c r="AD288" s="493">
        <v>223819.2</v>
      </c>
      <c r="AE288" s="494">
        <f>-AD288</f>
        <v>-223819.2</v>
      </c>
      <c r="AF288" s="451">
        <f t="shared" si="92"/>
        <v>0</v>
      </c>
      <c r="AG288" s="493"/>
      <c r="AH288" s="495"/>
      <c r="AI288" s="496"/>
      <c r="AJ288" s="453"/>
      <c r="AK288" s="454"/>
      <c r="AL288" s="565"/>
      <c r="AM288" s="495"/>
      <c r="AN288" s="494"/>
      <c r="AO288" s="451">
        <f t="shared" si="89"/>
        <v>0</v>
      </c>
      <c r="AP288" s="452">
        <v>0</v>
      </c>
      <c r="AQ288" s="453">
        <v>0</v>
      </c>
      <c r="AR288" s="498"/>
      <c r="AS288" s="456">
        <f t="shared" si="87"/>
        <v>0</v>
      </c>
      <c r="AT288" s="457"/>
      <c r="AV288" s="467"/>
      <c r="BB288" s="463"/>
    </row>
    <row r="289" spans="1:54" s="439" customFormat="1" ht="30" x14ac:dyDescent="0.25">
      <c r="A289" s="442" t="s">
        <v>1751</v>
      </c>
      <c r="B289" s="442" t="s">
        <v>1892</v>
      </c>
      <c r="C289" s="443"/>
      <c r="D289" s="444" t="s">
        <v>1896</v>
      </c>
      <c r="E289" s="444"/>
      <c r="F289" s="444"/>
      <c r="G289" s="444"/>
      <c r="H289" s="444"/>
      <c r="I289" s="444"/>
      <c r="J289" s="444" t="s">
        <v>1879</v>
      </c>
      <c r="K289" s="444"/>
      <c r="L289" s="444"/>
      <c r="M289" s="476">
        <v>43914</v>
      </c>
      <c r="N289" s="444"/>
      <c r="O289" s="444" t="s">
        <v>622</v>
      </c>
      <c r="P289" s="444" t="s">
        <v>1883</v>
      </c>
      <c r="Q289" s="444"/>
      <c r="R289" s="444"/>
      <c r="S289" s="523" t="s">
        <v>26</v>
      </c>
      <c r="T289" s="444" t="s">
        <v>85</v>
      </c>
      <c r="U289" s="502" t="s">
        <v>1764</v>
      </c>
      <c r="V289" s="475" t="s">
        <v>1780</v>
      </c>
      <c r="W289" s="446"/>
      <c r="X289" s="447"/>
      <c r="Y289" s="447"/>
      <c r="Z289" s="447"/>
      <c r="AA289" s="447"/>
      <c r="AB289" s="447"/>
      <c r="AC289" s="447">
        <v>43902</v>
      </c>
      <c r="AD289" s="493">
        <v>68765.087666803098</v>
      </c>
      <c r="AE289" s="494"/>
      <c r="AF289" s="451">
        <f t="shared" ref="AF289:AF293" si="93">+SUM(AD289:AE289)</f>
        <v>68765.087666803098</v>
      </c>
      <c r="AG289" s="493"/>
      <c r="AH289" s="495"/>
      <c r="AI289" s="496">
        <v>68765.087666803098</v>
      </c>
      <c r="AJ289" s="453">
        <f>+AF289-SUM(AG289:AI289)</f>
        <v>0</v>
      </c>
      <c r="AK289" s="454">
        <v>68765.087666803098</v>
      </c>
      <c r="AL289" s="565">
        <v>68765.087666803098</v>
      </c>
      <c r="AM289" s="495"/>
      <c r="AN289" s="494"/>
      <c r="AO289" s="451">
        <f t="shared" si="89"/>
        <v>0</v>
      </c>
      <c r="AP289" s="452">
        <v>0</v>
      </c>
      <c r="AQ289" s="453">
        <v>0</v>
      </c>
      <c r="AR289" s="498"/>
      <c r="AS289" s="456">
        <f t="shared" si="87"/>
        <v>0</v>
      </c>
      <c r="AT289" s="457"/>
      <c r="AV289" s="467"/>
      <c r="BB289" s="463"/>
    </row>
    <row r="290" spans="1:54" s="439" customFormat="1" ht="75" x14ac:dyDescent="0.25">
      <c r="A290" s="442" t="s">
        <v>1752</v>
      </c>
      <c r="B290" s="442"/>
      <c r="C290" s="443">
        <v>108</v>
      </c>
      <c r="D290" s="444"/>
      <c r="E290" s="444"/>
      <c r="F290" s="444"/>
      <c r="G290" s="444"/>
      <c r="H290" s="444"/>
      <c r="I290" s="444"/>
      <c r="J290" s="444"/>
      <c r="K290" s="444"/>
      <c r="L290" s="444"/>
      <c r="M290" s="476"/>
      <c r="N290" s="444"/>
      <c r="O290" s="444"/>
      <c r="P290" s="444"/>
      <c r="Q290" s="444"/>
      <c r="R290" s="444"/>
      <c r="S290" s="523" t="s">
        <v>54</v>
      </c>
      <c r="T290" s="444" t="s">
        <v>85</v>
      </c>
      <c r="U290" s="502" t="s">
        <v>1867</v>
      </c>
      <c r="V290" s="475" t="s">
        <v>1868</v>
      </c>
      <c r="W290" s="446"/>
      <c r="X290" s="447"/>
      <c r="Y290" s="447"/>
      <c r="Z290" s="447"/>
      <c r="AA290" s="447"/>
      <c r="AB290" s="447"/>
      <c r="AC290" s="447" t="s">
        <v>1876</v>
      </c>
      <c r="AD290" s="493" t="s">
        <v>124</v>
      </c>
      <c r="AE290" s="494"/>
      <c r="AF290" s="451">
        <f t="shared" si="93"/>
        <v>0</v>
      </c>
      <c r="AG290" s="493"/>
      <c r="AH290" s="495"/>
      <c r="AI290" s="496"/>
      <c r="AJ290" s="453">
        <f>+AF290-SUM(AG290:AI290)</f>
        <v>0</v>
      </c>
      <c r="AK290" s="454"/>
      <c r="AL290" s="565"/>
      <c r="AM290" s="495"/>
      <c r="AN290" s="494"/>
      <c r="AO290" s="451">
        <f t="shared" si="89"/>
        <v>0</v>
      </c>
      <c r="AP290" s="452">
        <v>0</v>
      </c>
      <c r="AQ290" s="453">
        <v>0</v>
      </c>
      <c r="AR290" s="498"/>
      <c r="AS290" s="456">
        <f t="shared" si="87"/>
        <v>0</v>
      </c>
      <c r="AT290" s="457"/>
      <c r="AV290" s="467"/>
      <c r="BB290" s="463"/>
    </row>
    <row r="291" spans="1:54" s="439" customFormat="1" ht="31.5" x14ac:dyDescent="0.25">
      <c r="A291" s="442" t="s">
        <v>1753</v>
      </c>
      <c r="B291" s="442"/>
      <c r="C291" s="443">
        <v>109</v>
      </c>
      <c r="D291" s="444"/>
      <c r="E291" s="444"/>
      <c r="F291" s="444"/>
      <c r="G291" s="444"/>
      <c r="H291" s="444"/>
      <c r="I291" s="444"/>
      <c r="J291" s="444"/>
      <c r="K291" s="444"/>
      <c r="L291" s="444"/>
      <c r="M291" s="476"/>
      <c r="N291" s="444"/>
      <c r="O291" s="444"/>
      <c r="P291" s="444"/>
      <c r="Q291" s="444"/>
      <c r="R291" s="444"/>
      <c r="S291" s="523" t="s">
        <v>54</v>
      </c>
      <c r="T291" s="444" t="s">
        <v>85</v>
      </c>
      <c r="U291" s="502" t="s">
        <v>1778</v>
      </c>
      <c r="V291" s="475" t="s">
        <v>1779</v>
      </c>
      <c r="W291" s="446"/>
      <c r="X291" s="447"/>
      <c r="Y291" s="447"/>
      <c r="Z291" s="447"/>
      <c r="AA291" s="447"/>
      <c r="AB291" s="447"/>
      <c r="AC291" s="447" t="s">
        <v>1788</v>
      </c>
      <c r="AD291" s="493" t="s">
        <v>124</v>
      </c>
      <c r="AE291" s="494"/>
      <c r="AF291" s="451">
        <f t="shared" si="93"/>
        <v>0</v>
      </c>
      <c r="AG291" s="493"/>
      <c r="AH291" s="495"/>
      <c r="AI291" s="496"/>
      <c r="AJ291" s="453">
        <f>+AF291-SUM(AG291:AI291)</f>
        <v>0</v>
      </c>
      <c r="AK291" s="454"/>
      <c r="AL291" s="565"/>
      <c r="AM291" s="495"/>
      <c r="AN291" s="494"/>
      <c r="AO291" s="451">
        <f t="shared" si="89"/>
        <v>0</v>
      </c>
      <c r="AP291" s="452">
        <v>0</v>
      </c>
      <c r="AQ291" s="453">
        <v>0</v>
      </c>
      <c r="AR291" s="498"/>
      <c r="AS291" s="456">
        <f t="shared" si="87"/>
        <v>0</v>
      </c>
      <c r="AT291" s="457"/>
      <c r="AV291" s="467"/>
      <c r="BB291" s="463"/>
    </row>
    <row r="292" spans="1:54" s="439" customFormat="1" ht="150" x14ac:dyDescent="0.25">
      <c r="A292" s="442" t="s">
        <v>1754</v>
      </c>
      <c r="B292" s="442" t="s">
        <v>1892</v>
      </c>
      <c r="C292" s="443">
        <v>110</v>
      </c>
      <c r="D292" s="444"/>
      <c r="E292" s="444"/>
      <c r="F292" s="444"/>
      <c r="G292" s="444"/>
      <c r="H292" s="444"/>
      <c r="I292" s="444"/>
      <c r="J292" s="444"/>
      <c r="K292" s="444"/>
      <c r="L292" s="444"/>
      <c r="M292" s="476"/>
      <c r="N292" s="444"/>
      <c r="O292" s="444" t="s">
        <v>621</v>
      </c>
      <c r="P292" s="444" t="s">
        <v>1886</v>
      </c>
      <c r="Q292" s="444"/>
      <c r="R292" s="444"/>
      <c r="S292" s="523" t="s">
        <v>54</v>
      </c>
      <c r="T292" s="444" t="s">
        <v>85</v>
      </c>
      <c r="U292" s="502" t="s">
        <v>1776</v>
      </c>
      <c r="V292" s="475" t="s">
        <v>1777</v>
      </c>
      <c r="W292" s="446"/>
      <c r="X292" s="447"/>
      <c r="Y292" s="447"/>
      <c r="Z292" s="447"/>
      <c r="AA292" s="447"/>
      <c r="AB292" s="447"/>
      <c r="AC292" s="447" t="s">
        <v>1787</v>
      </c>
      <c r="AD292" s="493" t="s">
        <v>124</v>
      </c>
      <c r="AE292" s="494"/>
      <c r="AF292" s="451">
        <f t="shared" si="93"/>
        <v>0</v>
      </c>
      <c r="AG292" s="493"/>
      <c r="AH292" s="495"/>
      <c r="AI292" s="496"/>
      <c r="AJ292" s="453"/>
      <c r="AK292" s="454"/>
      <c r="AL292" s="565"/>
      <c r="AM292" s="495"/>
      <c r="AN292" s="494"/>
      <c r="AO292" s="451">
        <f t="shared" si="89"/>
        <v>0</v>
      </c>
      <c r="AP292" s="452">
        <v>0</v>
      </c>
      <c r="AQ292" s="453">
        <v>0</v>
      </c>
      <c r="AR292" s="498"/>
      <c r="AS292" s="456">
        <f t="shared" si="87"/>
        <v>0</v>
      </c>
      <c r="AT292" s="457"/>
      <c r="AV292" s="467"/>
      <c r="BB292" s="463"/>
    </row>
    <row r="293" spans="1:54" s="439" customFormat="1" ht="78.75" x14ac:dyDescent="0.25">
      <c r="A293" s="442" t="s">
        <v>1755</v>
      </c>
      <c r="B293" s="442"/>
      <c r="C293" s="443"/>
      <c r="D293" s="444"/>
      <c r="E293" s="444"/>
      <c r="F293" s="444"/>
      <c r="G293" s="444"/>
      <c r="H293" s="444"/>
      <c r="I293" s="444"/>
      <c r="J293" s="444" t="s">
        <v>1832</v>
      </c>
      <c r="K293" s="444"/>
      <c r="L293" s="444"/>
      <c r="M293" s="476"/>
      <c r="N293" s="444"/>
      <c r="O293" s="444" t="s">
        <v>622</v>
      </c>
      <c r="P293" s="444" t="s">
        <v>1885</v>
      </c>
      <c r="Q293" s="444"/>
      <c r="R293" s="444"/>
      <c r="S293" s="445" t="s">
        <v>143</v>
      </c>
      <c r="T293" s="444" t="s">
        <v>85</v>
      </c>
      <c r="U293" s="502" t="s">
        <v>1831</v>
      </c>
      <c r="V293" s="475" t="s">
        <v>1833</v>
      </c>
      <c r="W293" s="446"/>
      <c r="X293" s="447"/>
      <c r="Y293" s="447"/>
      <c r="Z293" s="447"/>
      <c r="AA293" s="447"/>
      <c r="AB293" s="447"/>
      <c r="AC293" s="447">
        <v>43918</v>
      </c>
      <c r="AD293" s="493">
        <v>3690121.52</v>
      </c>
      <c r="AE293" s="494"/>
      <c r="AF293" s="451">
        <f t="shared" si="93"/>
        <v>3690121.52</v>
      </c>
      <c r="AG293" s="493"/>
      <c r="AH293" s="495"/>
      <c r="AI293" s="496"/>
      <c r="AJ293" s="453"/>
      <c r="AK293" s="454"/>
      <c r="AL293" s="565"/>
      <c r="AM293" s="495"/>
      <c r="AN293" s="494"/>
      <c r="AO293" s="451">
        <f t="shared" si="89"/>
        <v>0</v>
      </c>
      <c r="AP293" s="452">
        <v>0</v>
      </c>
      <c r="AQ293" s="453">
        <v>0</v>
      </c>
      <c r="AR293" s="498"/>
      <c r="AS293" s="456">
        <f t="shared" si="87"/>
        <v>0</v>
      </c>
      <c r="AT293" s="457"/>
      <c r="AV293" s="467"/>
      <c r="BB293" s="463"/>
    </row>
    <row r="294" spans="1:54" s="439" customFormat="1" ht="31.5" x14ac:dyDescent="0.25">
      <c r="A294" s="442" t="s">
        <v>1756</v>
      </c>
      <c r="B294" s="442"/>
      <c r="C294" s="443">
        <v>104</v>
      </c>
      <c r="D294" s="444"/>
      <c r="E294" s="444"/>
      <c r="F294" s="444"/>
      <c r="G294" s="444"/>
      <c r="H294" s="444"/>
      <c r="I294" s="444"/>
      <c r="J294" s="444"/>
      <c r="K294" s="444"/>
      <c r="L294" s="444"/>
      <c r="M294" s="476"/>
      <c r="N294" s="444"/>
      <c r="O294" s="444"/>
      <c r="P294" s="444"/>
      <c r="Q294" s="444"/>
      <c r="R294" s="444"/>
      <c r="S294" s="523" t="s">
        <v>54</v>
      </c>
      <c r="T294" s="444" t="s">
        <v>85</v>
      </c>
      <c r="U294" s="502" t="s">
        <v>1769</v>
      </c>
      <c r="V294" s="475" t="s">
        <v>1775</v>
      </c>
      <c r="W294" s="446"/>
      <c r="X294" s="447"/>
      <c r="Y294" s="447"/>
      <c r="Z294" s="447"/>
      <c r="AA294" s="447"/>
      <c r="AB294" s="447"/>
      <c r="AC294" s="444" t="s">
        <v>1782</v>
      </c>
      <c r="AD294" s="493" t="s">
        <v>124</v>
      </c>
      <c r="AE294" s="494"/>
      <c r="AF294" s="451">
        <f t="shared" ref="AF294:AF297" si="94">+SUM(AD294:AE294)</f>
        <v>0</v>
      </c>
      <c r="AG294" s="493"/>
      <c r="AH294" s="495"/>
      <c r="AI294" s="496"/>
      <c r="AJ294" s="453">
        <f t="shared" ref="AJ294:AJ295" si="95">+AF294-SUM(AG294:AI294)</f>
        <v>0</v>
      </c>
      <c r="AK294" s="454"/>
      <c r="AL294" s="565"/>
      <c r="AM294" s="495"/>
      <c r="AN294" s="494"/>
      <c r="AO294" s="451">
        <f t="shared" si="89"/>
        <v>0</v>
      </c>
      <c r="AP294" s="452">
        <v>0</v>
      </c>
      <c r="AQ294" s="453">
        <v>0</v>
      </c>
      <c r="AR294" s="498"/>
      <c r="AS294" s="456">
        <f t="shared" si="87"/>
        <v>0</v>
      </c>
      <c r="AT294" s="457"/>
      <c r="AV294" s="467"/>
      <c r="BB294" s="463"/>
    </row>
    <row r="295" spans="1:54" s="439" customFormat="1" ht="60" x14ac:dyDescent="0.25">
      <c r="A295" s="442" t="s">
        <v>1757</v>
      </c>
      <c r="B295" s="442" t="s">
        <v>1892</v>
      </c>
      <c r="C295" s="443">
        <v>114</v>
      </c>
      <c r="D295" s="444"/>
      <c r="E295" s="444"/>
      <c r="F295" s="444"/>
      <c r="G295" s="444"/>
      <c r="H295" s="444"/>
      <c r="I295" s="444"/>
      <c r="J295" s="444"/>
      <c r="K295" s="444"/>
      <c r="L295" s="444"/>
      <c r="M295" s="476"/>
      <c r="N295" s="444"/>
      <c r="O295" s="444"/>
      <c r="P295" s="444"/>
      <c r="Q295" s="444"/>
      <c r="R295" s="444"/>
      <c r="S295" s="523" t="s">
        <v>54</v>
      </c>
      <c r="T295" s="444" t="s">
        <v>85</v>
      </c>
      <c r="U295" s="502" t="s">
        <v>1768</v>
      </c>
      <c r="V295" s="475" t="s">
        <v>1774</v>
      </c>
      <c r="W295" s="446"/>
      <c r="X295" s="447"/>
      <c r="Y295" s="447"/>
      <c r="Z295" s="447"/>
      <c r="AA295" s="447"/>
      <c r="AB295" s="447"/>
      <c r="AC295" s="444" t="s">
        <v>1783</v>
      </c>
      <c r="AD295" s="493" t="s">
        <v>124</v>
      </c>
      <c r="AE295" s="494"/>
      <c r="AF295" s="451">
        <f t="shared" si="94"/>
        <v>0</v>
      </c>
      <c r="AG295" s="493"/>
      <c r="AH295" s="495"/>
      <c r="AI295" s="496"/>
      <c r="AJ295" s="453">
        <f t="shared" si="95"/>
        <v>0</v>
      </c>
      <c r="AK295" s="454"/>
      <c r="AL295" s="565"/>
      <c r="AM295" s="495"/>
      <c r="AN295" s="494"/>
      <c r="AO295" s="451">
        <f t="shared" si="89"/>
        <v>0</v>
      </c>
      <c r="AP295" s="452">
        <v>0</v>
      </c>
      <c r="AQ295" s="453">
        <v>0</v>
      </c>
      <c r="AR295" s="498"/>
      <c r="AS295" s="456">
        <f t="shared" si="87"/>
        <v>0</v>
      </c>
      <c r="AT295" s="457"/>
      <c r="AV295" s="467"/>
      <c r="BB295" s="463"/>
    </row>
    <row r="296" spans="1:54" s="439" customFormat="1" ht="30" x14ac:dyDescent="0.25">
      <c r="A296" s="442" t="s">
        <v>1758</v>
      </c>
      <c r="B296" s="442"/>
      <c r="C296" s="443">
        <v>115</v>
      </c>
      <c r="D296" s="444"/>
      <c r="E296" s="444"/>
      <c r="F296" s="444"/>
      <c r="G296" s="444"/>
      <c r="H296" s="444"/>
      <c r="I296" s="444"/>
      <c r="J296" s="444"/>
      <c r="K296" s="444"/>
      <c r="L296" s="444"/>
      <c r="M296" s="476"/>
      <c r="N296" s="444"/>
      <c r="O296" s="444"/>
      <c r="P296" s="444"/>
      <c r="Q296" s="444"/>
      <c r="R296" s="444"/>
      <c r="S296" s="523" t="s">
        <v>26</v>
      </c>
      <c r="T296" s="444" t="s">
        <v>85</v>
      </c>
      <c r="U296" s="502" t="s">
        <v>1767</v>
      </c>
      <c r="V296" s="475"/>
      <c r="W296" s="446"/>
      <c r="X296" s="447"/>
      <c r="Y296" s="447"/>
      <c r="Z296" s="447"/>
      <c r="AA296" s="447"/>
      <c r="AB296" s="447"/>
      <c r="AC296" s="444" t="s">
        <v>1784</v>
      </c>
      <c r="AD296" s="493">
        <v>-34811.97</v>
      </c>
      <c r="AE296" s="494"/>
      <c r="AF296" s="451">
        <f t="shared" si="94"/>
        <v>-34811.97</v>
      </c>
      <c r="AG296" s="493"/>
      <c r="AH296" s="495"/>
      <c r="AI296" s="496"/>
      <c r="AJ296" s="453"/>
      <c r="AK296" s="454"/>
      <c r="AL296" s="565"/>
      <c r="AM296" s="495"/>
      <c r="AN296" s="494"/>
      <c r="AO296" s="451">
        <f t="shared" si="89"/>
        <v>0</v>
      </c>
      <c r="AP296" s="452">
        <v>0</v>
      </c>
      <c r="AQ296" s="453">
        <v>0</v>
      </c>
      <c r="AR296" s="498"/>
      <c r="AS296" s="456">
        <f t="shared" si="87"/>
        <v>0</v>
      </c>
      <c r="AT296" s="457"/>
      <c r="AV296" s="467"/>
      <c r="BB296" s="463"/>
    </row>
    <row r="297" spans="1:54" s="439" customFormat="1" ht="60" x14ac:dyDescent="0.25">
      <c r="A297" s="442" t="s">
        <v>1759</v>
      </c>
      <c r="B297" s="442"/>
      <c r="C297" s="443">
        <v>117</v>
      </c>
      <c r="D297" s="444"/>
      <c r="E297" s="444"/>
      <c r="F297" s="444"/>
      <c r="G297" s="444"/>
      <c r="H297" s="444"/>
      <c r="I297" s="444"/>
      <c r="J297" s="444"/>
      <c r="K297" s="444"/>
      <c r="L297" s="444"/>
      <c r="M297" s="476"/>
      <c r="N297" s="444"/>
      <c r="O297" s="444"/>
      <c r="P297" s="444"/>
      <c r="Q297" s="444"/>
      <c r="R297" s="444"/>
      <c r="S297" s="523" t="s">
        <v>68</v>
      </c>
      <c r="T297" s="444" t="s">
        <v>85</v>
      </c>
      <c r="U297" s="502" t="s">
        <v>1761</v>
      </c>
      <c r="V297" s="475" t="s">
        <v>1773</v>
      </c>
      <c r="W297" s="446"/>
      <c r="X297" s="447"/>
      <c r="Y297" s="447"/>
      <c r="Z297" s="447"/>
      <c r="AA297" s="447"/>
      <c r="AB297" s="447"/>
      <c r="AC297" s="444" t="s">
        <v>1785</v>
      </c>
      <c r="AD297" s="493">
        <v>4000</v>
      </c>
      <c r="AE297" s="494">
        <v>-4000</v>
      </c>
      <c r="AF297" s="451">
        <f t="shared" si="94"/>
        <v>0</v>
      </c>
      <c r="AG297" s="493"/>
      <c r="AH297" s="495"/>
      <c r="AI297" s="496"/>
      <c r="AJ297" s="453">
        <f>+AF297-SUM(AG297:AI297)</f>
        <v>0</v>
      </c>
      <c r="AK297" s="454"/>
      <c r="AL297" s="565"/>
      <c r="AM297" s="495"/>
      <c r="AN297" s="494"/>
      <c r="AO297" s="451">
        <f t="shared" si="89"/>
        <v>0</v>
      </c>
      <c r="AP297" s="452">
        <v>0</v>
      </c>
      <c r="AQ297" s="453">
        <v>0</v>
      </c>
      <c r="AR297" s="498"/>
      <c r="AS297" s="456">
        <f t="shared" si="87"/>
        <v>0</v>
      </c>
      <c r="AT297" s="457"/>
      <c r="AV297" s="467"/>
      <c r="BB297" s="463"/>
    </row>
    <row r="298" spans="1:54" s="439" customFormat="1" ht="45" x14ac:dyDescent="0.25">
      <c r="A298" s="442" t="s">
        <v>1760</v>
      </c>
      <c r="B298" s="442" t="s">
        <v>1892</v>
      </c>
      <c r="C298" s="443"/>
      <c r="D298" s="444" t="s">
        <v>1922</v>
      </c>
      <c r="E298" s="444"/>
      <c r="F298" s="444"/>
      <c r="G298" s="444"/>
      <c r="H298" s="444"/>
      <c r="I298" s="444"/>
      <c r="J298" s="444" t="s">
        <v>1786</v>
      </c>
      <c r="K298" s="444"/>
      <c r="L298" s="444"/>
      <c r="M298" s="476">
        <v>43966</v>
      </c>
      <c r="N298" s="444"/>
      <c r="O298" s="444"/>
      <c r="P298" s="444"/>
      <c r="Q298" s="444"/>
      <c r="R298" s="444"/>
      <c r="S298" s="523" t="s">
        <v>26</v>
      </c>
      <c r="T298" s="444" t="s">
        <v>85</v>
      </c>
      <c r="U298" s="502" t="s">
        <v>1762</v>
      </c>
      <c r="V298" s="475" t="s">
        <v>1763</v>
      </c>
      <c r="W298" s="446"/>
      <c r="X298" s="447"/>
      <c r="Y298" s="447"/>
      <c r="Z298" s="447"/>
      <c r="AA298" s="447"/>
      <c r="AB298" s="447"/>
      <c r="AC298" s="447">
        <v>43906</v>
      </c>
      <c r="AD298" s="493">
        <v>7851.41</v>
      </c>
      <c r="AE298" s="494"/>
      <c r="AF298" s="451">
        <f t="shared" ref="AF298:AF299" si="96">+SUM(AD298:AE298)</f>
        <v>7851.41</v>
      </c>
      <c r="AG298" s="493"/>
      <c r="AH298" s="495"/>
      <c r="AI298" s="496">
        <v>7851.41</v>
      </c>
      <c r="AJ298" s="453">
        <f>+AF298-SUM(AG298:AI298)</f>
        <v>0</v>
      </c>
      <c r="AK298" s="454">
        <v>7851.41</v>
      </c>
      <c r="AL298" s="565">
        <v>7851.41</v>
      </c>
      <c r="AM298" s="495"/>
      <c r="AN298" s="494"/>
      <c r="AO298" s="451">
        <f t="shared" si="89"/>
        <v>0</v>
      </c>
      <c r="AP298" s="452">
        <v>0</v>
      </c>
      <c r="AQ298" s="453">
        <v>0</v>
      </c>
      <c r="AR298" s="498"/>
      <c r="AS298" s="456">
        <f t="shared" si="87"/>
        <v>0</v>
      </c>
      <c r="AT298" s="457"/>
      <c r="AV298" s="467"/>
      <c r="BB298" s="463"/>
    </row>
    <row r="299" spans="1:54" s="439" customFormat="1" ht="78.75" x14ac:dyDescent="0.25">
      <c r="A299" s="442" t="s">
        <v>1793</v>
      </c>
      <c r="B299" s="442"/>
      <c r="C299" s="443"/>
      <c r="D299" s="444"/>
      <c r="E299" s="444"/>
      <c r="F299" s="444"/>
      <c r="G299" s="444"/>
      <c r="H299" s="444"/>
      <c r="I299" s="444"/>
      <c r="J299" s="444" t="s">
        <v>1938</v>
      </c>
      <c r="K299" s="444"/>
      <c r="L299" s="444"/>
      <c r="M299" s="476"/>
      <c r="N299" s="444"/>
      <c r="O299" s="444" t="s">
        <v>622</v>
      </c>
      <c r="P299" s="559" t="s">
        <v>1889</v>
      </c>
      <c r="Q299" s="444"/>
      <c r="R299" s="444"/>
      <c r="S299" s="445" t="s">
        <v>143</v>
      </c>
      <c r="T299" s="444" t="s">
        <v>85</v>
      </c>
      <c r="U299" s="502" t="s">
        <v>1792</v>
      </c>
      <c r="V299" s="475" t="s">
        <v>1797</v>
      </c>
      <c r="W299" s="446"/>
      <c r="X299" s="447">
        <v>43536</v>
      </c>
      <c r="Y299" s="447"/>
      <c r="Z299" s="447"/>
      <c r="AA299" s="447"/>
      <c r="AB299" s="447"/>
      <c r="AC299" s="447">
        <v>43909</v>
      </c>
      <c r="AD299" s="493">
        <v>3749779.57</v>
      </c>
      <c r="AE299" s="494"/>
      <c r="AF299" s="451">
        <f t="shared" si="96"/>
        <v>3749779.57</v>
      </c>
      <c r="AG299" s="493"/>
      <c r="AH299" s="495"/>
      <c r="AI299" s="496"/>
      <c r="AJ299" s="453">
        <f t="shared" ref="AJ299:AJ305" si="97">+AF299-SUM(AG299:AI299)</f>
        <v>3749779.57</v>
      </c>
      <c r="AK299" s="454"/>
      <c r="AL299" s="565"/>
      <c r="AM299" s="495">
        <v>1094246.4099999999</v>
      </c>
      <c r="AN299" s="494"/>
      <c r="AO299" s="451">
        <f t="shared" si="89"/>
        <v>1094246.4099999999</v>
      </c>
      <c r="AP299" s="452">
        <f>AO299</f>
        <v>1094246.4099999999</v>
      </c>
      <c r="AQ299" s="453">
        <v>0</v>
      </c>
      <c r="AR299" s="498"/>
      <c r="AS299" s="456">
        <f t="shared" si="87"/>
        <v>0</v>
      </c>
      <c r="AT299" s="457"/>
      <c r="AV299" s="467"/>
      <c r="BB299" s="463"/>
    </row>
    <row r="300" spans="1:54" s="439" customFormat="1" ht="78.75" x14ac:dyDescent="0.25">
      <c r="A300" s="442" t="s">
        <v>1795</v>
      </c>
      <c r="B300" s="442"/>
      <c r="C300" s="443"/>
      <c r="D300" s="444"/>
      <c r="E300" s="444"/>
      <c r="F300" s="444"/>
      <c r="G300" s="444"/>
      <c r="H300" s="444"/>
      <c r="I300" s="444"/>
      <c r="J300" s="444" t="s">
        <v>1796</v>
      </c>
      <c r="K300" s="444"/>
      <c r="L300" s="444"/>
      <c r="M300" s="476"/>
      <c r="N300" s="444"/>
      <c r="O300" s="444"/>
      <c r="P300" s="444"/>
      <c r="Q300" s="444"/>
      <c r="R300" s="444"/>
      <c r="S300" s="445" t="s">
        <v>143</v>
      </c>
      <c r="T300" s="444" t="s">
        <v>85</v>
      </c>
      <c r="U300" s="502" t="s">
        <v>1794</v>
      </c>
      <c r="V300" s="475" t="s">
        <v>1798</v>
      </c>
      <c r="W300" s="446"/>
      <c r="X300" s="447">
        <v>43530</v>
      </c>
      <c r="Y300" s="447"/>
      <c r="Z300" s="447"/>
      <c r="AA300" s="447"/>
      <c r="AB300" s="447"/>
      <c r="AC300" s="447">
        <v>43909</v>
      </c>
      <c r="AD300" s="493" t="s">
        <v>124</v>
      </c>
      <c r="AE300" s="494"/>
      <c r="AF300" s="451"/>
      <c r="AG300" s="493"/>
      <c r="AH300" s="495"/>
      <c r="AI300" s="496"/>
      <c r="AJ300" s="453">
        <f t="shared" si="97"/>
        <v>0</v>
      </c>
      <c r="AK300" s="454"/>
      <c r="AL300" s="565"/>
      <c r="AM300" s="495">
        <v>200000</v>
      </c>
      <c r="AN300" s="494"/>
      <c r="AO300" s="451">
        <f t="shared" si="89"/>
        <v>200000</v>
      </c>
      <c r="AP300" s="452">
        <v>0</v>
      </c>
      <c r="AQ300" s="453">
        <v>200000</v>
      </c>
      <c r="AR300" s="498"/>
      <c r="AS300" s="456">
        <f t="shared" si="87"/>
        <v>0</v>
      </c>
      <c r="AT300" s="457"/>
      <c r="AV300" s="467"/>
      <c r="BB300" s="463"/>
    </row>
    <row r="301" spans="1:54" s="439" customFormat="1" ht="90" x14ac:dyDescent="0.25">
      <c r="A301" s="442" t="s">
        <v>1811</v>
      </c>
      <c r="B301" s="442"/>
      <c r="C301" s="443"/>
      <c r="D301" s="444"/>
      <c r="E301" s="444"/>
      <c r="F301" s="444"/>
      <c r="G301" s="444"/>
      <c r="H301" s="444"/>
      <c r="I301" s="444"/>
      <c r="J301" s="444" t="s">
        <v>1812</v>
      </c>
      <c r="K301" s="444"/>
      <c r="L301" s="444"/>
      <c r="M301" s="476"/>
      <c r="N301" s="444"/>
      <c r="O301" s="444" t="s">
        <v>622</v>
      </c>
      <c r="P301" s="444" t="s">
        <v>1886</v>
      </c>
      <c r="Q301" s="444"/>
      <c r="R301" s="444"/>
      <c r="S301" s="445" t="s">
        <v>143</v>
      </c>
      <c r="T301" s="444" t="s">
        <v>85</v>
      </c>
      <c r="U301" s="502" t="s">
        <v>1813</v>
      </c>
      <c r="V301" s="475" t="s">
        <v>1814</v>
      </c>
      <c r="W301" s="446"/>
      <c r="X301" s="447">
        <v>43920</v>
      </c>
      <c r="Y301" s="447"/>
      <c r="Z301" s="447"/>
      <c r="AA301" s="447"/>
      <c r="AB301" s="447"/>
      <c r="AC301" s="447">
        <v>43924</v>
      </c>
      <c r="AD301" s="493">
        <v>29416.71</v>
      </c>
      <c r="AE301" s="494"/>
      <c r="AF301" s="451">
        <f t="shared" ref="AF301:AF302" si="98">+SUM(AD301:AE301)</f>
        <v>29416.71</v>
      </c>
      <c r="AG301" s="493"/>
      <c r="AH301" s="495"/>
      <c r="AI301" s="496"/>
      <c r="AJ301" s="453">
        <f t="shared" si="97"/>
        <v>29416.71</v>
      </c>
      <c r="AK301" s="454"/>
      <c r="AL301" s="565"/>
      <c r="AM301" s="495"/>
      <c r="AN301" s="494"/>
      <c r="AO301" s="451">
        <f t="shared" si="89"/>
        <v>0</v>
      </c>
      <c r="AP301" s="452"/>
      <c r="AQ301" s="453"/>
      <c r="AR301" s="498"/>
      <c r="AS301" s="456">
        <f t="shared" si="87"/>
        <v>0</v>
      </c>
      <c r="AT301" s="457"/>
      <c r="AV301" s="467"/>
      <c r="BB301" s="463"/>
    </row>
    <row r="302" spans="1:54" s="439" customFormat="1" ht="45" x14ac:dyDescent="0.25">
      <c r="A302" s="442" t="s">
        <v>1815</v>
      </c>
      <c r="B302" s="442" t="s">
        <v>1892</v>
      </c>
      <c r="C302" s="443"/>
      <c r="D302" s="444"/>
      <c r="E302" s="444"/>
      <c r="F302" s="444"/>
      <c r="G302" s="444"/>
      <c r="H302" s="444"/>
      <c r="I302" s="444"/>
      <c r="J302" s="444" t="s">
        <v>1816</v>
      </c>
      <c r="K302" s="444"/>
      <c r="L302" s="444"/>
      <c r="M302" s="476"/>
      <c r="N302" s="444"/>
      <c r="O302" s="444" t="s">
        <v>622</v>
      </c>
      <c r="P302" s="444" t="s">
        <v>1886</v>
      </c>
      <c r="Q302" s="444"/>
      <c r="R302" s="444"/>
      <c r="S302" s="523" t="s">
        <v>26</v>
      </c>
      <c r="T302" s="444" t="s">
        <v>85</v>
      </c>
      <c r="U302" s="502" t="s">
        <v>1817</v>
      </c>
      <c r="V302" s="475" t="s">
        <v>1818</v>
      </c>
      <c r="W302" s="446"/>
      <c r="X302" s="447"/>
      <c r="Y302" s="447"/>
      <c r="Z302" s="447"/>
      <c r="AA302" s="447"/>
      <c r="AB302" s="447"/>
      <c r="AC302" s="447">
        <v>43923</v>
      </c>
      <c r="AD302" s="493">
        <v>88046.35</v>
      </c>
      <c r="AE302" s="494"/>
      <c r="AF302" s="451">
        <f t="shared" si="98"/>
        <v>88046.35</v>
      </c>
      <c r="AG302" s="493"/>
      <c r="AH302" s="495"/>
      <c r="AI302" s="496">
        <v>88046.35</v>
      </c>
      <c r="AJ302" s="453">
        <f t="shared" si="97"/>
        <v>0</v>
      </c>
      <c r="AK302" s="454">
        <v>88046.35</v>
      </c>
      <c r="AL302" s="565">
        <v>88046.35</v>
      </c>
      <c r="AM302" s="495"/>
      <c r="AN302" s="494"/>
      <c r="AO302" s="451"/>
      <c r="AP302" s="452"/>
      <c r="AQ302" s="453"/>
      <c r="AR302" s="498"/>
      <c r="AS302" s="456">
        <f t="shared" si="87"/>
        <v>0</v>
      </c>
      <c r="AT302" s="457"/>
      <c r="AV302" s="467"/>
      <c r="BB302" s="463"/>
    </row>
    <row r="303" spans="1:54" s="439" customFormat="1" ht="120" x14ac:dyDescent="0.25">
      <c r="A303" s="442" t="s">
        <v>1819</v>
      </c>
      <c r="B303" s="442"/>
      <c r="C303" s="443"/>
      <c r="D303" s="444"/>
      <c r="E303" s="444"/>
      <c r="F303" s="444"/>
      <c r="G303" s="444"/>
      <c r="H303" s="444"/>
      <c r="I303" s="444"/>
      <c r="J303" s="444" t="s">
        <v>1820</v>
      </c>
      <c r="K303" s="444"/>
      <c r="L303" s="444"/>
      <c r="M303" s="476"/>
      <c r="N303" s="444"/>
      <c r="O303" s="444"/>
      <c r="P303" s="444"/>
      <c r="Q303" s="444"/>
      <c r="R303" s="444"/>
      <c r="S303" s="445" t="s">
        <v>143</v>
      </c>
      <c r="T303" s="444" t="s">
        <v>85</v>
      </c>
      <c r="U303" s="502" t="s">
        <v>1821</v>
      </c>
      <c r="V303" s="475" t="s">
        <v>1822</v>
      </c>
      <c r="W303" s="446"/>
      <c r="X303" s="447"/>
      <c r="Y303" s="447"/>
      <c r="Z303" s="447"/>
      <c r="AA303" s="447"/>
      <c r="AB303" s="447"/>
      <c r="AC303" s="447">
        <v>43924</v>
      </c>
      <c r="AD303" s="493" t="s">
        <v>124</v>
      </c>
      <c r="AE303" s="494"/>
      <c r="AF303" s="451"/>
      <c r="AG303" s="493"/>
      <c r="AH303" s="495"/>
      <c r="AI303" s="496"/>
      <c r="AJ303" s="453">
        <f t="shared" si="97"/>
        <v>0</v>
      </c>
      <c r="AK303" s="454"/>
      <c r="AL303" s="565"/>
      <c r="AM303" s="495"/>
      <c r="AN303" s="494"/>
      <c r="AO303" s="451">
        <f t="shared" ref="AO303:AO304" si="99">AN303+AM303</f>
        <v>0</v>
      </c>
      <c r="AP303" s="452"/>
      <c r="AQ303" s="453"/>
      <c r="AR303" s="498"/>
      <c r="AS303" s="456">
        <f t="shared" si="87"/>
        <v>0</v>
      </c>
      <c r="AT303" s="457"/>
      <c r="AV303" s="467"/>
      <c r="BB303" s="463"/>
    </row>
    <row r="304" spans="1:54" s="439" customFormat="1" ht="78.75" x14ac:dyDescent="0.25">
      <c r="A304" s="442" t="s">
        <v>1824</v>
      </c>
      <c r="B304" s="442"/>
      <c r="C304" s="443"/>
      <c r="D304" s="444"/>
      <c r="E304" s="444"/>
      <c r="F304" s="444"/>
      <c r="G304" s="444"/>
      <c r="H304" s="444"/>
      <c r="I304" s="444"/>
      <c r="J304" s="444" t="s">
        <v>1825</v>
      </c>
      <c r="K304" s="444"/>
      <c r="L304" s="444"/>
      <c r="M304" s="476"/>
      <c r="N304" s="444"/>
      <c r="O304" s="444"/>
      <c r="P304" s="444"/>
      <c r="Q304" s="444"/>
      <c r="R304" s="444"/>
      <c r="S304" s="445" t="s">
        <v>143</v>
      </c>
      <c r="T304" s="444" t="s">
        <v>85</v>
      </c>
      <c r="U304" s="502" t="s">
        <v>1823</v>
      </c>
      <c r="V304" s="475" t="s">
        <v>1826</v>
      </c>
      <c r="W304" s="446"/>
      <c r="X304" s="447"/>
      <c r="Y304" s="447"/>
      <c r="Z304" s="447"/>
      <c r="AA304" s="447"/>
      <c r="AB304" s="447"/>
      <c r="AC304" s="447">
        <v>43926</v>
      </c>
      <c r="AD304" s="493" t="s">
        <v>124</v>
      </c>
      <c r="AE304" s="494"/>
      <c r="AF304" s="451"/>
      <c r="AG304" s="493"/>
      <c r="AH304" s="495"/>
      <c r="AI304" s="496"/>
      <c r="AJ304" s="453">
        <f t="shared" si="97"/>
        <v>0</v>
      </c>
      <c r="AK304" s="454"/>
      <c r="AL304" s="565"/>
      <c r="AM304" s="495"/>
      <c r="AN304" s="494"/>
      <c r="AO304" s="451">
        <f t="shared" si="99"/>
        <v>0</v>
      </c>
      <c r="AP304" s="452">
        <v>0</v>
      </c>
      <c r="AQ304" s="453">
        <v>0</v>
      </c>
      <c r="AR304" s="498"/>
      <c r="AS304" s="456">
        <f t="shared" si="87"/>
        <v>0</v>
      </c>
      <c r="AT304" s="457"/>
      <c r="AV304" s="467"/>
      <c r="BB304" s="463"/>
    </row>
    <row r="305" spans="1:54" s="439" customFormat="1" ht="45" x14ac:dyDescent="0.25">
      <c r="A305" s="442" t="s">
        <v>1827</v>
      </c>
      <c r="B305" s="442" t="s">
        <v>1892</v>
      </c>
      <c r="C305" s="443"/>
      <c r="D305" s="444" t="s">
        <v>1939</v>
      </c>
      <c r="E305" s="444"/>
      <c r="F305" s="444"/>
      <c r="G305" s="444"/>
      <c r="H305" s="444"/>
      <c r="I305" s="444"/>
      <c r="J305" s="444" t="s">
        <v>1828</v>
      </c>
      <c r="K305" s="444"/>
      <c r="L305" s="444"/>
      <c r="M305" s="476">
        <v>43969</v>
      </c>
      <c r="N305" s="444"/>
      <c r="O305" s="444"/>
      <c r="P305" s="444"/>
      <c r="Q305" s="444"/>
      <c r="R305" s="444"/>
      <c r="S305" s="523" t="s">
        <v>26</v>
      </c>
      <c r="T305" s="444" t="s">
        <v>85</v>
      </c>
      <c r="U305" s="502" t="s">
        <v>1829</v>
      </c>
      <c r="V305" s="475" t="s">
        <v>1830</v>
      </c>
      <c r="W305" s="446"/>
      <c r="X305" s="447"/>
      <c r="Y305" s="447"/>
      <c r="Z305" s="447"/>
      <c r="AA305" s="447"/>
      <c r="AB305" s="447"/>
      <c r="AC305" s="447">
        <v>43926</v>
      </c>
      <c r="AD305" s="493">
        <v>3573.05</v>
      </c>
      <c r="AE305" s="494"/>
      <c r="AF305" s="451">
        <f t="shared" ref="AF305" si="100">+SUM(AD305:AE305)</f>
        <v>3573.05</v>
      </c>
      <c r="AG305" s="493"/>
      <c r="AH305" s="495"/>
      <c r="AI305" s="496">
        <v>3573.05</v>
      </c>
      <c r="AJ305" s="453">
        <f t="shared" si="97"/>
        <v>0</v>
      </c>
      <c r="AK305" s="454">
        <v>3573.05</v>
      </c>
      <c r="AL305" s="565">
        <v>3573.05</v>
      </c>
      <c r="AM305" s="495"/>
      <c r="AN305" s="494"/>
      <c r="AO305" s="451"/>
      <c r="AP305" s="452"/>
      <c r="AQ305" s="453"/>
      <c r="AR305" s="498"/>
      <c r="AS305" s="456">
        <f t="shared" si="87"/>
        <v>0</v>
      </c>
      <c r="AT305" s="457"/>
      <c r="AV305" s="467"/>
      <c r="BB305" s="463"/>
    </row>
    <row r="306" spans="1:54" s="439" customFormat="1" ht="78.75" x14ac:dyDescent="0.25">
      <c r="A306" s="442" t="s">
        <v>1856</v>
      </c>
      <c r="B306" s="442"/>
      <c r="C306" s="443"/>
      <c r="D306" s="444"/>
      <c r="E306" s="444"/>
      <c r="F306" s="444"/>
      <c r="G306" s="444"/>
      <c r="H306" s="444"/>
      <c r="I306" s="444"/>
      <c r="J306" s="444" t="s">
        <v>1875</v>
      </c>
      <c r="K306" s="444"/>
      <c r="L306" s="444"/>
      <c r="M306" s="476">
        <v>43927</v>
      </c>
      <c r="N306" s="444"/>
      <c r="O306" s="444"/>
      <c r="P306" s="444"/>
      <c r="Q306" s="444"/>
      <c r="R306" s="444"/>
      <c r="S306" s="445" t="s">
        <v>143</v>
      </c>
      <c r="T306" s="444" t="s">
        <v>85</v>
      </c>
      <c r="U306" s="502" t="s">
        <v>1861</v>
      </c>
      <c r="V306" s="475" t="s">
        <v>1866</v>
      </c>
      <c r="W306" s="446"/>
      <c r="X306" s="447"/>
      <c r="Y306" s="447"/>
      <c r="Z306" s="447"/>
      <c r="AA306" s="447"/>
      <c r="AB306" s="447"/>
      <c r="AC306" s="447">
        <v>43927</v>
      </c>
      <c r="AD306" s="493"/>
      <c r="AE306" s="494"/>
      <c r="AF306" s="451"/>
      <c r="AG306" s="493"/>
      <c r="AH306" s="495"/>
      <c r="AI306" s="496"/>
      <c r="AJ306" s="453"/>
      <c r="AK306" s="454"/>
      <c r="AL306" s="565"/>
      <c r="AM306" s="495"/>
      <c r="AN306" s="494"/>
      <c r="AO306" s="451">
        <f t="shared" ref="AO306:AO310" si="101">AN306+AM306</f>
        <v>0</v>
      </c>
      <c r="AP306" s="452"/>
      <c r="AQ306" s="453"/>
      <c r="AR306" s="498"/>
      <c r="AS306" s="456">
        <f t="shared" si="87"/>
        <v>0</v>
      </c>
      <c r="AT306" s="457"/>
      <c r="AV306" s="467"/>
      <c r="BB306" s="463"/>
    </row>
    <row r="307" spans="1:54" s="439" customFormat="1" ht="78.75" x14ac:dyDescent="0.25">
      <c r="A307" s="442" t="s">
        <v>1857</v>
      </c>
      <c r="B307" s="442"/>
      <c r="C307" s="443"/>
      <c r="D307" s="444"/>
      <c r="E307" s="444"/>
      <c r="F307" s="444"/>
      <c r="G307" s="444"/>
      <c r="H307" s="444"/>
      <c r="I307" s="444"/>
      <c r="J307" s="444"/>
      <c r="K307" s="444"/>
      <c r="L307" s="444"/>
      <c r="M307" s="476"/>
      <c r="N307" s="444"/>
      <c r="O307" s="444"/>
      <c r="P307" s="444"/>
      <c r="Q307" s="444"/>
      <c r="R307" s="444"/>
      <c r="S307" s="445" t="s">
        <v>143</v>
      </c>
      <c r="T307" s="444" t="s">
        <v>85</v>
      </c>
      <c r="U307" s="502" t="s">
        <v>1862</v>
      </c>
      <c r="V307" s="475"/>
      <c r="W307" s="446"/>
      <c r="X307" s="447"/>
      <c r="Y307" s="447"/>
      <c r="Z307" s="447"/>
      <c r="AA307" s="447"/>
      <c r="AB307" s="447"/>
      <c r="AC307" s="447"/>
      <c r="AD307" s="493"/>
      <c r="AE307" s="494"/>
      <c r="AF307" s="451"/>
      <c r="AG307" s="493"/>
      <c r="AH307" s="495"/>
      <c r="AI307" s="496"/>
      <c r="AJ307" s="453"/>
      <c r="AK307" s="454"/>
      <c r="AL307" s="565"/>
      <c r="AM307" s="495"/>
      <c r="AN307" s="494"/>
      <c r="AO307" s="451">
        <f t="shared" si="101"/>
        <v>0</v>
      </c>
      <c r="AP307" s="452"/>
      <c r="AQ307" s="453"/>
      <c r="AR307" s="498"/>
      <c r="AS307" s="456">
        <f t="shared" si="87"/>
        <v>0</v>
      </c>
      <c r="AT307" s="457"/>
      <c r="AV307" s="467"/>
      <c r="BB307" s="463"/>
    </row>
    <row r="308" spans="1:54" s="439" customFormat="1" ht="78.75" x14ac:dyDescent="0.25">
      <c r="A308" s="442" t="s">
        <v>1858</v>
      </c>
      <c r="B308" s="442"/>
      <c r="C308" s="443"/>
      <c r="D308" s="444"/>
      <c r="E308" s="444"/>
      <c r="F308" s="444"/>
      <c r="G308" s="444"/>
      <c r="H308" s="444"/>
      <c r="I308" s="444"/>
      <c r="J308" s="444"/>
      <c r="K308" s="444"/>
      <c r="L308" s="444"/>
      <c r="M308" s="476"/>
      <c r="N308" s="444"/>
      <c r="O308" s="444"/>
      <c r="P308" s="444"/>
      <c r="Q308" s="444"/>
      <c r="R308" s="444"/>
      <c r="S308" s="445" t="s">
        <v>143</v>
      </c>
      <c r="T308" s="444" t="s">
        <v>85</v>
      </c>
      <c r="U308" s="502" t="s">
        <v>1863</v>
      </c>
      <c r="V308" s="475"/>
      <c r="W308" s="446"/>
      <c r="X308" s="447"/>
      <c r="Y308" s="447"/>
      <c r="Z308" s="447"/>
      <c r="AA308" s="447"/>
      <c r="AB308" s="447"/>
      <c r="AC308" s="447"/>
      <c r="AD308" s="493"/>
      <c r="AE308" s="494"/>
      <c r="AF308" s="451"/>
      <c r="AG308" s="493"/>
      <c r="AH308" s="495"/>
      <c r="AI308" s="496"/>
      <c r="AJ308" s="453"/>
      <c r="AK308" s="454"/>
      <c r="AL308" s="565"/>
      <c r="AM308" s="495"/>
      <c r="AN308" s="494"/>
      <c r="AO308" s="451">
        <f t="shared" si="101"/>
        <v>0</v>
      </c>
      <c r="AP308" s="452"/>
      <c r="AQ308" s="453"/>
      <c r="AR308" s="498"/>
      <c r="AS308" s="456">
        <f t="shared" si="87"/>
        <v>0</v>
      </c>
      <c r="AT308" s="457"/>
      <c r="AV308" s="467"/>
      <c r="BB308" s="463"/>
    </row>
    <row r="309" spans="1:54" s="439" customFormat="1" ht="78.75" x14ac:dyDescent="0.25">
      <c r="A309" s="442" t="s">
        <v>1859</v>
      </c>
      <c r="B309" s="442"/>
      <c r="C309" s="443"/>
      <c r="D309" s="444"/>
      <c r="E309" s="444"/>
      <c r="F309" s="444"/>
      <c r="G309" s="444"/>
      <c r="H309" s="444"/>
      <c r="I309" s="444"/>
      <c r="J309" s="444"/>
      <c r="K309" s="444"/>
      <c r="L309" s="444"/>
      <c r="M309" s="476"/>
      <c r="N309" s="444"/>
      <c r="O309" s="444"/>
      <c r="P309" s="444"/>
      <c r="Q309" s="444"/>
      <c r="R309" s="444"/>
      <c r="S309" s="445" t="s">
        <v>143</v>
      </c>
      <c r="T309" s="444" t="s">
        <v>85</v>
      </c>
      <c r="U309" s="502" t="s">
        <v>1864</v>
      </c>
      <c r="V309" s="475"/>
      <c r="W309" s="446"/>
      <c r="X309" s="447"/>
      <c r="Y309" s="447"/>
      <c r="Z309" s="447"/>
      <c r="AA309" s="447"/>
      <c r="AB309" s="447"/>
      <c r="AC309" s="447"/>
      <c r="AD309" s="493"/>
      <c r="AE309" s="494"/>
      <c r="AF309" s="451"/>
      <c r="AG309" s="493"/>
      <c r="AH309" s="495"/>
      <c r="AI309" s="496"/>
      <c r="AJ309" s="453"/>
      <c r="AK309" s="454"/>
      <c r="AL309" s="565"/>
      <c r="AM309" s="495"/>
      <c r="AN309" s="494"/>
      <c r="AO309" s="451">
        <f t="shared" si="101"/>
        <v>0</v>
      </c>
      <c r="AP309" s="452"/>
      <c r="AQ309" s="453"/>
      <c r="AR309" s="498"/>
      <c r="AS309" s="456">
        <f t="shared" si="87"/>
        <v>0</v>
      </c>
      <c r="AT309" s="457"/>
      <c r="AV309" s="467"/>
      <c r="BB309" s="463"/>
    </row>
    <row r="310" spans="1:54" s="439" customFormat="1" ht="78.75" x14ac:dyDescent="0.25">
      <c r="A310" s="442" t="s">
        <v>1860</v>
      </c>
      <c r="B310" s="442" t="s">
        <v>1892</v>
      </c>
      <c r="C310" s="443">
        <v>107</v>
      </c>
      <c r="D310" s="444"/>
      <c r="E310" s="444"/>
      <c r="F310" s="444"/>
      <c r="G310" s="444"/>
      <c r="H310" s="444"/>
      <c r="I310" s="444"/>
      <c r="J310" s="444"/>
      <c r="K310" s="444"/>
      <c r="L310" s="444"/>
      <c r="M310" s="476"/>
      <c r="N310" s="444"/>
      <c r="O310" s="444"/>
      <c r="P310" s="444"/>
      <c r="Q310" s="444"/>
      <c r="R310" s="444"/>
      <c r="S310" s="445" t="s">
        <v>143</v>
      </c>
      <c r="T310" s="444" t="s">
        <v>85</v>
      </c>
      <c r="U310" s="502" t="s">
        <v>1865</v>
      </c>
      <c r="V310" s="475" t="s">
        <v>1914</v>
      </c>
      <c r="W310" s="446"/>
      <c r="X310" s="447"/>
      <c r="Y310" s="447"/>
      <c r="Z310" s="447"/>
      <c r="AA310" s="447"/>
      <c r="AB310" s="447"/>
      <c r="AC310" s="447" t="s">
        <v>2030</v>
      </c>
      <c r="AD310" s="493">
        <v>7000</v>
      </c>
      <c r="AE310" s="494"/>
      <c r="AF310" s="451">
        <v>0</v>
      </c>
      <c r="AG310" s="493"/>
      <c r="AH310" s="495"/>
      <c r="AI310" s="496"/>
      <c r="AJ310" s="453"/>
      <c r="AK310" s="454"/>
      <c r="AL310" s="565"/>
      <c r="AM310" s="495"/>
      <c r="AN310" s="494"/>
      <c r="AO310" s="451">
        <f t="shared" si="101"/>
        <v>0</v>
      </c>
      <c r="AP310" s="452"/>
      <c r="AQ310" s="453"/>
      <c r="AR310" s="498"/>
      <c r="AS310" s="456">
        <f t="shared" si="87"/>
        <v>0</v>
      </c>
      <c r="AT310" s="457"/>
      <c r="AV310" s="467"/>
      <c r="BB310" s="463"/>
    </row>
    <row r="311" spans="1:54" s="439" customFormat="1" ht="78.75" x14ac:dyDescent="0.25">
      <c r="A311" s="442" t="s">
        <v>1901</v>
      </c>
      <c r="B311" s="442"/>
      <c r="C311" s="443"/>
      <c r="D311" s="444"/>
      <c r="E311" s="444"/>
      <c r="F311" s="444"/>
      <c r="G311" s="444"/>
      <c r="H311" s="444"/>
      <c r="I311" s="444"/>
      <c r="J311" s="444"/>
      <c r="K311" s="444"/>
      <c r="L311" s="444"/>
      <c r="M311" s="476"/>
      <c r="N311" s="444"/>
      <c r="O311" s="444"/>
      <c r="P311" s="444"/>
      <c r="Q311" s="444"/>
      <c r="R311" s="444"/>
      <c r="S311" s="445" t="s">
        <v>143</v>
      </c>
      <c r="T311" s="444" t="s">
        <v>85</v>
      </c>
      <c r="U311" s="502" t="s">
        <v>1912</v>
      </c>
      <c r="V311" s="446" t="s">
        <v>1913</v>
      </c>
      <c r="W311" s="446"/>
      <c r="X311" s="447">
        <v>43946</v>
      </c>
      <c r="Y311" s="447"/>
      <c r="Z311" s="447"/>
      <c r="AA311" s="447">
        <f t="shared" ref="AA311" si="102">+IF(X311="","",WORKDAY(X311,5))</f>
        <v>43952</v>
      </c>
      <c r="AB311" s="447">
        <f t="shared" ref="AB311" si="103">+IF(X311="","",WORKDAY(X311,10))</f>
        <v>43959</v>
      </c>
      <c r="AC311" s="447">
        <v>43949</v>
      </c>
      <c r="AD311" s="493" t="s">
        <v>124</v>
      </c>
      <c r="AE311" s="494"/>
      <c r="AF311" s="451"/>
      <c r="AG311" s="493"/>
      <c r="AH311" s="495"/>
      <c r="AI311" s="496"/>
      <c r="AJ311" s="453"/>
      <c r="AK311" s="454"/>
      <c r="AL311" s="565"/>
      <c r="AM311" s="495"/>
      <c r="AN311" s="494"/>
      <c r="AO311" s="451"/>
      <c r="AP311" s="452"/>
      <c r="AQ311" s="453"/>
      <c r="AR311" s="498"/>
      <c r="AS311" s="456">
        <f t="shared" si="87"/>
        <v>0</v>
      </c>
      <c r="AT311" s="457"/>
      <c r="AV311" s="467"/>
      <c r="BB311" s="463"/>
    </row>
    <row r="312" spans="1:54" s="439" customFormat="1" ht="78.75" x14ac:dyDescent="0.25">
      <c r="A312" s="442" t="s">
        <v>1902</v>
      </c>
      <c r="B312" s="442"/>
      <c r="C312" s="443"/>
      <c r="D312" s="444"/>
      <c r="E312" s="444"/>
      <c r="F312" s="444"/>
      <c r="G312" s="444"/>
      <c r="H312" s="444"/>
      <c r="I312" s="444"/>
      <c r="J312" s="444"/>
      <c r="K312" s="444"/>
      <c r="L312" s="444"/>
      <c r="M312" s="476"/>
      <c r="N312" s="444"/>
      <c r="O312" s="444" t="s">
        <v>622</v>
      </c>
      <c r="P312" s="444" t="s">
        <v>1886</v>
      </c>
      <c r="Q312" s="444"/>
      <c r="R312" s="444"/>
      <c r="S312" s="445" t="s">
        <v>143</v>
      </c>
      <c r="T312" s="444" t="s">
        <v>85</v>
      </c>
      <c r="U312" s="502" t="s">
        <v>1910</v>
      </c>
      <c r="V312" s="475" t="s">
        <v>1911</v>
      </c>
      <c r="W312" s="446"/>
      <c r="X312" s="447"/>
      <c r="Y312" s="447"/>
      <c r="Z312" s="447"/>
      <c r="AA312" s="447"/>
      <c r="AB312" s="447"/>
      <c r="AC312" s="447">
        <v>43954</v>
      </c>
      <c r="AD312" s="493">
        <v>17056.580000000002</v>
      </c>
      <c r="AE312" s="494"/>
      <c r="AF312" s="451">
        <f t="shared" ref="AF312:AF313" si="104">+SUM(AD312:AE312)</f>
        <v>17056.580000000002</v>
      </c>
      <c r="AG312" s="493"/>
      <c r="AH312" s="495"/>
      <c r="AI312" s="496"/>
      <c r="AJ312" s="453"/>
      <c r="AK312" s="454"/>
      <c r="AL312" s="565"/>
      <c r="AM312" s="495"/>
      <c r="AN312" s="494"/>
      <c r="AO312" s="451"/>
      <c r="AP312" s="452"/>
      <c r="AQ312" s="453"/>
      <c r="AR312" s="498"/>
      <c r="AS312" s="456"/>
      <c r="AT312" s="457"/>
      <c r="AV312" s="467"/>
      <c r="BB312" s="463"/>
    </row>
    <row r="313" spans="1:54" s="439" customFormat="1" ht="78.75" x14ac:dyDescent="0.25">
      <c r="A313" s="442" t="s">
        <v>1903</v>
      </c>
      <c r="B313" s="442"/>
      <c r="C313" s="443"/>
      <c r="D313" s="444"/>
      <c r="E313" s="444"/>
      <c r="F313" s="444"/>
      <c r="G313" s="444"/>
      <c r="H313" s="444"/>
      <c r="I313" s="444"/>
      <c r="J313" s="444"/>
      <c r="K313" s="444"/>
      <c r="L313" s="444"/>
      <c r="M313" s="476"/>
      <c r="N313" s="444"/>
      <c r="O313" s="444" t="s">
        <v>622</v>
      </c>
      <c r="P313" s="444" t="s">
        <v>1886</v>
      </c>
      <c r="Q313" s="444"/>
      <c r="R313" s="444"/>
      <c r="S313" s="445" t="s">
        <v>143</v>
      </c>
      <c r="T313" s="444" t="s">
        <v>85</v>
      </c>
      <c r="U313" s="502" t="s">
        <v>1908</v>
      </c>
      <c r="V313" s="475" t="s">
        <v>1909</v>
      </c>
      <c r="W313" s="446"/>
      <c r="X313" s="447"/>
      <c r="Y313" s="447"/>
      <c r="Z313" s="447"/>
      <c r="AA313" s="447"/>
      <c r="AB313" s="447"/>
      <c r="AC313" s="447">
        <v>43954</v>
      </c>
      <c r="AD313" s="493">
        <v>1030.0899999999999</v>
      </c>
      <c r="AE313" s="494"/>
      <c r="AF313" s="451">
        <f t="shared" si="104"/>
        <v>1030.0899999999999</v>
      </c>
      <c r="AG313" s="493"/>
      <c r="AH313" s="495"/>
      <c r="AI313" s="496"/>
      <c r="AJ313" s="453"/>
      <c r="AK313" s="454"/>
      <c r="AL313" s="565"/>
      <c r="AM313" s="495"/>
      <c r="AN313" s="494"/>
      <c r="AO313" s="451"/>
      <c r="AP313" s="452"/>
      <c r="AQ313" s="453"/>
      <c r="AR313" s="498"/>
      <c r="AS313" s="456"/>
      <c r="AT313" s="457"/>
      <c r="AV313" s="467"/>
      <c r="BB313" s="463"/>
    </row>
    <row r="314" spans="1:54" s="439" customFormat="1" ht="30" x14ac:dyDescent="0.25">
      <c r="A314" s="442" t="s">
        <v>1904</v>
      </c>
      <c r="B314" s="442"/>
      <c r="C314" s="443"/>
      <c r="D314" s="444" t="s">
        <v>1941</v>
      </c>
      <c r="E314" s="444"/>
      <c r="F314" s="444"/>
      <c r="G314" s="444"/>
      <c r="H314" s="444"/>
      <c r="I314" s="444"/>
      <c r="J314" s="444" t="s">
        <v>1905</v>
      </c>
      <c r="K314" s="444"/>
      <c r="L314" s="444"/>
      <c r="M314" s="476">
        <v>43969</v>
      </c>
      <c r="N314" s="444" t="s">
        <v>621</v>
      </c>
      <c r="O314" s="444"/>
      <c r="P314" s="444"/>
      <c r="Q314" s="444"/>
      <c r="R314" s="444"/>
      <c r="S314" s="523" t="s">
        <v>26</v>
      </c>
      <c r="T314" s="444" t="s">
        <v>85</v>
      </c>
      <c r="U314" s="502" t="s">
        <v>1906</v>
      </c>
      <c r="V314" s="475" t="s">
        <v>1907</v>
      </c>
      <c r="W314" s="446"/>
      <c r="X314" s="447"/>
      <c r="Y314" s="447"/>
      <c r="Z314" s="447"/>
      <c r="AA314" s="447"/>
      <c r="AB314" s="447"/>
      <c r="AC314" s="447">
        <v>43954</v>
      </c>
      <c r="AD314" s="493">
        <v>4033.31</v>
      </c>
      <c r="AE314" s="494"/>
      <c r="AF314" s="451">
        <f t="shared" ref="AF314" si="105">+SUM(AD314:AE314)</f>
        <v>4033.31</v>
      </c>
      <c r="AG314" s="493"/>
      <c r="AH314" s="495"/>
      <c r="AI314" s="496">
        <f>AF314</f>
        <v>4033.31</v>
      </c>
      <c r="AJ314" s="453">
        <f t="shared" ref="AJ314" si="106">+AF314-SUM(AG314:AI314)</f>
        <v>0</v>
      </c>
      <c r="AK314" s="454"/>
      <c r="AL314" s="565"/>
      <c r="AM314" s="495"/>
      <c r="AN314" s="494"/>
      <c r="AO314" s="451"/>
      <c r="AP314" s="452"/>
      <c r="AQ314" s="453"/>
      <c r="AR314" s="498"/>
      <c r="AS314" s="456"/>
      <c r="AT314" s="457"/>
      <c r="AV314" s="467"/>
      <c r="BB314" s="463"/>
    </row>
    <row r="315" spans="1:54" s="439" customFormat="1" ht="15.75" x14ac:dyDescent="0.25">
      <c r="A315" s="442"/>
      <c r="B315" s="442"/>
      <c r="C315" s="443"/>
      <c r="D315" s="444"/>
      <c r="E315" s="444"/>
      <c r="F315" s="444"/>
      <c r="G315" s="444"/>
      <c r="H315" s="444"/>
      <c r="I315" s="444"/>
      <c r="J315" s="444"/>
      <c r="K315" s="444"/>
      <c r="L315" s="444"/>
      <c r="M315" s="476"/>
      <c r="N315" s="444"/>
      <c r="O315" s="444"/>
      <c r="P315" s="444"/>
      <c r="Q315" s="444"/>
      <c r="R315" s="444"/>
      <c r="S315" s="445"/>
      <c r="T315" s="444"/>
      <c r="U315" s="502"/>
      <c r="V315" s="475"/>
      <c r="W315" s="446"/>
      <c r="X315" s="447"/>
      <c r="Y315" s="447"/>
      <c r="Z315" s="447"/>
      <c r="AA315" s="447"/>
      <c r="AB315" s="447"/>
      <c r="AC315" s="447"/>
      <c r="AD315" s="493"/>
      <c r="AE315" s="494"/>
      <c r="AF315" s="451"/>
      <c r="AG315" s="493"/>
      <c r="AH315" s="495"/>
      <c r="AI315" s="496"/>
      <c r="AJ315" s="453"/>
      <c r="AK315" s="454"/>
      <c r="AL315" s="565"/>
      <c r="AM315" s="495"/>
      <c r="AN315" s="494"/>
      <c r="AO315" s="451"/>
      <c r="AP315" s="452"/>
      <c r="AQ315" s="453"/>
      <c r="AR315" s="498"/>
      <c r="AS315" s="456">
        <f t="shared" si="87"/>
        <v>0</v>
      </c>
      <c r="AT315" s="457"/>
      <c r="AV315" s="467"/>
      <c r="BB315" s="463"/>
    </row>
    <row r="316" spans="1:54" s="439" customFormat="1" ht="78.75" x14ac:dyDescent="0.25">
      <c r="A316" s="442" t="s">
        <v>1789</v>
      </c>
      <c r="B316" s="442"/>
      <c r="C316" s="443"/>
      <c r="D316" s="444"/>
      <c r="E316" s="444"/>
      <c r="F316" s="444"/>
      <c r="G316" s="444"/>
      <c r="H316" s="444"/>
      <c r="I316" s="444"/>
      <c r="J316" s="444"/>
      <c r="K316" s="444"/>
      <c r="L316" s="444"/>
      <c r="M316" s="476"/>
      <c r="N316" s="444"/>
      <c r="O316" s="444"/>
      <c r="P316" s="444"/>
      <c r="Q316" s="444"/>
      <c r="R316" s="444"/>
      <c r="S316" s="445" t="s">
        <v>143</v>
      </c>
      <c r="T316" s="444" t="s">
        <v>85</v>
      </c>
      <c r="U316" s="502" t="s">
        <v>1726</v>
      </c>
      <c r="V316" s="475"/>
      <c r="W316" s="446"/>
      <c r="X316" s="447"/>
      <c r="Y316" s="447"/>
      <c r="Z316" s="447"/>
      <c r="AA316" s="447"/>
      <c r="AB316" s="447"/>
      <c r="AC316" s="447"/>
      <c r="AD316" s="493"/>
      <c r="AE316" s="494"/>
      <c r="AF316" s="451"/>
      <c r="AG316" s="493"/>
      <c r="AH316" s="495"/>
      <c r="AI316" s="496"/>
      <c r="AJ316" s="453">
        <f>+AF316-SUM(AG316:AI316)</f>
        <v>0</v>
      </c>
      <c r="AK316" s="454"/>
      <c r="AL316" s="565"/>
      <c r="AM316" s="495"/>
      <c r="AN316" s="494"/>
      <c r="AO316" s="451"/>
      <c r="AP316" s="452">
        <v>0</v>
      </c>
      <c r="AQ316" s="453">
        <v>0</v>
      </c>
      <c r="AR316" s="498"/>
      <c r="AS316" s="456">
        <f t="shared" si="87"/>
        <v>0</v>
      </c>
      <c r="AT316" s="457"/>
      <c r="AV316" s="467"/>
      <c r="BB316" s="463"/>
    </row>
    <row r="317" spans="1:54" s="439" customFormat="1" ht="15.75" x14ac:dyDescent="0.25">
      <c r="A317" s="442"/>
      <c r="B317" s="442"/>
      <c r="C317" s="443"/>
      <c r="D317" s="444"/>
      <c r="E317" s="444"/>
      <c r="F317" s="444"/>
      <c r="G317" s="444"/>
      <c r="H317" s="444"/>
      <c r="I317" s="444"/>
      <c r="J317" s="444"/>
      <c r="K317" s="444"/>
      <c r="L317" s="444"/>
      <c r="M317" s="476"/>
      <c r="N317" s="444"/>
      <c r="O317" s="444"/>
      <c r="P317" s="444"/>
      <c r="Q317" s="444"/>
      <c r="R317" s="444"/>
      <c r="S317" s="445"/>
      <c r="T317" s="444"/>
      <c r="U317" s="502"/>
      <c r="V317" s="475"/>
      <c r="W317" s="446"/>
      <c r="X317" s="447"/>
      <c r="Y317" s="447"/>
      <c r="Z317" s="447"/>
      <c r="AA317" s="447"/>
      <c r="AB317" s="447"/>
      <c r="AC317" s="447"/>
      <c r="AD317" s="493"/>
      <c r="AE317" s="494"/>
      <c r="AF317" s="451"/>
      <c r="AG317" s="493"/>
      <c r="AH317" s="495"/>
      <c r="AI317" s="496"/>
      <c r="AJ317" s="453"/>
      <c r="AK317" s="454"/>
      <c r="AL317" s="565"/>
      <c r="AM317" s="495"/>
      <c r="AN317" s="494"/>
      <c r="AO317" s="451"/>
      <c r="AP317" s="495"/>
      <c r="AQ317" s="496"/>
      <c r="AR317" s="498"/>
      <c r="AS317" s="456">
        <f t="shared" si="87"/>
        <v>0</v>
      </c>
      <c r="AT317" s="457"/>
      <c r="AV317" s="467"/>
      <c r="BB317" s="463"/>
    </row>
    <row r="318" spans="1:54" s="439" customFormat="1" ht="15.75" x14ac:dyDescent="0.25">
      <c r="A318" s="442"/>
      <c r="B318" s="442"/>
      <c r="C318" s="443"/>
      <c r="D318" s="444"/>
      <c r="E318" s="444"/>
      <c r="F318" s="444"/>
      <c r="G318" s="444"/>
      <c r="H318" s="444"/>
      <c r="I318" s="444"/>
      <c r="J318" s="444"/>
      <c r="K318" s="444"/>
      <c r="L318" s="444"/>
      <c r="M318" s="476"/>
      <c r="N318" s="444"/>
      <c r="O318" s="444"/>
      <c r="P318" s="444"/>
      <c r="Q318" s="444"/>
      <c r="R318" s="444"/>
      <c r="S318" s="445"/>
      <c r="T318" s="444"/>
      <c r="U318" s="502"/>
      <c r="V318" s="475"/>
      <c r="W318" s="446"/>
      <c r="X318" s="447"/>
      <c r="Y318" s="447"/>
      <c r="Z318" s="447"/>
      <c r="AA318" s="447"/>
      <c r="AB318" s="447"/>
      <c r="AC318" s="447"/>
      <c r="AD318" s="493"/>
      <c r="AE318" s="494"/>
      <c r="AF318" s="451"/>
      <c r="AG318" s="493"/>
      <c r="AH318" s="495"/>
      <c r="AI318" s="496"/>
      <c r="AJ318" s="453"/>
      <c r="AK318" s="454"/>
      <c r="AL318" s="565"/>
      <c r="AM318" s="495"/>
      <c r="AN318" s="494"/>
      <c r="AO318" s="451"/>
      <c r="AP318" s="495"/>
      <c r="AQ318" s="496"/>
      <c r="AR318" s="498"/>
      <c r="AS318" s="456">
        <f t="shared" si="87"/>
        <v>0</v>
      </c>
      <c r="AT318" s="457"/>
      <c r="AV318" s="467"/>
      <c r="BB318" s="463"/>
    </row>
    <row r="319" spans="1:54" s="439" customFormat="1" ht="15.75" x14ac:dyDescent="0.25">
      <c r="A319" s="442"/>
      <c r="B319" s="442"/>
      <c r="C319" s="443"/>
      <c r="D319" s="444"/>
      <c r="E319" s="444"/>
      <c r="F319" s="444"/>
      <c r="G319" s="444"/>
      <c r="H319" s="444"/>
      <c r="I319" s="444"/>
      <c r="J319" s="444"/>
      <c r="K319" s="444"/>
      <c r="L319" s="444"/>
      <c r="M319" s="476"/>
      <c r="N319" s="444"/>
      <c r="O319" s="444"/>
      <c r="P319" s="444"/>
      <c r="Q319" s="444"/>
      <c r="R319" s="444"/>
      <c r="S319" s="445"/>
      <c r="T319" s="444"/>
      <c r="U319" s="502"/>
      <c r="V319" s="475"/>
      <c r="W319" s="446"/>
      <c r="X319" s="447"/>
      <c r="Y319" s="447"/>
      <c r="Z319" s="447"/>
      <c r="AA319" s="447"/>
      <c r="AB319" s="447"/>
      <c r="AC319" s="447"/>
      <c r="AD319" s="449">
        <v>29379.39</v>
      </c>
      <c r="AE319" s="494"/>
      <c r="AF319" s="451"/>
      <c r="AG319" s="493"/>
      <c r="AH319" s="495"/>
      <c r="AI319" s="496"/>
      <c r="AJ319" s="453"/>
      <c r="AK319" s="454"/>
      <c r="AL319" s="565"/>
      <c r="AM319" s="495"/>
      <c r="AN319" s="494"/>
      <c r="AO319" s="451"/>
      <c r="AP319" s="495"/>
      <c r="AQ319" s="496"/>
      <c r="AR319" s="498"/>
      <c r="AS319" s="456">
        <f t="shared" si="87"/>
        <v>0</v>
      </c>
      <c r="AT319" s="457"/>
      <c r="AV319" s="467"/>
      <c r="BB319" s="463"/>
    </row>
    <row r="320" spans="1:54" s="439" customFormat="1" ht="15.75" customHeight="1" x14ac:dyDescent="0.25">
      <c r="A320" s="442"/>
      <c r="B320" s="442"/>
      <c r="C320" s="443"/>
      <c r="D320" s="444"/>
      <c r="E320" s="444"/>
      <c r="F320" s="444"/>
      <c r="G320" s="444"/>
      <c r="H320" s="444"/>
      <c r="I320" s="444"/>
      <c r="J320" s="444"/>
      <c r="K320" s="444"/>
      <c r="L320" s="444"/>
      <c r="M320" s="476"/>
      <c r="N320" s="444"/>
      <c r="O320" s="444"/>
      <c r="P320" s="444"/>
      <c r="Q320" s="444"/>
      <c r="R320" s="444"/>
      <c r="S320" s="445"/>
      <c r="T320" s="444"/>
      <c r="U320" s="475"/>
      <c r="V320" s="475"/>
      <c r="W320" s="446"/>
      <c r="X320" s="447"/>
      <c r="Y320" s="447"/>
      <c r="Z320" s="447"/>
      <c r="AA320" s="447"/>
      <c r="AB320" s="447"/>
      <c r="AC320" s="447"/>
      <c r="AD320" s="449">
        <v>-128347.31</v>
      </c>
      <c r="AE320" s="494"/>
      <c r="AF320" s="451"/>
      <c r="AG320" s="493"/>
      <c r="AH320" s="495"/>
      <c r="AI320" s="496"/>
      <c r="AJ320" s="453"/>
      <c r="AK320" s="454"/>
      <c r="AL320" s="565"/>
      <c r="AM320" s="495"/>
      <c r="AN320" s="494"/>
      <c r="AO320" s="451">
        <f t="shared" ref="AO320:AO332" si="107">AN320+AM320</f>
        <v>0</v>
      </c>
      <c r="AP320" s="495"/>
      <c r="AQ320" s="496"/>
      <c r="AR320" s="498"/>
      <c r="AS320" s="456">
        <f t="shared" si="87"/>
        <v>0</v>
      </c>
      <c r="AT320" s="457"/>
      <c r="AV320" s="467"/>
      <c r="BB320" s="463"/>
    </row>
    <row r="321" spans="1:54" s="439" customFormat="1" ht="30" x14ac:dyDescent="0.25">
      <c r="A321" s="442" t="s">
        <v>1249</v>
      </c>
      <c r="B321" s="442" t="s">
        <v>124</v>
      </c>
      <c r="C321" s="443"/>
      <c r="D321" s="444"/>
      <c r="E321" s="444"/>
      <c r="F321" s="444"/>
      <c r="G321" s="444"/>
      <c r="H321" s="444"/>
      <c r="I321" s="444"/>
      <c r="J321" s="444"/>
      <c r="K321" s="444"/>
      <c r="L321" s="444"/>
      <c r="M321" s="476"/>
      <c r="N321" s="444"/>
      <c r="O321" s="444"/>
      <c r="P321" s="444"/>
      <c r="Q321" s="444"/>
      <c r="R321" s="444"/>
      <c r="S321" s="445" t="s">
        <v>26</v>
      </c>
      <c r="T321" s="444" t="s">
        <v>1262</v>
      </c>
      <c r="U321" s="475" t="s">
        <v>985</v>
      </c>
      <c r="V321" s="475" t="s">
        <v>988</v>
      </c>
      <c r="W321" s="446"/>
      <c r="X321" s="447"/>
      <c r="Y321" s="447"/>
      <c r="Z321" s="447"/>
      <c r="AA321" s="447"/>
      <c r="AB321" s="447"/>
      <c r="AC321" s="447"/>
      <c r="AD321" s="449"/>
      <c r="AE321" s="450">
        <f>-AD319</f>
        <v>-29379.39</v>
      </c>
      <c r="AF321" s="451">
        <f>+SUM(AD321:AE321)</f>
        <v>-29379.39</v>
      </c>
      <c r="AG321" s="490"/>
      <c r="AH321" s="450"/>
      <c r="AI321" s="453"/>
      <c r="AJ321" s="453">
        <f>+AF321-SUM(AG321:AI321)</f>
        <v>-29379.39</v>
      </c>
      <c r="AK321" s="454">
        <v>0</v>
      </c>
      <c r="AL321" s="565">
        <v>0</v>
      </c>
      <c r="AM321" s="449"/>
      <c r="AN321" s="494"/>
      <c r="AO321" s="451">
        <f t="shared" si="107"/>
        <v>0</v>
      </c>
      <c r="AP321" s="495"/>
      <c r="AQ321" s="496"/>
      <c r="AR321" s="498"/>
      <c r="AS321" s="456">
        <f t="shared" si="87"/>
        <v>0</v>
      </c>
      <c r="AT321" s="457"/>
      <c r="AU321" s="457"/>
      <c r="AW321" s="467"/>
    </row>
    <row r="322" spans="1:54" s="439" customFormat="1" ht="30" x14ac:dyDescent="0.25">
      <c r="A322" s="442" t="s">
        <v>1175</v>
      </c>
      <c r="B322" s="442" t="s">
        <v>124</v>
      </c>
      <c r="C322" s="443"/>
      <c r="D322" s="444"/>
      <c r="E322" s="444"/>
      <c r="F322" s="444"/>
      <c r="G322" s="444"/>
      <c r="H322" s="444"/>
      <c r="I322" s="444"/>
      <c r="J322" s="444"/>
      <c r="K322" s="444"/>
      <c r="L322" s="444"/>
      <c r="M322" s="476"/>
      <c r="N322" s="444"/>
      <c r="O322" s="444"/>
      <c r="P322" s="444"/>
      <c r="Q322" s="444"/>
      <c r="R322" s="444"/>
      <c r="S322" s="445" t="s">
        <v>26</v>
      </c>
      <c r="T322" s="444" t="s">
        <v>1262</v>
      </c>
      <c r="U322" s="475" t="s">
        <v>1176</v>
      </c>
      <c r="V322" s="475" t="s">
        <v>1176</v>
      </c>
      <c r="W322" s="446"/>
      <c r="X322" s="447">
        <v>43676</v>
      </c>
      <c r="Y322" s="447"/>
      <c r="Z322" s="447"/>
      <c r="AA322" s="447"/>
      <c r="AB322" s="447"/>
      <c r="AC322" s="447"/>
      <c r="AD322" s="449"/>
      <c r="AE322" s="450">
        <v>128347</v>
      </c>
      <c r="AF322" s="451">
        <f>+SUM(AD322:AE322)</f>
        <v>128347</v>
      </c>
      <c r="AG322" s="449">
        <f>+AF322</f>
        <v>128347</v>
      </c>
      <c r="AH322" s="450"/>
      <c r="AI322" s="453"/>
      <c r="AJ322" s="453">
        <f>+AF322-SUM(AG322:AI322)</f>
        <v>0</v>
      </c>
      <c r="AK322" s="454">
        <f>+AG322</f>
        <v>128347</v>
      </c>
      <c r="AL322" s="565">
        <v>-0.30999999999767169</v>
      </c>
      <c r="AM322" s="450"/>
      <c r="AN322" s="494"/>
      <c r="AO322" s="451">
        <f t="shared" si="107"/>
        <v>0</v>
      </c>
      <c r="AP322" s="453"/>
      <c r="AQ322" s="496"/>
      <c r="AR322" s="498"/>
      <c r="AS322" s="456">
        <f t="shared" si="87"/>
        <v>128347.31</v>
      </c>
      <c r="AT322" s="457"/>
      <c r="AU322" s="457"/>
      <c r="AW322" s="467"/>
    </row>
    <row r="323" spans="1:54" s="483" customFormat="1" ht="15.75" customHeight="1" x14ac:dyDescent="0.25">
      <c r="A323" s="442"/>
      <c r="B323" s="442"/>
      <c r="C323" s="443"/>
      <c r="D323" s="444"/>
      <c r="E323" s="444"/>
      <c r="F323" s="444"/>
      <c r="G323" s="444"/>
      <c r="H323" s="444"/>
      <c r="I323" s="444"/>
      <c r="J323" s="444"/>
      <c r="K323" s="444"/>
      <c r="L323" s="444"/>
      <c r="M323" s="476"/>
      <c r="N323" s="444"/>
      <c r="O323" s="444"/>
      <c r="P323" s="444"/>
      <c r="Q323" s="444"/>
      <c r="R323" s="444"/>
      <c r="S323" s="445"/>
      <c r="T323" s="444"/>
      <c r="U323" s="475"/>
      <c r="V323" s="446"/>
      <c r="W323" s="446"/>
      <c r="X323" s="447"/>
      <c r="Y323" s="447"/>
      <c r="Z323" s="447"/>
      <c r="AA323" s="447" t="str">
        <f>+IF(X323="","",WORKDAY(X323,5))</f>
        <v/>
      </c>
      <c r="AB323" s="447" t="str">
        <f>+IF(X323="","",WORKDAY(X323,10))</f>
        <v/>
      </c>
      <c r="AC323" s="447"/>
      <c r="AD323" s="449"/>
      <c r="AE323" s="450"/>
      <c r="AF323" s="451"/>
      <c r="AG323" s="449"/>
      <c r="AH323" s="450"/>
      <c r="AI323" s="453"/>
      <c r="AJ323" s="453">
        <f>+AF323-SUM(AG323:AI323)</f>
        <v>0</v>
      </c>
      <c r="AK323" s="454"/>
      <c r="AL323" s="565"/>
      <c r="AM323" s="500"/>
      <c r="AN323" s="494"/>
      <c r="AO323" s="451">
        <f t="shared" si="107"/>
        <v>0</v>
      </c>
      <c r="AP323" s="501"/>
      <c r="AQ323" s="496"/>
      <c r="AR323" s="498"/>
      <c r="AS323" s="456">
        <f t="shared" si="87"/>
        <v>0</v>
      </c>
      <c r="AT323" s="457"/>
    </row>
    <row r="324" spans="1:54" s="483" customFormat="1" ht="15.75" customHeight="1" x14ac:dyDescent="0.25">
      <c r="A324" s="442"/>
      <c r="B324" s="442"/>
      <c r="C324" s="443"/>
      <c r="D324" s="444"/>
      <c r="E324" s="444"/>
      <c r="F324" s="444"/>
      <c r="G324" s="444"/>
      <c r="H324" s="444"/>
      <c r="I324" s="444"/>
      <c r="J324" s="444"/>
      <c r="K324" s="444"/>
      <c r="L324" s="444"/>
      <c r="M324" s="476"/>
      <c r="N324" s="444"/>
      <c r="O324" s="444"/>
      <c r="P324" s="444"/>
      <c r="Q324" s="444"/>
      <c r="R324" s="444"/>
      <c r="S324" s="445"/>
      <c r="T324" s="444"/>
      <c r="U324" s="475"/>
      <c r="V324" s="446"/>
      <c r="W324" s="446"/>
      <c r="X324" s="447"/>
      <c r="Y324" s="447"/>
      <c r="Z324" s="447"/>
      <c r="AA324" s="447"/>
      <c r="AB324" s="447"/>
      <c r="AC324" s="447"/>
      <c r="AD324" s="449">
        <v>278448</v>
      </c>
      <c r="AE324" s="450"/>
      <c r="AF324" s="451"/>
      <c r="AG324" s="449"/>
      <c r="AH324" s="450"/>
      <c r="AI324" s="453"/>
      <c r="AJ324" s="453"/>
      <c r="AK324" s="454"/>
      <c r="AL324" s="565"/>
      <c r="AM324" s="500"/>
      <c r="AN324" s="494"/>
      <c r="AO324" s="451">
        <f t="shared" si="107"/>
        <v>0</v>
      </c>
      <c r="AP324" s="501"/>
      <c r="AQ324" s="496"/>
      <c r="AR324" s="498"/>
      <c r="AS324" s="456">
        <f t="shared" si="87"/>
        <v>0</v>
      </c>
      <c r="AT324" s="457"/>
      <c r="BB324" s="463">
        <f t="shared" ref="BB324:BB325" si="108">(AM324+AN324)-AO324</f>
        <v>0</v>
      </c>
    </row>
    <row r="325" spans="1:54" s="483" customFormat="1" ht="15.75" customHeight="1" x14ac:dyDescent="0.25">
      <c r="A325" s="442"/>
      <c r="B325" s="442"/>
      <c r="C325" s="443"/>
      <c r="D325" s="444"/>
      <c r="E325" s="444"/>
      <c r="F325" s="444"/>
      <c r="G325" s="444"/>
      <c r="H325" s="444"/>
      <c r="I325" s="444"/>
      <c r="J325" s="444"/>
      <c r="K325" s="444"/>
      <c r="L325" s="444"/>
      <c r="M325" s="476"/>
      <c r="N325" s="444"/>
      <c r="O325" s="444"/>
      <c r="P325" s="444"/>
      <c r="Q325" s="444"/>
      <c r="R325" s="444"/>
      <c r="S325" s="445"/>
      <c r="T325" s="444"/>
      <c r="U325" s="475"/>
      <c r="V325" s="446"/>
      <c r="W325" s="446"/>
      <c r="X325" s="447"/>
      <c r="Y325" s="447"/>
      <c r="Z325" s="447"/>
      <c r="AA325" s="447"/>
      <c r="AB325" s="447"/>
      <c r="AC325" s="447"/>
      <c r="AD325" s="449"/>
      <c r="AE325" s="450"/>
      <c r="AF325" s="451"/>
      <c r="AG325" s="449"/>
      <c r="AH325" s="450"/>
      <c r="AI325" s="453"/>
      <c r="AJ325" s="453"/>
      <c r="AK325" s="454"/>
      <c r="AL325" s="565"/>
      <c r="AM325" s="500"/>
      <c r="AN325" s="494"/>
      <c r="AO325" s="451">
        <f t="shared" si="107"/>
        <v>0</v>
      </c>
      <c r="AP325" s="501"/>
      <c r="AQ325" s="496"/>
      <c r="AR325" s="498"/>
      <c r="AS325" s="456">
        <f t="shared" si="87"/>
        <v>0</v>
      </c>
      <c r="AT325" s="457"/>
      <c r="BB325" s="463">
        <f t="shared" si="108"/>
        <v>0</v>
      </c>
    </row>
    <row r="326" spans="1:54" s="483" customFormat="1" ht="30" customHeight="1" x14ac:dyDescent="0.25">
      <c r="A326" s="504" t="s">
        <v>1252</v>
      </c>
      <c r="B326" s="442"/>
      <c r="C326" s="443"/>
      <c r="D326" s="444"/>
      <c r="E326" s="444"/>
      <c r="F326" s="444"/>
      <c r="G326" s="444"/>
      <c r="H326" s="444"/>
      <c r="I326" s="444"/>
      <c r="J326" s="444"/>
      <c r="K326" s="444"/>
      <c r="L326" s="444"/>
      <c r="M326" s="476"/>
      <c r="N326" s="444"/>
      <c r="O326" s="444"/>
      <c r="P326" s="444"/>
      <c r="Q326" s="444"/>
      <c r="R326" s="444"/>
      <c r="S326" s="445"/>
      <c r="T326" s="444" t="s">
        <v>1262</v>
      </c>
      <c r="U326" s="502" t="s">
        <v>1250</v>
      </c>
      <c r="V326" s="446"/>
      <c r="W326" s="446"/>
      <c r="X326" s="447"/>
      <c r="Y326" s="447"/>
      <c r="Z326" s="447"/>
      <c r="AA326" s="447" t="str">
        <f>+IF(X326="","",WORKDAY(X326,5))</f>
        <v/>
      </c>
      <c r="AB326" s="447" t="str">
        <f>+IF(X326="","",WORKDAY(X326,10))</f>
        <v/>
      </c>
      <c r="AC326" s="447"/>
      <c r="AD326" s="449">
        <v>-1505177.55</v>
      </c>
      <c r="AE326" s="450">
        <v>-278448</v>
      </c>
      <c r="AF326" s="451">
        <f>+SUM(AD326:AE326)</f>
        <v>-1783625.55</v>
      </c>
      <c r="AG326" s="449"/>
      <c r="AH326" s="450"/>
      <c r="AI326" s="453"/>
      <c r="AJ326" s="453">
        <f>+AF326-SUM(AG326:AI326)</f>
        <v>-1783625.55</v>
      </c>
      <c r="AK326" s="454">
        <v>0</v>
      </c>
      <c r="AL326" s="565">
        <v>0</v>
      </c>
      <c r="AM326" s="500">
        <v>0</v>
      </c>
      <c r="AN326" s="503"/>
      <c r="AO326" s="451">
        <f t="shared" si="107"/>
        <v>0</v>
      </c>
      <c r="AP326" s="452">
        <v>0</v>
      </c>
      <c r="AQ326" s="496"/>
      <c r="AR326" s="498"/>
      <c r="AS326" s="456">
        <f t="shared" si="87"/>
        <v>0</v>
      </c>
      <c r="AT326" s="457"/>
      <c r="AX326" s="463">
        <f>(AP326+AQ326)-(AO326)</f>
        <v>0</v>
      </c>
    </row>
    <row r="327" spans="1:54" s="483" customFormat="1" ht="60.75" customHeight="1" x14ac:dyDescent="0.25">
      <c r="A327" s="442" t="s">
        <v>1430</v>
      </c>
      <c r="B327" s="442"/>
      <c r="C327" s="443"/>
      <c r="D327" s="444"/>
      <c r="E327" s="444"/>
      <c r="F327" s="444"/>
      <c r="G327" s="444"/>
      <c r="H327" s="444"/>
      <c r="I327" s="444"/>
      <c r="J327" s="444"/>
      <c r="K327" s="444"/>
      <c r="L327" s="444"/>
      <c r="M327" s="476"/>
      <c r="N327" s="444"/>
      <c r="O327" s="444"/>
      <c r="P327" s="444"/>
      <c r="Q327" s="444"/>
      <c r="R327" s="444"/>
      <c r="S327" s="445" t="s">
        <v>26</v>
      </c>
      <c r="T327" s="444" t="s">
        <v>1262</v>
      </c>
      <c r="U327" s="502" t="s">
        <v>1426</v>
      </c>
      <c r="V327" s="446"/>
      <c r="W327" s="446"/>
      <c r="X327" s="447"/>
      <c r="Y327" s="447"/>
      <c r="Z327" s="447"/>
      <c r="AA327" s="447"/>
      <c r="AB327" s="447"/>
      <c r="AC327" s="447"/>
      <c r="AD327" s="449">
        <v>-51816.72</v>
      </c>
      <c r="AE327" s="450"/>
      <c r="AF327" s="451">
        <f>+SUM(AD327:AE327)</f>
        <v>-51816.72</v>
      </c>
      <c r="AG327" s="449"/>
      <c r="AH327" s="450"/>
      <c r="AI327" s="453"/>
      <c r="AJ327" s="453"/>
      <c r="AK327" s="454">
        <f>AG327</f>
        <v>0</v>
      </c>
      <c r="AL327" s="565">
        <v>0</v>
      </c>
      <c r="AM327" s="449"/>
      <c r="AN327" s="503"/>
      <c r="AO327" s="451">
        <f t="shared" si="107"/>
        <v>0</v>
      </c>
      <c r="AP327" s="495"/>
      <c r="AQ327" s="496"/>
      <c r="AR327" s="498"/>
      <c r="AS327" s="456">
        <f t="shared" si="87"/>
        <v>0</v>
      </c>
      <c r="AT327" s="457"/>
      <c r="AX327" s="463"/>
      <c r="BB327" s="463">
        <f>(AM327+AN327)-AO327</f>
        <v>0</v>
      </c>
    </row>
    <row r="328" spans="1:54" s="483" customFormat="1" ht="30" x14ac:dyDescent="0.25">
      <c r="A328" s="442" t="s">
        <v>1254</v>
      </c>
      <c r="B328" s="442"/>
      <c r="C328" s="443"/>
      <c r="D328" s="444"/>
      <c r="E328" s="444"/>
      <c r="F328" s="444"/>
      <c r="G328" s="444"/>
      <c r="H328" s="444"/>
      <c r="I328" s="444"/>
      <c r="J328" s="444"/>
      <c r="K328" s="444"/>
      <c r="L328" s="444"/>
      <c r="M328" s="476"/>
      <c r="N328" s="444"/>
      <c r="O328" s="444"/>
      <c r="P328" s="444"/>
      <c r="Q328" s="444"/>
      <c r="R328" s="444"/>
      <c r="S328" s="445" t="s">
        <v>26</v>
      </c>
      <c r="T328" s="444" t="s">
        <v>1262</v>
      </c>
      <c r="U328" s="502" t="s">
        <v>1255</v>
      </c>
      <c r="V328" s="446"/>
      <c r="W328" s="446"/>
      <c r="X328" s="447"/>
      <c r="Y328" s="447"/>
      <c r="Z328" s="447"/>
      <c r="AA328" s="447" t="str">
        <f>+IF(X328="","",WORKDAY(X328,5))</f>
        <v/>
      </c>
      <c r="AB328" s="447" t="str">
        <f>+IF(X328="","",WORKDAY(X328,10))</f>
        <v/>
      </c>
      <c r="AC328" s="447"/>
      <c r="AD328" s="449">
        <v>-85607.31</v>
      </c>
      <c r="AE328" s="450">
        <v>1505178</v>
      </c>
      <c r="AF328" s="451">
        <f>+SUM(AD328:AE328)</f>
        <v>1419570.69</v>
      </c>
      <c r="AG328" s="449">
        <v>0</v>
      </c>
      <c r="AH328" s="450"/>
      <c r="AI328" s="453"/>
      <c r="AJ328" s="453">
        <f>+AF328-SUM(AG328:AI328)</f>
        <v>1419570.69</v>
      </c>
      <c r="AK328" s="454">
        <v>0</v>
      </c>
      <c r="AL328" s="565">
        <v>0</v>
      </c>
      <c r="AM328" s="449"/>
      <c r="AN328" s="503"/>
      <c r="AO328" s="451">
        <f t="shared" si="107"/>
        <v>0</v>
      </c>
      <c r="AP328" s="501"/>
      <c r="AQ328" s="496"/>
      <c r="AR328" s="498"/>
      <c r="AS328" s="456">
        <f t="shared" si="87"/>
        <v>0</v>
      </c>
      <c r="AT328" s="506"/>
    </row>
    <row r="329" spans="1:54" s="483" customFormat="1" ht="30" customHeight="1" x14ac:dyDescent="0.25">
      <c r="A329" s="442"/>
      <c r="B329" s="442"/>
      <c r="C329" s="443"/>
      <c r="D329" s="444"/>
      <c r="E329" s="444"/>
      <c r="F329" s="444"/>
      <c r="G329" s="444"/>
      <c r="H329" s="444"/>
      <c r="I329" s="444"/>
      <c r="J329" s="444"/>
      <c r="K329" s="444"/>
      <c r="L329" s="444"/>
      <c r="M329" s="476"/>
      <c r="N329" s="444"/>
      <c r="O329" s="444"/>
      <c r="P329" s="444"/>
      <c r="Q329" s="444"/>
      <c r="R329" s="444"/>
      <c r="S329" s="445"/>
      <c r="T329" s="444"/>
      <c r="U329" s="502" t="s">
        <v>1251</v>
      </c>
      <c r="V329" s="446"/>
      <c r="W329" s="446"/>
      <c r="X329" s="447"/>
      <c r="Y329" s="447"/>
      <c r="Z329" s="447"/>
      <c r="AA329" s="447" t="str">
        <f>+IF(X329="","",WORKDAY(X329,5))</f>
        <v/>
      </c>
      <c r="AB329" s="447" t="str">
        <f>+IF(X329="","",WORKDAY(X329,10))</f>
        <v/>
      </c>
      <c r="AC329" s="447"/>
      <c r="AD329" s="449">
        <v>0</v>
      </c>
      <c r="AE329" s="507">
        <v>51817</v>
      </c>
      <c r="AF329" s="451">
        <f t="shared" ref="AF329:AF340" si="109">+SUM(AD329:AE329)</f>
        <v>51817</v>
      </c>
      <c r="AG329" s="500"/>
      <c r="AH329" s="501"/>
      <c r="AI329" s="503"/>
      <c r="AJ329" s="448"/>
      <c r="AK329" s="454"/>
      <c r="AL329" s="565"/>
      <c r="AM329" s="449">
        <v>0</v>
      </c>
      <c r="AN329" s="503"/>
      <c r="AO329" s="451">
        <f t="shared" si="107"/>
        <v>0</v>
      </c>
      <c r="AP329" s="452">
        <v>0</v>
      </c>
      <c r="AQ329" s="505"/>
      <c r="AR329" s="505"/>
      <c r="AS329" s="456">
        <f t="shared" si="87"/>
        <v>0</v>
      </c>
      <c r="AT329" s="506"/>
      <c r="AX329" s="463">
        <f>(AP329+AQ329)-(AO329)</f>
        <v>0</v>
      </c>
    </row>
    <row r="330" spans="1:54" s="483" customFormat="1" ht="30" customHeight="1" x14ac:dyDescent="0.25">
      <c r="A330" s="442"/>
      <c r="B330" s="442"/>
      <c r="C330" s="443"/>
      <c r="D330" s="444"/>
      <c r="E330" s="444"/>
      <c r="F330" s="444"/>
      <c r="G330" s="444"/>
      <c r="H330" s="444"/>
      <c r="I330" s="444"/>
      <c r="J330" s="444"/>
      <c r="K330" s="444"/>
      <c r="L330" s="444"/>
      <c r="M330" s="476"/>
      <c r="N330" s="444"/>
      <c r="O330" s="444"/>
      <c r="P330" s="444"/>
      <c r="Q330" s="444"/>
      <c r="R330" s="444"/>
      <c r="S330" s="445"/>
      <c r="T330" s="444"/>
      <c r="U330" s="502" t="s">
        <v>1258</v>
      </c>
      <c r="V330" s="446"/>
      <c r="W330" s="446"/>
      <c r="X330" s="447"/>
      <c r="Y330" s="447"/>
      <c r="Z330" s="447"/>
      <c r="AA330" s="447" t="str">
        <f>+IF(X330="","",WORKDAY(X330,5))</f>
        <v/>
      </c>
      <c r="AB330" s="447" t="str">
        <f>+IF(X330="","",WORKDAY(X330,10))</f>
        <v/>
      </c>
      <c r="AC330" s="447"/>
      <c r="AD330" s="493">
        <v>0</v>
      </c>
      <c r="AE330" s="507">
        <v>85607</v>
      </c>
      <c r="AF330" s="451">
        <f t="shared" si="109"/>
        <v>85607</v>
      </c>
      <c r="AG330" s="500"/>
      <c r="AH330" s="501"/>
      <c r="AI330" s="503"/>
      <c r="AJ330" s="448"/>
      <c r="AK330" s="454"/>
      <c r="AL330" s="565"/>
      <c r="AM330" s="449">
        <v>0</v>
      </c>
      <c r="AN330" s="503"/>
      <c r="AO330" s="451">
        <f t="shared" si="107"/>
        <v>0</v>
      </c>
      <c r="AP330" s="452">
        <v>0</v>
      </c>
      <c r="AQ330" s="505"/>
      <c r="AR330" s="505"/>
      <c r="AS330" s="456">
        <f t="shared" si="87"/>
        <v>0</v>
      </c>
      <c r="AT330" s="506"/>
      <c r="AX330" s="463">
        <f>(AP330+AQ330)-(AO330)</f>
        <v>0</v>
      </c>
    </row>
    <row r="331" spans="1:54" s="439" customFormat="1" ht="30" x14ac:dyDescent="0.25">
      <c r="A331" s="442" t="s">
        <v>1422</v>
      </c>
      <c r="B331" s="442"/>
      <c r="C331" s="443"/>
      <c r="D331" s="444"/>
      <c r="E331" s="444"/>
      <c r="F331" s="444"/>
      <c r="G331" s="444"/>
      <c r="H331" s="444"/>
      <c r="I331" s="444"/>
      <c r="J331" s="444"/>
      <c r="K331" s="444"/>
      <c r="L331" s="444"/>
      <c r="M331" s="476"/>
      <c r="N331" s="444"/>
      <c r="O331" s="444"/>
      <c r="P331" s="444"/>
      <c r="Q331" s="444"/>
      <c r="R331" s="444"/>
      <c r="S331" s="445" t="s">
        <v>26</v>
      </c>
      <c r="T331" s="444" t="s">
        <v>1262</v>
      </c>
      <c r="U331" s="475" t="s">
        <v>1256</v>
      </c>
      <c r="V331" s="475"/>
      <c r="W331" s="446"/>
      <c r="X331" s="447"/>
      <c r="Y331" s="447"/>
      <c r="Z331" s="447"/>
      <c r="AA331" s="447"/>
      <c r="AB331" s="447"/>
      <c r="AC331" s="447"/>
      <c r="AD331" s="500"/>
      <c r="AE331" s="450"/>
      <c r="AF331" s="451">
        <f t="shared" si="109"/>
        <v>0</v>
      </c>
      <c r="AG331" s="449"/>
      <c r="AH331" s="450"/>
      <c r="AI331" s="453"/>
      <c r="AJ331" s="453">
        <f>+AF331-SUM(AG331:AI331)</f>
        <v>0</v>
      </c>
      <c r="AK331" s="454">
        <v>0</v>
      </c>
      <c r="AL331" s="565">
        <v>0</v>
      </c>
      <c r="AM331" s="449"/>
      <c r="AN331" s="494"/>
      <c r="AO331" s="451">
        <f t="shared" si="107"/>
        <v>0</v>
      </c>
      <c r="AP331" s="495"/>
      <c r="AQ331" s="496"/>
      <c r="AR331" s="498"/>
      <c r="AS331" s="456">
        <f t="shared" si="87"/>
        <v>0</v>
      </c>
      <c r="AT331" s="457"/>
      <c r="AV331" s="467"/>
    </row>
    <row r="332" spans="1:54" s="439" customFormat="1" ht="45" x14ac:dyDescent="0.25">
      <c r="A332" s="442" t="s">
        <v>1383</v>
      </c>
      <c r="B332" s="442"/>
      <c r="C332" s="443">
        <v>78</v>
      </c>
      <c r="D332" s="444" t="s">
        <v>1199</v>
      </c>
      <c r="E332" s="444"/>
      <c r="F332" s="444"/>
      <c r="G332" s="444"/>
      <c r="H332" s="444"/>
      <c r="I332" s="444"/>
      <c r="J332" s="444"/>
      <c r="K332" s="444"/>
      <c r="L332" s="444"/>
      <c r="M332" s="476">
        <v>43678</v>
      </c>
      <c r="N332" s="444"/>
      <c r="O332" s="444"/>
      <c r="P332" s="444"/>
      <c r="Q332" s="444"/>
      <c r="R332" s="444"/>
      <c r="S332" s="445" t="s">
        <v>26</v>
      </c>
      <c r="T332" s="444" t="s">
        <v>1262</v>
      </c>
      <c r="U332" s="475" t="s">
        <v>1382</v>
      </c>
      <c r="V332" s="475" t="s">
        <v>1499</v>
      </c>
      <c r="W332" s="446" t="s">
        <v>74</v>
      </c>
      <c r="X332" s="447"/>
      <c r="Y332" s="447"/>
      <c r="Z332" s="447"/>
      <c r="AA332" s="447"/>
      <c r="AB332" s="447"/>
      <c r="AC332" s="447"/>
      <c r="AD332" s="500"/>
      <c r="AE332" s="494"/>
      <c r="AF332" s="451">
        <f t="shared" si="109"/>
        <v>0</v>
      </c>
      <c r="AG332" s="493">
        <v>0</v>
      </c>
      <c r="AH332" s="495"/>
      <c r="AI332" s="494"/>
      <c r="AJ332" s="453">
        <f>+AF332-SUM(AG332:AI332)</f>
        <v>0</v>
      </c>
      <c r="AK332" s="454">
        <f>AG332</f>
        <v>0</v>
      </c>
      <c r="AL332" s="565">
        <v>0</v>
      </c>
      <c r="AM332" s="449"/>
      <c r="AN332" s="494"/>
      <c r="AO332" s="451">
        <f t="shared" si="107"/>
        <v>0</v>
      </c>
      <c r="AP332" s="495"/>
      <c r="AQ332" s="496"/>
      <c r="AR332" s="498"/>
      <c r="AS332" s="456">
        <f t="shared" si="87"/>
        <v>0</v>
      </c>
      <c r="AT332" s="457"/>
      <c r="AV332" s="467"/>
    </row>
    <row r="333" spans="1:54" s="439" customFormat="1" ht="15.75" customHeight="1" x14ac:dyDescent="0.25">
      <c r="A333" s="442"/>
      <c r="B333" s="442"/>
      <c r="C333" s="443"/>
      <c r="D333" s="444"/>
      <c r="E333" s="444"/>
      <c r="F333" s="444"/>
      <c r="G333" s="444"/>
      <c r="H333" s="444"/>
      <c r="I333" s="444"/>
      <c r="J333" s="444"/>
      <c r="K333" s="444"/>
      <c r="L333" s="444"/>
      <c r="M333" s="476"/>
      <c r="N333" s="444"/>
      <c r="O333" s="444"/>
      <c r="P333" s="444"/>
      <c r="Q333" s="444"/>
      <c r="R333" s="444"/>
      <c r="S333" s="445"/>
      <c r="T333" s="444"/>
      <c r="U333" s="475"/>
      <c r="V333" s="446"/>
      <c r="W333" s="446"/>
      <c r="X333" s="447"/>
      <c r="Y333" s="447"/>
      <c r="Z333" s="447"/>
      <c r="AA333" s="447"/>
      <c r="AB333" s="447"/>
      <c r="AC333" s="447"/>
      <c r="AD333" s="500" t="s">
        <v>594</v>
      </c>
      <c r="AE333" s="503"/>
      <c r="AF333" s="505">
        <f t="shared" si="109"/>
        <v>0</v>
      </c>
      <c r="AG333" s="500"/>
      <c r="AH333" s="501"/>
      <c r="AI333" s="503"/>
      <c r="AJ333" s="448"/>
      <c r="AK333" s="455"/>
      <c r="AL333" s="561"/>
      <c r="AM333" s="449"/>
      <c r="AN333" s="503"/>
      <c r="AO333" s="505"/>
      <c r="AP333" s="501"/>
      <c r="AQ333" s="448"/>
      <c r="AR333" s="469"/>
      <c r="AS333" s="456">
        <f t="shared" si="87"/>
        <v>0</v>
      </c>
      <c r="AT333" s="457"/>
      <c r="AV333" s="467"/>
      <c r="AX333" s="463">
        <f>(AP333+AQ333)-(AO333)</f>
        <v>0</v>
      </c>
      <c r="BB333" s="463">
        <f t="shared" ref="BB333:BB364" si="110">(AM333+AN333)-AO333</f>
        <v>0</v>
      </c>
    </row>
    <row r="334" spans="1:54" s="439" customFormat="1" ht="15" customHeight="1" x14ac:dyDescent="0.25">
      <c r="A334" s="442"/>
      <c r="B334" s="442"/>
      <c r="C334" s="443"/>
      <c r="D334" s="444"/>
      <c r="E334" s="444"/>
      <c r="F334" s="444"/>
      <c r="G334" s="444"/>
      <c r="H334" s="444"/>
      <c r="I334" s="444"/>
      <c r="J334" s="444"/>
      <c r="K334" s="444"/>
      <c r="L334" s="444"/>
      <c r="M334" s="444"/>
      <c r="N334" s="444"/>
      <c r="O334" s="444"/>
      <c r="P334" s="444"/>
      <c r="Q334" s="444"/>
      <c r="R334" s="444"/>
      <c r="S334" s="444"/>
      <c r="T334" s="444"/>
      <c r="U334" s="475"/>
      <c r="V334" s="446"/>
      <c r="W334" s="446"/>
      <c r="X334" s="447"/>
      <c r="Y334" s="447"/>
      <c r="Z334" s="447"/>
      <c r="AA334" s="447" t="str">
        <f t="shared" ref="AA334:AA351" si="111">+IF(X334="","",WORKDAY(X334,5))</f>
        <v/>
      </c>
      <c r="AB334" s="447" t="str">
        <f t="shared" ref="AB334:AB351" si="112">+IF(X334="","",WORKDAY(X334,10))</f>
        <v/>
      </c>
      <c r="AC334" s="447"/>
      <c r="AD334" s="500" t="s">
        <v>594</v>
      </c>
      <c r="AE334" s="503"/>
      <c r="AF334" s="505">
        <f t="shared" si="109"/>
        <v>0</v>
      </c>
      <c r="AG334" s="500"/>
      <c r="AH334" s="501"/>
      <c r="AI334" s="503"/>
      <c r="AJ334" s="448"/>
      <c r="AK334" s="455"/>
      <c r="AL334" s="561"/>
      <c r="AM334" s="449"/>
      <c r="AN334" s="503"/>
      <c r="AO334" s="505"/>
      <c r="AP334" s="501"/>
      <c r="AQ334" s="448"/>
      <c r="AR334" s="469"/>
      <c r="AS334" s="456">
        <f t="shared" ref="AS334:AS340" si="113">AK334-AL334</f>
        <v>0</v>
      </c>
      <c r="AT334" s="457"/>
      <c r="AV334" s="458"/>
      <c r="BB334" s="463">
        <f t="shared" si="110"/>
        <v>0</v>
      </c>
    </row>
    <row r="335" spans="1:54" s="439" customFormat="1" ht="78.75" customHeight="1" x14ac:dyDescent="0.25">
      <c r="A335" s="442" t="s">
        <v>308</v>
      </c>
      <c r="B335" s="442" t="s">
        <v>124</v>
      </c>
      <c r="C335" s="443"/>
      <c r="D335" s="444"/>
      <c r="E335" s="444"/>
      <c r="F335" s="444"/>
      <c r="G335" s="444"/>
      <c r="H335" s="444"/>
      <c r="I335" s="444"/>
      <c r="J335" s="444" t="s">
        <v>309</v>
      </c>
      <c r="K335" s="444"/>
      <c r="L335" s="444"/>
      <c r="M335" s="476">
        <v>43418</v>
      </c>
      <c r="N335" s="444" t="s">
        <v>621</v>
      </c>
      <c r="O335" s="444"/>
      <c r="P335" s="444"/>
      <c r="Q335" s="444"/>
      <c r="R335" s="444"/>
      <c r="S335" s="445" t="s">
        <v>143</v>
      </c>
      <c r="T335" s="444" t="s">
        <v>85</v>
      </c>
      <c r="U335" s="475" t="s">
        <v>592</v>
      </c>
      <c r="V335" s="446" t="s">
        <v>593</v>
      </c>
      <c r="W335" s="446" t="s">
        <v>74</v>
      </c>
      <c r="X335" s="447">
        <v>43391</v>
      </c>
      <c r="Y335" s="447" t="s">
        <v>71</v>
      </c>
      <c r="Z335" s="447"/>
      <c r="AA335" s="447">
        <f t="shared" si="111"/>
        <v>43398</v>
      </c>
      <c r="AB335" s="447">
        <f t="shared" si="112"/>
        <v>43405</v>
      </c>
      <c r="AC335" s="447">
        <v>43417</v>
      </c>
      <c r="AD335" s="500" t="s">
        <v>594</v>
      </c>
      <c r="AE335" s="503"/>
      <c r="AF335" s="505">
        <f t="shared" si="109"/>
        <v>0</v>
      </c>
      <c r="AG335" s="500"/>
      <c r="AH335" s="501"/>
      <c r="AI335" s="503"/>
      <c r="AJ335" s="448"/>
      <c r="AK335" s="469"/>
      <c r="AL335" s="562"/>
      <c r="AM335" s="449"/>
      <c r="AN335" s="503"/>
      <c r="AO335" s="505"/>
      <c r="AP335" s="501"/>
      <c r="AQ335" s="448"/>
      <c r="AR335" s="469"/>
      <c r="AS335" s="456">
        <f t="shared" si="113"/>
        <v>0</v>
      </c>
      <c r="AT335" s="457"/>
      <c r="BB335" s="463">
        <f t="shared" si="110"/>
        <v>0</v>
      </c>
    </row>
    <row r="336" spans="1:54" s="439" customFormat="1" ht="79.5" customHeight="1" thickBot="1" x14ac:dyDescent="0.3">
      <c r="A336" s="442" t="s">
        <v>310</v>
      </c>
      <c r="B336" s="442" t="s">
        <v>124</v>
      </c>
      <c r="C336" s="443"/>
      <c r="D336" s="444"/>
      <c r="E336" s="444"/>
      <c r="F336" s="444"/>
      <c r="G336" s="444"/>
      <c r="H336" s="444"/>
      <c r="I336" s="444"/>
      <c r="J336" s="444" t="s">
        <v>311</v>
      </c>
      <c r="K336" s="444"/>
      <c r="L336" s="444"/>
      <c r="M336" s="476">
        <v>43423</v>
      </c>
      <c r="N336" s="444" t="s">
        <v>621</v>
      </c>
      <c r="O336" s="444"/>
      <c r="P336" s="444"/>
      <c r="Q336" s="444"/>
      <c r="R336" s="444"/>
      <c r="S336" s="445" t="s">
        <v>143</v>
      </c>
      <c r="T336" s="444" t="s">
        <v>85</v>
      </c>
      <c r="U336" s="475" t="s">
        <v>592</v>
      </c>
      <c r="V336" s="446" t="s">
        <v>595</v>
      </c>
      <c r="W336" s="446" t="s">
        <v>74</v>
      </c>
      <c r="X336" s="447">
        <v>43392</v>
      </c>
      <c r="Y336" s="447" t="s">
        <v>71</v>
      </c>
      <c r="Z336" s="447"/>
      <c r="AA336" s="447">
        <f t="shared" si="111"/>
        <v>43399</v>
      </c>
      <c r="AB336" s="447">
        <f t="shared" si="112"/>
        <v>43406</v>
      </c>
      <c r="AC336" s="447">
        <v>43423</v>
      </c>
      <c r="AD336" s="500" t="s">
        <v>594</v>
      </c>
      <c r="AE336" s="503"/>
      <c r="AF336" s="505">
        <f t="shared" si="109"/>
        <v>0</v>
      </c>
      <c r="AG336" s="500"/>
      <c r="AH336" s="501"/>
      <c r="AI336" s="503"/>
      <c r="AJ336" s="448"/>
      <c r="AK336" s="469"/>
      <c r="AL336" s="562"/>
      <c r="AM336" s="449"/>
      <c r="AN336" s="503"/>
      <c r="AO336" s="505"/>
      <c r="AP336" s="501"/>
      <c r="AQ336" s="448"/>
      <c r="AR336" s="508"/>
      <c r="AS336" s="456">
        <f t="shared" si="113"/>
        <v>0</v>
      </c>
      <c r="AT336" s="457"/>
      <c r="BB336" s="463">
        <f t="shared" si="110"/>
        <v>0</v>
      </c>
    </row>
    <row r="337" spans="1:54" s="439" customFormat="1" ht="78.75" customHeight="1" x14ac:dyDescent="0.25">
      <c r="A337" s="442" t="s">
        <v>378</v>
      </c>
      <c r="B337" s="442" t="s">
        <v>124</v>
      </c>
      <c r="C337" s="443"/>
      <c r="D337" s="444"/>
      <c r="E337" s="444"/>
      <c r="F337" s="444"/>
      <c r="G337" s="444"/>
      <c r="H337" s="444"/>
      <c r="I337" s="444"/>
      <c r="J337" s="444" t="s">
        <v>379</v>
      </c>
      <c r="K337" s="444"/>
      <c r="L337" s="444"/>
      <c r="M337" s="476">
        <v>43454</v>
      </c>
      <c r="N337" s="444" t="s">
        <v>621</v>
      </c>
      <c r="O337" s="444"/>
      <c r="P337" s="444"/>
      <c r="Q337" s="444"/>
      <c r="R337" s="444"/>
      <c r="S337" s="445" t="s">
        <v>143</v>
      </c>
      <c r="T337" s="444" t="s">
        <v>85</v>
      </c>
      <c r="U337" s="475" t="s">
        <v>592</v>
      </c>
      <c r="V337" s="446" t="s">
        <v>596</v>
      </c>
      <c r="W337" s="446" t="s">
        <v>74</v>
      </c>
      <c r="X337" s="447">
        <v>43392</v>
      </c>
      <c r="Y337" s="447" t="s">
        <v>71</v>
      </c>
      <c r="Z337" s="447"/>
      <c r="AA337" s="447">
        <f t="shared" si="111"/>
        <v>43399</v>
      </c>
      <c r="AB337" s="447">
        <f t="shared" si="112"/>
        <v>43406</v>
      </c>
      <c r="AC337" s="447">
        <v>43454</v>
      </c>
      <c r="AD337" s="500" t="s">
        <v>594</v>
      </c>
      <c r="AE337" s="503"/>
      <c r="AF337" s="505">
        <f t="shared" si="109"/>
        <v>0</v>
      </c>
      <c r="AG337" s="500"/>
      <c r="AH337" s="501"/>
      <c r="AI337" s="503"/>
      <c r="AJ337" s="448"/>
      <c r="AK337" s="469"/>
      <c r="AL337" s="562"/>
      <c r="AM337" s="449"/>
      <c r="AN337" s="503"/>
      <c r="AO337" s="505"/>
      <c r="AP337" s="501"/>
      <c r="AQ337" s="505"/>
      <c r="AR337" s="509"/>
      <c r="AS337" s="456">
        <f t="shared" si="113"/>
        <v>0</v>
      </c>
      <c r="AT337" s="457"/>
      <c r="AU337" s="467"/>
      <c r="AV337" s="458"/>
      <c r="BB337" s="463">
        <f t="shared" si="110"/>
        <v>0</v>
      </c>
    </row>
    <row r="338" spans="1:54" s="439" customFormat="1" ht="78.75" customHeight="1" x14ac:dyDescent="0.25">
      <c r="A338" s="442" t="s">
        <v>582</v>
      </c>
      <c r="B338" s="442" t="s">
        <v>124</v>
      </c>
      <c r="C338" s="443"/>
      <c r="D338" s="444"/>
      <c r="E338" s="444"/>
      <c r="F338" s="444"/>
      <c r="G338" s="444"/>
      <c r="H338" s="444"/>
      <c r="I338" s="444"/>
      <c r="J338" s="444" t="s">
        <v>583</v>
      </c>
      <c r="K338" s="444"/>
      <c r="L338" s="444"/>
      <c r="M338" s="476">
        <v>43540</v>
      </c>
      <c r="N338" s="444" t="s">
        <v>621</v>
      </c>
      <c r="O338" s="444"/>
      <c r="P338" s="444"/>
      <c r="Q338" s="444"/>
      <c r="R338" s="444"/>
      <c r="S338" s="445" t="s">
        <v>143</v>
      </c>
      <c r="T338" s="444" t="s">
        <v>85</v>
      </c>
      <c r="U338" s="475" t="s">
        <v>592</v>
      </c>
      <c r="V338" s="446" t="s">
        <v>597</v>
      </c>
      <c r="W338" s="446" t="s">
        <v>74</v>
      </c>
      <c r="X338" s="447">
        <v>43539</v>
      </c>
      <c r="Y338" s="447" t="s">
        <v>71</v>
      </c>
      <c r="Z338" s="447"/>
      <c r="AA338" s="447">
        <f t="shared" si="111"/>
        <v>43546</v>
      </c>
      <c r="AB338" s="447">
        <f t="shared" si="112"/>
        <v>43553</v>
      </c>
      <c r="AC338" s="447">
        <v>43540</v>
      </c>
      <c r="AD338" s="500" t="s">
        <v>594</v>
      </c>
      <c r="AE338" s="503"/>
      <c r="AF338" s="505">
        <f t="shared" si="109"/>
        <v>0</v>
      </c>
      <c r="AG338" s="500"/>
      <c r="AH338" s="501"/>
      <c r="AI338" s="503"/>
      <c r="AJ338" s="448"/>
      <c r="AK338" s="469"/>
      <c r="AL338" s="562"/>
      <c r="AM338" s="449"/>
      <c r="AN338" s="503"/>
      <c r="AO338" s="505"/>
      <c r="AP338" s="501"/>
      <c r="AQ338" s="505"/>
      <c r="AR338" s="505"/>
      <c r="AS338" s="456">
        <f t="shared" si="113"/>
        <v>0</v>
      </c>
      <c r="AT338" s="457"/>
      <c r="AU338" s="467"/>
      <c r="AV338" s="458"/>
      <c r="BB338" s="463">
        <f t="shared" si="110"/>
        <v>0</v>
      </c>
    </row>
    <row r="339" spans="1:54" s="439" customFormat="1" ht="78.75" customHeight="1" x14ac:dyDescent="0.25">
      <c r="A339" s="442" t="s">
        <v>723</v>
      </c>
      <c r="B339" s="442" t="s">
        <v>124</v>
      </c>
      <c r="C339" s="443"/>
      <c r="D339" s="444"/>
      <c r="E339" s="444"/>
      <c r="F339" s="444"/>
      <c r="G339" s="444"/>
      <c r="H339" s="444"/>
      <c r="I339" s="444"/>
      <c r="J339" s="444" t="s">
        <v>724</v>
      </c>
      <c r="K339" s="444"/>
      <c r="L339" s="444"/>
      <c r="M339" s="476">
        <v>43568</v>
      </c>
      <c r="N339" s="444" t="s">
        <v>621</v>
      </c>
      <c r="O339" s="444"/>
      <c r="P339" s="444"/>
      <c r="Q339" s="444"/>
      <c r="R339" s="444"/>
      <c r="S339" s="445" t="s">
        <v>143</v>
      </c>
      <c r="T339" s="444" t="s">
        <v>85</v>
      </c>
      <c r="U339" s="475" t="s">
        <v>592</v>
      </c>
      <c r="V339" s="446" t="s">
        <v>725</v>
      </c>
      <c r="W339" s="446" t="s">
        <v>74</v>
      </c>
      <c r="X339" s="447">
        <v>43564</v>
      </c>
      <c r="Y339" s="447" t="s">
        <v>71</v>
      </c>
      <c r="Z339" s="447"/>
      <c r="AA339" s="447">
        <f t="shared" si="111"/>
        <v>43571</v>
      </c>
      <c r="AB339" s="447">
        <f t="shared" si="112"/>
        <v>43578</v>
      </c>
      <c r="AC339" s="447">
        <v>43540</v>
      </c>
      <c r="AD339" s="500"/>
      <c r="AE339" s="507"/>
      <c r="AF339" s="505">
        <f t="shared" si="109"/>
        <v>0</v>
      </c>
      <c r="AG339" s="500"/>
      <c r="AH339" s="501"/>
      <c r="AI339" s="503"/>
      <c r="AJ339" s="448"/>
      <c r="AK339" s="469"/>
      <c r="AL339" s="562"/>
      <c r="AM339" s="449"/>
      <c r="AN339" s="503"/>
      <c r="AO339" s="505"/>
      <c r="AP339" s="501"/>
      <c r="AQ339" s="505"/>
      <c r="AR339" s="505"/>
      <c r="AS339" s="456">
        <f t="shared" si="113"/>
        <v>0</v>
      </c>
      <c r="AT339" s="457"/>
      <c r="AU339" s="467"/>
      <c r="AV339" s="458"/>
      <c r="BB339" s="463">
        <f t="shared" si="110"/>
        <v>0</v>
      </c>
    </row>
    <row r="340" spans="1:54" s="439" customFormat="1" ht="78.75" customHeight="1" x14ac:dyDescent="0.25">
      <c r="A340" s="442" t="s">
        <v>873</v>
      </c>
      <c r="B340" s="442" t="s">
        <v>124</v>
      </c>
      <c r="C340" s="443"/>
      <c r="D340" s="444"/>
      <c r="E340" s="444"/>
      <c r="F340" s="444"/>
      <c r="G340" s="444"/>
      <c r="H340" s="444"/>
      <c r="I340" s="444"/>
      <c r="J340" s="444" t="s">
        <v>874</v>
      </c>
      <c r="K340" s="444"/>
      <c r="L340" s="444"/>
      <c r="M340" s="476">
        <v>43568</v>
      </c>
      <c r="N340" s="444" t="s">
        <v>621</v>
      </c>
      <c r="O340" s="444"/>
      <c r="P340" s="444"/>
      <c r="Q340" s="444"/>
      <c r="R340" s="444"/>
      <c r="S340" s="445" t="s">
        <v>143</v>
      </c>
      <c r="T340" s="444" t="s">
        <v>85</v>
      </c>
      <c r="U340" s="475" t="s">
        <v>592</v>
      </c>
      <c r="V340" s="446" t="s">
        <v>875</v>
      </c>
      <c r="W340" s="446" t="s">
        <v>74</v>
      </c>
      <c r="X340" s="447">
        <v>43599</v>
      </c>
      <c r="Y340" s="447" t="s">
        <v>71</v>
      </c>
      <c r="Z340" s="447"/>
      <c r="AA340" s="447">
        <f t="shared" si="111"/>
        <v>43606</v>
      </c>
      <c r="AB340" s="447">
        <f t="shared" si="112"/>
        <v>43613</v>
      </c>
      <c r="AC340" s="447">
        <v>43610</v>
      </c>
      <c r="AD340" s="500"/>
      <c r="AE340" s="507"/>
      <c r="AF340" s="505">
        <f t="shared" si="109"/>
        <v>0</v>
      </c>
      <c r="AG340" s="500"/>
      <c r="AH340" s="501"/>
      <c r="AI340" s="503"/>
      <c r="AJ340" s="448"/>
      <c r="AK340" s="469"/>
      <c r="AL340" s="562"/>
      <c r="AM340" s="449"/>
      <c r="AN340" s="503"/>
      <c r="AO340" s="505"/>
      <c r="AP340" s="501"/>
      <c r="AQ340" s="505"/>
      <c r="AR340" s="505"/>
      <c r="AS340" s="456">
        <f t="shared" si="113"/>
        <v>0</v>
      </c>
      <c r="AT340" s="457"/>
      <c r="AU340" s="467"/>
      <c r="AV340" s="458"/>
      <c r="BB340" s="463">
        <f t="shared" si="110"/>
        <v>0</v>
      </c>
    </row>
    <row r="341" spans="1:54" s="439" customFormat="1" ht="15.75" customHeight="1" x14ac:dyDescent="0.25">
      <c r="A341" s="442"/>
      <c r="B341" s="442"/>
      <c r="C341" s="443"/>
      <c r="D341" s="444"/>
      <c r="E341" s="444"/>
      <c r="F341" s="444"/>
      <c r="G341" s="444"/>
      <c r="H341" s="444"/>
      <c r="I341" s="444"/>
      <c r="J341" s="444"/>
      <c r="K341" s="444"/>
      <c r="L341" s="444"/>
      <c r="M341" s="476"/>
      <c r="N341" s="444"/>
      <c r="O341" s="444"/>
      <c r="P341" s="444"/>
      <c r="Q341" s="444"/>
      <c r="R341" s="444"/>
      <c r="S341" s="445"/>
      <c r="T341" s="444"/>
      <c r="U341" s="475"/>
      <c r="V341" s="446"/>
      <c r="W341" s="446"/>
      <c r="X341" s="447"/>
      <c r="Y341" s="447"/>
      <c r="Z341" s="447"/>
      <c r="AA341" s="447" t="str">
        <f t="shared" si="111"/>
        <v/>
      </c>
      <c r="AB341" s="447" t="str">
        <f t="shared" si="112"/>
        <v/>
      </c>
      <c r="AC341" s="447"/>
      <c r="AD341" s="500"/>
      <c r="AE341" s="507"/>
      <c r="AF341" s="505"/>
      <c r="AG341" s="500"/>
      <c r="AH341" s="501"/>
      <c r="AI341" s="503"/>
      <c r="AJ341" s="448"/>
      <c r="AK341" s="469"/>
      <c r="AL341" s="562"/>
      <c r="AM341" s="449"/>
      <c r="AN341" s="503"/>
      <c r="AO341" s="505"/>
      <c r="AP341" s="501"/>
      <c r="AQ341" s="505"/>
      <c r="AR341" s="505"/>
      <c r="AS341" s="457"/>
      <c r="AT341" s="457"/>
      <c r="AU341" s="467"/>
      <c r="AV341" s="458"/>
      <c r="BB341" s="463">
        <f t="shared" si="110"/>
        <v>0</v>
      </c>
    </row>
    <row r="342" spans="1:54" s="439" customFormat="1" ht="15.75" customHeight="1" x14ac:dyDescent="0.25">
      <c r="A342" s="442"/>
      <c r="B342" s="442"/>
      <c r="C342" s="443"/>
      <c r="D342" s="444"/>
      <c r="E342" s="444"/>
      <c r="F342" s="444"/>
      <c r="G342" s="444"/>
      <c r="H342" s="444"/>
      <c r="I342" s="444"/>
      <c r="J342" s="444"/>
      <c r="K342" s="444"/>
      <c r="L342" s="444"/>
      <c r="M342" s="476"/>
      <c r="N342" s="444"/>
      <c r="O342" s="444"/>
      <c r="P342" s="444"/>
      <c r="Q342" s="444"/>
      <c r="R342" s="444"/>
      <c r="S342" s="445"/>
      <c r="T342" s="444"/>
      <c r="U342" s="475"/>
      <c r="V342" s="446"/>
      <c r="W342" s="446"/>
      <c r="X342" s="447"/>
      <c r="Y342" s="447"/>
      <c r="Z342" s="447"/>
      <c r="AA342" s="447" t="str">
        <f t="shared" si="111"/>
        <v/>
      </c>
      <c r="AB342" s="447" t="str">
        <f t="shared" si="112"/>
        <v/>
      </c>
      <c r="AC342" s="447"/>
      <c r="AD342" s="500"/>
      <c r="AE342" s="507"/>
      <c r="AF342" s="505"/>
      <c r="AG342" s="500"/>
      <c r="AH342" s="501"/>
      <c r="AI342" s="503"/>
      <c r="AJ342" s="448"/>
      <c r="AK342" s="469"/>
      <c r="AL342" s="562"/>
      <c r="AM342" s="449"/>
      <c r="AN342" s="503"/>
      <c r="AO342" s="505"/>
      <c r="AP342" s="501"/>
      <c r="AQ342" s="505"/>
      <c r="AR342" s="505"/>
      <c r="AS342" s="457"/>
      <c r="AT342" s="457"/>
      <c r="AU342" s="467"/>
      <c r="AV342" s="458"/>
      <c r="BB342" s="463">
        <f t="shared" si="110"/>
        <v>0</v>
      </c>
    </row>
    <row r="343" spans="1:54" s="439" customFormat="1" ht="15.75" customHeight="1" x14ac:dyDescent="0.25">
      <c r="A343" s="442"/>
      <c r="B343" s="442"/>
      <c r="C343" s="443"/>
      <c r="D343" s="444"/>
      <c r="E343" s="444"/>
      <c r="F343" s="444"/>
      <c r="G343" s="444"/>
      <c r="H343" s="444"/>
      <c r="I343" s="444"/>
      <c r="J343" s="444"/>
      <c r="K343" s="444"/>
      <c r="L343" s="444"/>
      <c r="M343" s="476"/>
      <c r="N343" s="444"/>
      <c r="O343" s="444"/>
      <c r="P343" s="444"/>
      <c r="Q343" s="444"/>
      <c r="R343" s="444"/>
      <c r="S343" s="445"/>
      <c r="T343" s="444"/>
      <c r="U343" s="475"/>
      <c r="V343" s="446"/>
      <c r="W343" s="446"/>
      <c r="X343" s="447"/>
      <c r="Y343" s="447"/>
      <c r="Z343" s="447"/>
      <c r="AA343" s="447" t="str">
        <f t="shared" si="111"/>
        <v/>
      </c>
      <c r="AB343" s="447" t="str">
        <f t="shared" si="112"/>
        <v/>
      </c>
      <c r="AC343" s="447"/>
      <c r="AD343" s="500"/>
      <c r="AE343" s="507"/>
      <c r="AF343" s="505"/>
      <c r="AG343" s="500"/>
      <c r="AH343" s="501"/>
      <c r="AI343" s="503"/>
      <c r="AJ343" s="448"/>
      <c r="AK343" s="469"/>
      <c r="AL343" s="562"/>
      <c r="AM343" s="449"/>
      <c r="AN343" s="503"/>
      <c r="AO343" s="505"/>
      <c r="AP343" s="501"/>
      <c r="AQ343" s="505"/>
      <c r="AR343" s="505"/>
      <c r="AS343" s="457"/>
      <c r="AT343" s="457"/>
      <c r="AU343" s="467"/>
      <c r="AV343" s="458"/>
      <c r="BB343" s="463">
        <f t="shared" si="110"/>
        <v>0</v>
      </c>
    </row>
    <row r="344" spans="1:54" s="439" customFormat="1" ht="15.75" customHeight="1" x14ac:dyDescent="0.25">
      <c r="A344" s="442"/>
      <c r="B344" s="442"/>
      <c r="C344" s="443"/>
      <c r="D344" s="444"/>
      <c r="E344" s="444"/>
      <c r="F344" s="444"/>
      <c r="G344" s="444"/>
      <c r="H344" s="444"/>
      <c r="I344" s="444"/>
      <c r="J344" s="444"/>
      <c r="K344" s="444"/>
      <c r="L344" s="444"/>
      <c r="M344" s="476"/>
      <c r="N344" s="444"/>
      <c r="O344" s="444"/>
      <c r="P344" s="444"/>
      <c r="Q344" s="444"/>
      <c r="R344" s="444"/>
      <c r="S344" s="445"/>
      <c r="T344" s="444"/>
      <c r="U344" s="475"/>
      <c r="V344" s="446"/>
      <c r="W344" s="446"/>
      <c r="X344" s="447"/>
      <c r="Y344" s="447"/>
      <c r="Z344" s="447"/>
      <c r="AA344" s="447" t="str">
        <f t="shared" si="111"/>
        <v/>
      </c>
      <c r="AB344" s="447" t="str">
        <f t="shared" si="112"/>
        <v/>
      </c>
      <c r="AC344" s="447"/>
      <c r="AD344" s="500"/>
      <c r="AE344" s="507"/>
      <c r="AF344" s="505"/>
      <c r="AG344" s="500"/>
      <c r="AH344" s="501"/>
      <c r="AI344" s="503"/>
      <c r="AJ344" s="448"/>
      <c r="AK344" s="469"/>
      <c r="AL344" s="562"/>
      <c r="AM344" s="449"/>
      <c r="AN344" s="503"/>
      <c r="AO344" s="505"/>
      <c r="AP344" s="501"/>
      <c r="AQ344" s="505"/>
      <c r="AR344" s="505"/>
      <c r="AS344" s="457"/>
      <c r="AT344" s="457"/>
      <c r="AU344" s="467"/>
      <c r="AV344" s="458"/>
      <c r="BB344" s="463">
        <f t="shared" si="110"/>
        <v>0</v>
      </c>
    </row>
    <row r="345" spans="1:54" s="439" customFormat="1" ht="15.75" customHeight="1" x14ac:dyDescent="0.25">
      <c r="A345" s="442"/>
      <c r="B345" s="442"/>
      <c r="C345" s="443"/>
      <c r="D345" s="444"/>
      <c r="E345" s="444"/>
      <c r="F345" s="444"/>
      <c r="G345" s="444"/>
      <c r="H345" s="444"/>
      <c r="I345" s="444"/>
      <c r="J345" s="444"/>
      <c r="K345" s="444"/>
      <c r="L345" s="444"/>
      <c r="M345" s="476"/>
      <c r="N345" s="444"/>
      <c r="O345" s="444"/>
      <c r="P345" s="444"/>
      <c r="Q345" s="444"/>
      <c r="R345" s="444"/>
      <c r="S345" s="445"/>
      <c r="T345" s="444"/>
      <c r="U345" s="475"/>
      <c r="V345" s="446"/>
      <c r="W345" s="446"/>
      <c r="X345" s="447"/>
      <c r="Y345" s="447"/>
      <c r="Z345" s="447"/>
      <c r="AA345" s="447" t="str">
        <f t="shared" si="111"/>
        <v/>
      </c>
      <c r="AB345" s="447" t="str">
        <f t="shared" si="112"/>
        <v/>
      </c>
      <c r="AC345" s="447"/>
      <c r="AD345" s="500"/>
      <c r="AE345" s="507"/>
      <c r="AF345" s="505"/>
      <c r="AG345" s="500"/>
      <c r="AH345" s="501"/>
      <c r="AI345" s="503"/>
      <c r="AJ345" s="448"/>
      <c r="AK345" s="469"/>
      <c r="AL345" s="562"/>
      <c r="AM345" s="449"/>
      <c r="AN345" s="503"/>
      <c r="AO345" s="505"/>
      <c r="AP345" s="501"/>
      <c r="AQ345" s="505"/>
      <c r="AR345" s="505"/>
      <c r="AS345" s="457"/>
      <c r="AT345" s="457"/>
      <c r="AU345" s="467"/>
      <c r="AV345" s="458"/>
      <c r="BB345" s="463">
        <f t="shared" si="110"/>
        <v>0</v>
      </c>
    </row>
    <row r="346" spans="1:54" s="439" customFormat="1" ht="15.75" customHeight="1" x14ac:dyDescent="0.25">
      <c r="A346" s="442"/>
      <c r="B346" s="442"/>
      <c r="C346" s="443"/>
      <c r="D346" s="444"/>
      <c r="E346" s="444"/>
      <c r="F346" s="444"/>
      <c r="G346" s="444"/>
      <c r="H346" s="444"/>
      <c r="I346" s="444"/>
      <c r="J346" s="444"/>
      <c r="K346" s="444"/>
      <c r="L346" s="444"/>
      <c r="M346" s="476"/>
      <c r="N346" s="444"/>
      <c r="O346" s="444"/>
      <c r="P346" s="444"/>
      <c r="Q346" s="444"/>
      <c r="R346" s="444"/>
      <c r="S346" s="445"/>
      <c r="T346" s="444"/>
      <c r="U346" s="475"/>
      <c r="V346" s="446"/>
      <c r="W346" s="446"/>
      <c r="X346" s="447"/>
      <c r="Y346" s="447"/>
      <c r="Z346" s="447"/>
      <c r="AA346" s="447" t="str">
        <f t="shared" si="111"/>
        <v/>
      </c>
      <c r="AB346" s="447" t="str">
        <f t="shared" si="112"/>
        <v/>
      </c>
      <c r="AC346" s="447"/>
      <c r="AD346" s="500"/>
      <c r="AE346" s="507"/>
      <c r="AF346" s="505"/>
      <c r="AG346" s="500"/>
      <c r="AH346" s="501"/>
      <c r="AI346" s="503"/>
      <c r="AJ346" s="448"/>
      <c r="AK346" s="469"/>
      <c r="AL346" s="562"/>
      <c r="AM346" s="449"/>
      <c r="AN346" s="503"/>
      <c r="AO346" s="505"/>
      <c r="AP346" s="501"/>
      <c r="AQ346" s="505"/>
      <c r="AR346" s="505"/>
      <c r="AS346" s="457"/>
      <c r="AT346" s="457"/>
      <c r="AU346" s="467"/>
      <c r="AV346" s="458"/>
      <c r="BB346" s="463">
        <f t="shared" si="110"/>
        <v>0</v>
      </c>
    </row>
    <row r="347" spans="1:54" s="439" customFormat="1" ht="15.75" customHeight="1" x14ac:dyDescent="0.25">
      <c r="A347" s="442"/>
      <c r="B347" s="442"/>
      <c r="C347" s="443"/>
      <c r="D347" s="444"/>
      <c r="E347" s="444"/>
      <c r="F347" s="444"/>
      <c r="G347" s="444"/>
      <c r="H347" s="444"/>
      <c r="I347" s="444"/>
      <c r="J347" s="444"/>
      <c r="K347" s="444"/>
      <c r="L347" s="444"/>
      <c r="M347" s="476"/>
      <c r="N347" s="444"/>
      <c r="O347" s="444"/>
      <c r="P347" s="444"/>
      <c r="Q347" s="444"/>
      <c r="R347" s="444"/>
      <c r="S347" s="445"/>
      <c r="T347" s="444"/>
      <c r="U347" s="475"/>
      <c r="V347" s="446"/>
      <c r="W347" s="446"/>
      <c r="X347" s="447"/>
      <c r="Y347" s="447"/>
      <c r="Z347" s="447"/>
      <c r="AA347" s="447" t="str">
        <f t="shared" si="111"/>
        <v/>
      </c>
      <c r="AB347" s="447" t="str">
        <f t="shared" si="112"/>
        <v/>
      </c>
      <c r="AC347" s="447"/>
      <c r="AD347" s="500"/>
      <c r="AE347" s="507"/>
      <c r="AF347" s="505"/>
      <c r="AG347" s="500"/>
      <c r="AH347" s="501"/>
      <c r="AI347" s="503"/>
      <c r="AJ347" s="448"/>
      <c r="AK347" s="469"/>
      <c r="AL347" s="562"/>
      <c r="AM347" s="449"/>
      <c r="AN347" s="503"/>
      <c r="AO347" s="505"/>
      <c r="AP347" s="501"/>
      <c r="AQ347" s="505"/>
      <c r="AR347" s="505"/>
      <c r="AS347" s="457"/>
      <c r="AT347" s="457"/>
      <c r="AU347" s="467"/>
      <c r="AV347" s="458"/>
      <c r="BB347" s="463">
        <f t="shared" si="110"/>
        <v>0</v>
      </c>
    </row>
    <row r="348" spans="1:54" s="439" customFormat="1" ht="15.75" customHeight="1" x14ac:dyDescent="0.25">
      <c r="A348" s="442"/>
      <c r="B348" s="442"/>
      <c r="C348" s="443"/>
      <c r="D348" s="444"/>
      <c r="E348" s="444"/>
      <c r="F348" s="444"/>
      <c r="G348" s="444"/>
      <c r="H348" s="444"/>
      <c r="I348" s="444"/>
      <c r="J348" s="444"/>
      <c r="K348" s="444"/>
      <c r="L348" s="444"/>
      <c r="M348" s="476"/>
      <c r="N348" s="444"/>
      <c r="O348" s="444"/>
      <c r="P348" s="444"/>
      <c r="Q348" s="444"/>
      <c r="R348" s="444"/>
      <c r="S348" s="445"/>
      <c r="T348" s="444"/>
      <c r="U348" s="475"/>
      <c r="V348" s="446"/>
      <c r="W348" s="446"/>
      <c r="X348" s="447"/>
      <c r="Y348" s="447"/>
      <c r="Z348" s="447"/>
      <c r="AA348" s="447" t="str">
        <f t="shared" si="111"/>
        <v/>
      </c>
      <c r="AB348" s="447" t="str">
        <f t="shared" si="112"/>
        <v/>
      </c>
      <c r="AC348" s="447"/>
      <c r="AD348" s="500"/>
      <c r="AE348" s="507"/>
      <c r="AF348" s="505"/>
      <c r="AG348" s="500"/>
      <c r="AH348" s="501"/>
      <c r="AI348" s="503"/>
      <c r="AJ348" s="448"/>
      <c r="AK348" s="469"/>
      <c r="AL348" s="562"/>
      <c r="AM348" s="449"/>
      <c r="AN348" s="503"/>
      <c r="AO348" s="505"/>
      <c r="AP348" s="501"/>
      <c r="AQ348" s="505"/>
      <c r="AR348" s="505"/>
      <c r="AS348" s="457"/>
      <c r="AT348" s="457"/>
      <c r="AU348" s="467"/>
      <c r="AV348" s="458"/>
      <c r="BB348" s="463">
        <f t="shared" si="110"/>
        <v>0</v>
      </c>
    </row>
    <row r="349" spans="1:54" s="439" customFormat="1" ht="15.75" customHeight="1" x14ac:dyDescent="0.25">
      <c r="A349" s="442"/>
      <c r="B349" s="442"/>
      <c r="C349" s="443"/>
      <c r="D349" s="444"/>
      <c r="E349" s="444"/>
      <c r="F349" s="444"/>
      <c r="G349" s="444"/>
      <c r="H349" s="444"/>
      <c r="I349" s="444"/>
      <c r="J349" s="444"/>
      <c r="K349" s="444"/>
      <c r="L349" s="444"/>
      <c r="M349" s="476"/>
      <c r="N349" s="444"/>
      <c r="O349" s="444"/>
      <c r="P349" s="444"/>
      <c r="Q349" s="444"/>
      <c r="R349" s="444"/>
      <c r="S349" s="445"/>
      <c r="T349" s="444"/>
      <c r="U349" s="475"/>
      <c r="V349" s="446"/>
      <c r="W349" s="446"/>
      <c r="X349" s="447"/>
      <c r="Y349" s="447"/>
      <c r="Z349" s="447"/>
      <c r="AA349" s="447" t="str">
        <f t="shared" si="111"/>
        <v/>
      </c>
      <c r="AB349" s="447" t="str">
        <f t="shared" si="112"/>
        <v/>
      </c>
      <c r="AC349" s="447"/>
      <c r="AD349" s="500"/>
      <c r="AE349" s="507"/>
      <c r="AF349" s="505"/>
      <c r="AG349" s="500"/>
      <c r="AH349" s="501"/>
      <c r="AI349" s="503"/>
      <c r="AJ349" s="448"/>
      <c r="AK349" s="469"/>
      <c r="AL349" s="562"/>
      <c r="AM349" s="449"/>
      <c r="AN349" s="503"/>
      <c r="AO349" s="505"/>
      <c r="AP349" s="501"/>
      <c r="AQ349" s="505"/>
      <c r="AR349" s="505"/>
      <c r="AS349" s="457"/>
      <c r="AT349" s="457"/>
      <c r="AU349" s="467"/>
      <c r="AV349" s="458"/>
      <c r="BB349" s="463">
        <f t="shared" si="110"/>
        <v>0</v>
      </c>
    </row>
    <row r="350" spans="1:54" s="439" customFormat="1" ht="15.75" customHeight="1" x14ac:dyDescent="0.25">
      <c r="A350" s="442"/>
      <c r="B350" s="442"/>
      <c r="C350" s="443"/>
      <c r="D350" s="444"/>
      <c r="E350" s="444"/>
      <c r="F350" s="444"/>
      <c r="G350" s="444"/>
      <c r="H350" s="444"/>
      <c r="I350" s="444"/>
      <c r="J350" s="444"/>
      <c r="K350" s="444"/>
      <c r="L350" s="444"/>
      <c r="M350" s="476"/>
      <c r="N350" s="444"/>
      <c r="O350" s="444"/>
      <c r="P350" s="444"/>
      <c r="Q350" s="444"/>
      <c r="R350" s="444"/>
      <c r="S350" s="445"/>
      <c r="T350" s="444"/>
      <c r="U350" s="475"/>
      <c r="V350" s="446"/>
      <c r="W350" s="446"/>
      <c r="X350" s="447"/>
      <c r="Y350" s="447"/>
      <c r="Z350" s="447"/>
      <c r="AA350" s="447" t="str">
        <f t="shared" si="111"/>
        <v/>
      </c>
      <c r="AB350" s="447" t="str">
        <f t="shared" si="112"/>
        <v/>
      </c>
      <c r="AC350" s="447"/>
      <c r="AD350" s="500"/>
      <c r="AE350" s="507"/>
      <c r="AF350" s="505"/>
      <c r="AG350" s="500"/>
      <c r="AH350" s="501"/>
      <c r="AI350" s="503"/>
      <c r="AJ350" s="448"/>
      <c r="AK350" s="469"/>
      <c r="AL350" s="562"/>
      <c r="AM350" s="449"/>
      <c r="AN350" s="503"/>
      <c r="AO350" s="505"/>
      <c r="AP350" s="501"/>
      <c r="AQ350" s="505"/>
      <c r="AR350" s="505"/>
      <c r="AS350" s="457"/>
      <c r="AT350" s="457"/>
      <c r="AU350" s="467"/>
      <c r="AV350" s="458"/>
      <c r="BB350" s="463">
        <f t="shared" si="110"/>
        <v>0</v>
      </c>
    </row>
    <row r="351" spans="1:54" s="439" customFormat="1" ht="15.75" customHeight="1" x14ac:dyDescent="0.2">
      <c r="A351" s="442"/>
      <c r="B351" s="442"/>
      <c r="C351" s="443"/>
      <c r="D351" s="444"/>
      <c r="E351" s="444"/>
      <c r="F351" s="444"/>
      <c r="G351" s="444"/>
      <c r="H351" s="444"/>
      <c r="I351" s="444"/>
      <c r="J351" s="444"/>
      <c r="K351" s="444"/>
      <c r="L351" s="444"/>
      <c r="M351" s="476"/>
      <c r="N351" s="444"/>
      <c r="O351" s="444"/>
      <c r="P351" s="444"/>
      <c r="Q351" s="444"/>
      <c r="R351" s="444"/>
      <c r="S351" s="445"/>
      <c r="T351" s="444"/>
      <c r="U351" s="475"/>
      <c r="V351" s="446"/>
      <c r="W351" s="446"/>
      <c r="X351" s="447"/>
      <c r="Y351" s="447"/>
      <c r="Z351" s="447"/>
      <c r="AA351" s="447" t="str">
        <f t="shared" si="111"/>
        <v/>
      </c>
      <c r="AB351" s="447" t="str">
        <f t="shared" si="112"/>
        <v/>
      </c>
      <c r="AC351" s="447"/>
      <c r="AD351" s="512"/>
      <c r="AE351" s="507"/>
      <c r="AF351" s="505"/>
      <c r="AG351" s="500"/>
      <c r="AH351" s="501"/>
      <c r="AI351" s="503"/>
      <c r="AJ351" s="448"/>
      <c r="AK351" s="469"/>
      <c r="AL351" s="562"/>
      <c r="AM351" s="449"/>
      <c r="AN351" s="503"/>
      <c r="AO351" s="505"/>
      <c r="AP351" s="501"/>
      <c r="AQ351" s="505"/>
      <c r="AR351" s="505"/>
      <c r="AS351" s="457"/>
      <c r="AT351" s="457"/>
      <c r="AU351" s="467"/>
      <c r="AV351" s="458"/>
      <c r="BB351" s="463">
        <f t="shared" si="110"/>
        <v>0</v>
      </c>
    </row>
    <row r="352" spans="1:54" s="439" customFormat="1" ht="15.75" customHeight="1" x14ac:dyDescent="0.2">
      <c r="A352" s="442"/>
      <c r="B352" s="442"/>
      <c r="C352" s="443"/>
      <c r="D352" s="444"/>
      <c r="E352" s="444"/>
      <c r="F352" s="444"/>
      <c r="G352" s="444"/>
      <c r="H352" s="444"/>
      <c r="I352" s="444"/>
      <c r="J352" s="444"/>
      <c r="K352" s="444"/>
      <c r="L352" s="444"/>
      <c r="M352" s="476"/>
      <c r="N352" s="444"/>
      <c r="O352" s="444"/>
      <c r="P352" s="444"/>
      <c r="Q352" s="444"/>
      <c r="R352" s="444"/>
      <c r="S352" s="445"/>
      <c r="T352" s="444"/>
      <c r="U352" s="475"/>
      <c r="V352" s="446"/>
      <c r="W352" s="446"/>
      <c r="X352" s="447"/>
      <c r="Y352" s="447"/>
      <c r="Z352" s="447"/>
      <c r="AA352" s="447"/>
      <c r="AB352" s="447"/>
      <c r="AC352" s="447"/>
      <c r="AD352" s="515"/>
      <c r="AE352" s="507"/>
      <c r="AF352" s="505"/>
      <c r="AG352" s="500"/>
      <c r="AH352" s="501"/>
      <c r="AI352" s="503"/>
      <c r="AJ352" s="448"/>
      <c r="AK352" s="469"/>
      <c r="AL352" s="562"/>
      <c r="AM352" s="449"/>
      <c r="AN352" s="503"/>
      <c r="AO352" s="505"/>
      <c r="AP352" s="501"/>
      <c r="AQ352" s="505"/>
      <c r="AR352" s="505"/>
      <c r="AS352" s="457"/>
      <c r="AT352" s="457"/>
      <c r="AU352" s="467"/>
      <c r="AV352" s="458"/>
      <c r="BB352" s="463">
        <f t="shared" si="110"/>
        <v>0</v>
      </c>
    </row>
    <row r="353" spans="1:54" s="379" customFormat="1" ht="15" customHeight="1" x14ac:dyDescent="0.2">
      <c r="A353" s="510" t="s">
        <v>33</v>
      </c>
      <c r="B353" s="510"/>
      <c r="C353" s="510"/>
      <c r="D353" s="511"/>
      <c r="E353" s="511"/>
      <c r="F353" s="511"/>
      <c r="G353" s="511"/>
      <c r="H353" s="511"/>
      <c r="I353" s="511"/>
      <c r="J353" s="511"/>
      <c r="K353" s="511"/>
      <c r="L353" s="511"/>
      <c r="M353" s="511"/>
      <c r="N353" s="511"/>
      <c r="O353" s="511"/>
      <c r="P353" s="511"/>
      <c r="Q353" s="511"/>
      <c r="R353" s="511"/>
      <c r="S353" s="511"/>
      <c r="T353" s="511"/>
      <c r="U353" s="511"/>
      <c r="V353" s="511"/>
      <c r="W353" s="511"/>
      <c r="X353" s="511"/>
      <c r="Y353" s="511"/>
      <c r="Z353" s="511"/>
      <c r="AA353" s="511"/>
      <c r="AB353" s="511"/>
      <c r="AC353" s="511"/>
      <c r="AD353" s="500"/>
      <c r="AE353" s="512"/>
      <c r="AF353" s="512"/>
      <c r="AG353" s="512"/>
      <c r="AH353" s="512"/>
      <c r="AI353" s="512"/>
      <c r="AJ353" s="512"/>
      <c r="AK353" s="512"/>
      <c r="AL353" s="512"/>
      <c r="AM353" s="449"/>
      <c r="AN353" s="512"/>
      <c r="AO353" s="512"/>
      <c r="AP353" s="512"/>
      <c r="AQ353" s="512"/>
      <c r="AR353" s="512"/>
      <c r="AS353" s="512"/>
      <c r="AT353" s="512"/>
      <c r="BB353" s="463">
        <f t="shared" si="110"/>
        <v>0</v>
      </c>
    </row>
    <row r="354" spans="1:54" s="379" customFormat="1" ht="15" customHeight="1" x14ac:dyDescent="0.2">
      <c r="A354" s="513" t="s">
        <v>1253</v>
      </c>
      <c r="B354" s="513"/>
      <c r="C354" s="513"/>
      <c r="D354" s="514"/>
      <c r="E354" s="514"/>
      <c r="F354" s="514"/>
      <c r="G354" s="514"/>
      <c r="H354" s="514"/>
      <c r="I354" s="514"/>
      <c r="J354" s="514"/>
      <c r="K354" s="514"/>
      <c r="L354" s="514"/>
      <c r="M354" s="514"/>
      <c r="N354" s="514"/>
      <c r="O354" s="514"/>
      <c r="P354" s="514"/>
      <c r="Q354" s="514"/>
      <c r="R354" s="514"/>
      <c r="S354" s="514"/>
      <c r="T354" s="514"/>
      <c r="U354" s="514"/>
      <c r="V354" s="514"/>
      <c r="W354" s="514"/>
      <c r="X354" s="514"/>
      <c r="Y354" s="514"/>
      <c r="Z354" s="514"/>
      <c r="AA354" s="514"/>
      <c r="AB354" s="514"/>
      <c r="AC354" s="514"/>
      <c r="AD354" s="500"/>
      <c r="AE354" s="515"/>
      <c r="AF354" s="515"/>
      <c r="AG354" s="515"/>
      <c r="AH354" s="515"/>
      <c r="AI354" s="515"/>
      <c r="AJ354" s="515"/>
      <c r="AK354" s="515"/>
      <c r="AL354" s="515"/>
      <c r="AM354" s="449"/>
      <c r="AN354" s="515"/>
      <c r="AO354" s="515"/>
      <c r="AP354" s="515"/>
      <c r="AQ354" s="515"/>
      <c r="AR354" s="515"/>
      <c r="AS354" s="515"/>
      <c r="AT354" s="515"/>
      <c r="AU354" s="516"/>
      <c r="AV354" s="516" t="e">
        <f>SUM(AV11:AV353)</f>
        <v>#REF!</v>
      </c>
      <c r="BB354" s="463">
        <f t="shared" si="110"/>
        <v>0</v>
      </c>
    </row>
    <row r="355" spans="1:54" s="483" customFormat="1" ht="15.75" x14ac:dyDescent="0.25">
      <c r="A355" s="442"/>
      <c r="B355" s="442"/>
      <c r="C355" s="443"/>
      <c r="D355" s="444"/>
      <c r="E355" s="444"/>
      <c r="F355" s="444"/>
      <c r="G355" s="444"/>
      <c r="H355" s="444"/>
      <c r="I355" s="444"/>
      <c r="J355" s="444"/>
      <c r="K355" s="444"/>
      <c r="L355" s="444"/>
      <c r="M355" s="476"/>
      <c r="N355" s="444"/>
      <c r="O355" s="444"/>
      <c r="P355" s="444"/>
      <c r="Q355" s="444"/>
      <c r="R355" s="444"/>
      <c r="S355" s="445"/>
      <c r="T355" s="444"/>
      <c r="U355" s="502"/>
      <c r="V355" s="446"/>
      <c r="W355" s="446"/>
      <c r="X355" s="447"/>
      <c r="Y355" s="447"/>
      <c r="Z355" s="447"/>
      <c r="AA355" s="447" t="str">
        <f t="shared" ref="AA355:AA357" si="114">+IF(X355="","",WORKDAY(X355,5))</f>
        <v/>
      </c>
      <c r="AB355" s="447" t="str">
        <f t="shared" ref="AB355:AB357" si="115">+IF(X355="","",WORKDAY(X355,10))</f>
        <v/>
      </c>
      <c r="AC355" s="447"/>
      <c r="AD355" s="500"/>
      <c r="AE355" s="507"/>
      <c r="AF355" s="505"/>
      <c r="AG355" s="500"/>
      <c r="AH355" s="501"/>
      <c r="AI355" s="503"/>
      <c r="AJ355" s="448"/>
      <c r="AK355" s="469"/>
      <c r="AL355" s="562"/>
      <c r="AM355" s="500"/>
      <c r="AN355" s="503"/>
      <c r="AO355" s="505"/>
      <c r="AP355" s="501"/>
      <c r="AQ355" s="453"/>
      <c r="AR355" s="505"/>
      <c r="AS355" s="457"/>
      <c r="AT355" s="506"/>
      <c r="BB355" s="463">
        <f t="shared" si="110"/>
        <v>0</v>
      </c>
    </row>
    <row r="356" spans="1:54" s="483" customFormat="1" ht="15.75" x14ac:dyDescent="0.2">
      <c r="A356" s="442"/>
      <c r="B356" s="442"/>
      <c r="C356" s="443"/>
      <c r="D356" s="444"/>
      <c r="E356" s="444"/>
      <c r="F356" s="444"/>
      <c r="G356" s="444"/>
      <c r="H356" s="444"/>
      <c r="I356" s="444"/>
      <c r="J356" s="444"/>
      <c r="K356" s="444"/>
      <c r="L356" s="444"/>
      <c r="M356" s="476"/>
      <c r="N356" s="444"/>
      <c r="O356" s="444"/>
      <c r="P356" s="444"/>
      <c r="Q356" s="444"/>
      <c r="R356" s="444"/>
      <c r="S356" s="445"/>
      <c r="T356" s="444"/>
      <c r="U356" s="475"/>
      <c r="V356" s="446"/>
      <c r="W356" s="446"/>
      <c r="X356" s="447"/>
      <c r="Y356" s="447"/>
      <c r="Z356" s="447"/>
      <c r="AA356" s="447" t="str">
        <f t="shared" si="114"/>
        <v/>
      </c>
      <c r="AB356" s="447" t="str">
        <f t="shared" si="115"/>
        <v/>
      </c>
      <c r="AC356" s="447"/>
      <c r="AD356" s="517"/>
      <c r="AE356" s="507"/>
      <c r="AF356" s="505"/>
      <c r="AG356" s="500"/>
      <c r="AH356" s="501"/>
      <c r="AI356" s="503"/>
      <c r="AJ356" s="448"/>
      <c r="AK356" s="469"/>
      <c r="AL356" s="562"/>
      <c r="AM356" s="500"/>
      <c r="AN356" s="503"/>
      <c r="AO356" s="505"/>
      <c r="AP356" s="501"/>
      <c r="AQ356" s="505"/>
      <c r="AR356" s="505"/>
      <c r="AS356" s="457"/>
      <c r="AT356" s="506"/>
      <c r="BB356" s="463">
        <f t="shared" si="110"/>
        <v>0</v>
      </c>
    </row>
    <row r="357" spans="1:54" s="483" customFormat="1" ht="15.75" x14ac:dyDescent="0.2">
      <c r="A357" s="444"/>
      <c r="B357" s="442"/>
      <c r="C357" s="443"/>
      <c r="D357" s="444"/>
      <c r="E357" s="444"/>
      <c r="F357" s="444"/>
      <c r="G357" s="444"/>
      <c r="H357" s="444"/>
      <c r="I357" s="444"/>
      <c r="J357" s="444"/>
      <c r="K357" s="444"/>
      <c r="L357" s="444"/>
      <c r="M357" s="476"/>
      <c r="N357" s="444"/>
      <c r="O357" s="444"/>
      <c r="P357" s="444"/>
      <c r="Q357" s="444"/>
      <c r="R357" s="444"/>
      <c r="S357" s="445"/>
      <c r="T357" s="444"/>
      <c r="U357" s="475"/>
      <c r="V357" s="446"/>
      <c r="W357" s="446"/>
      <c r="X357" s="447"/>
      <c r="Y357" s="447"/>
      <c r="Z357" s="447"/>
      <c r="AA357" s="447" t="str">
        <f t="shared" si="114"/>
        <v/>
      </c>
      <c r="AB357" s="447" t="str">
        <f t="shared" si="115"/>
        <v/>
      </c>
      <c r="AC357" s="447"/>
      <c r="AD357" s="517"/>
      <c r="AE357" s="507"/>
      <c r="AF357" s="505"/>
      <c r="AG357" s="500"/>
      <c r="AH357" s="501"/>
      <c r="AI357" s="503"/>
      <c r="AJ357" s="448"/>
      <c r="AK357" s="469"/>
      <c r="AL357" s="562"/>
      <c r="AM357" s="500"/>
      <c r="AN357" s="503"/>
      <c r="AO357" s="505"/>
      <c r="AP357" s="501"/>
      <c r="AQ357" s="505"/>
      <c r="AR357" s="505"/>
      <c r="AS357" s="457"/>
      <c r="AT357" s="506"/>
      <c r="BB357" s="463">
        <f t="shared" si="110"/>
        <v>0</v>
      </c>
    </row>
    <row r="358" spans="1:54" ht="15" x14ac:dyDescent="0.2">
      <c r="T358" s="483"/>
      <c r="AA358" s="517"/>
      <c r="AB358" s="517"/>
      <c r="AC358" s="517"/>
      <c r="AE358" s="517"/>
      <c r="AF358" s="517"/>
      <c r="AG358" s="517"/>
      <c r="AH358" s="517"/>
      <c r="AI358" s="517"/>
      <c r="AJ358" s="517"/>
      <c r="AK358" s="517"/>
      <c r="AL358" s="517"/>
      <c r="AM358" s="517"/>
      <c r="AN358" s="517"/>
      <c r="AO358" s="517"/>
      <c r="AP358" s="517"/>
      <c r="AQ358" s="517"/>
      <c r="AR358" s="517"/>
      <c r="AS358" s="517"/>
      <c r="AT358" s="517"/>
      <c r="BB358" s="463">
        <f t="shared" si="110"/>
        <v>0</v>
      </c>
    </row>
    <row r="359" spans="1:54" ht="15" x14ac:dyDescent="0.2">
      <c r="T359" s="483"/>
      <c r="AA359" s="517"/>
      <c r="AB359" s="517"/>
      <c r="AC359" s="517"/>
      <c r="AE359" s="517"/>
      <c r="AF359" s="517"/>
      <c r="AG359" s="517"/>
      <c r="AH359" s="517"/>
      <c r="AI359" s="517"/>
      <c r="AJ359" s="517"/>
      <c r="AK359" s="517"/>
      <c r="AL359" s="517"/>
      <c r="AM359" s="517"/>
      <c r="AN359" s="517"/>
      <c r="AO359" s="517"/>
      <c r="AP359" s="517"/>
      <c r="AQ359" s="517"/>
      <c r="AR359" s="517"/>
      <c r="AS359" s="517"/>
      <c r="AT359" s="517"/>
      <c r="BB359" s="463">
        <f t="shared" si="110"/>
        <v>0</v>
      </c>
    </row>
    <row r="360" spans="1:54" ht="15" x14ac:dyDescent="0.25">
      <c r="T360" s="483"/>
      <c r="BB360" s="463">
        <f t="shared" si="110"/>
        <v>0</v>
      </c>
    </row>
    <row r="361" spans="1:54" ht="15" x14ac:dyDescent="0.25">
      <c r="T361" s="483"/>
      <c r="BB361" s="463">
        <f t="shared" si="110"/>
        <v>0</v>
      </c>
    </row>
    <row r="362" spans="1:54" ht="15" x14ac:dyDescent="0.25">
      <c r="T362" s="483"/>
      <c r="BB362" s="463">
        <f t="shared" si="110"/>
        <v>0</v>
      </c>
    </row>
    <row r="363" spans="1:54" ht="15" x14ac:dyDescent="0.25">
      <c r="T363" s="483"/>
      <c r="BB363" s="463">
        <f t="shared" si="110"/>
        <v>0</v>
      </c>
    </row>
    <row r="364" spans="1:54" ht="15" x14ac:dyDescent="0.25">
      <c r="T364" s="483"/>
      <c r="BB364" s="463">
        <f t="shared" si="110"/>
        <v>0</v>
      </c>
    </row>
    <row r="365" spans="1:54" ht="14.25" x14ac:dyDescent="0.25">
      <c r="T365" s="483"/>
    </row>
    <row r="366" spans="1:54" ht="14.25" x14ac:dyDescent="0.25">
      <c r="T366" s="483"/>
    </row>
    <row r="370" spans="4:17" x14ac:dyDescent="0.25">
      <c r="D370" s="358" t="s">
        <v>75</v>
      </c>
      <c r="J370" s="518"/>
      <c r="K370" s="518"/>
      <c r="L370" s="518"/>
      <c r="M370" s="518"/>
      <c r="N370" s="518"/>
      <c r="O370" s="518"/>
      <c r="P370" s="518"/>
      <c r="Q370" s="518"/>
    </row>
  </sheetData>
  <autoFilter ref="A8:AY354" xr:uid="{00000000-0009-0000-0000-000002000000}"/>
  <dataConsolidate/>
  <mergeCells count="5">
    <mergeCell ref="AA3:AC6"/>
    <mergeCell ref="A7:Z7"/>
    <mergeCell ref="D5:J5"/>
    <mergeCell ref="H3:L3"/>
    <mergeCell ref="H2:L2"/>
  </mergeCells>
  <conditionalFormatting sqref="S42 S224:S225 S220 S251 S321:S326 S340:S352 S254:S255 S328:S330 S136 S257:S277">
    <cfRule type="cellIs" dxfId="1761" priority="6173" operator="equal">
      <formula>"Submitted Pending Approval"</formula>
    </cfRule>
    <cfRule type="cellIs" dxfId="1760" priority="6174" operator="equal">
      <formula>"Approved"</formula>
    </cfRule>
  </conditionalFormatting>
  <conditionalFormatting sqref="S42 S224:S225 S220 S251 S321:S326 S340:S352 S254:S255 S328:S330 S136 S257:S277">
    <cfRule type="cellIs" dxfId="1759" priority="6071" operator="equal">
      <formula>"Submitted Pending Approval"</formula>
    </cfRule>
    <cfRule type="cellIs" dxfId="1758" priority="6072" operator="equal">
      <formula>"No Action / Withdrawn"</formula>
    </cfRule>
    <cfRule type="cellIs" dxfId="1757" priority="6073" operator="equal">
      <formula>"Identified Not Submitted"</formula>
    </cfRule>
  </conditionalFormatting>
  <conditionalFormatting sqref="S42 S224:S225 S220 S251 S321:S326 S340:S352 S254:S255 S328:S330 S136 S257:S277">
    <cfRule type="cellIs" dxfId="1756" priority="6064" operator="equal">
      <formula>"No Action / Withdrawn"</formula>
    </cfRule>
    <cfRule type="cellIs" dxfId="1755" priority="6065" operator="equal">
      <formula>"Withdrawn"</formula>
    </cfRule>
  </conditionalFormatting>
  <conditionalFormatting sqref="S17:S18 S20:S21">
    <cfRule type="cellIs" dxfId="1754" priority="5364" operator="equal">
      <formula>"Submitted Pending Approval"</formula>
    </cfRule>
    <cfRule type="cellIs" dxfId="1753" priority="5365" operator="equal">
      <formula>"No Action / Withdrawn"</formula>
    </cfRule>
    <cfRule type="cellIs" dxfId="1752" priority="5366" operator="equal">
      <formula>"Identified Not Submitted"</formula>
    </cfRule>
  </conditionalFormatting>
  <conditionalFormatting sqref="S17:S18 S20:S21">
    <cfRule type="cellIs" dxfId="1751" priority="5362" operator="equal">
      <formula>"No Action / Withdrawn"</formula>
    </cfRule>
    <cfRule type="cellIs" dxfId="1750" priority="5363" operator="equal">
      <formula>"Withdrawn"</formula>
    </cfRule>
  </conditionalFormatting>
  <conditionalFormatting sqref="S17:S18 S20:S21">
    <cfRule type="cellIs" dxfId="1749" priority="5367" operator="equal">
      <formula>"Submitted Pending Approval"</formula>
    </cfRule>
    <cfRule type="cellIs" dxfId="1748" priority="5368" operator="equal">
      <formula>"Approved"</formula>
    </cfRule>
  </conditionalFormatting>
  <conditionalFormatting sqref="S3:S8 S72 S334 S358:S1048576 S353:S354 S321:S322 S328 S136">
    <cfRule type="containsText" dxfId="1747" priority="5383" operator="containsText" text="Partially Approved">
      <formula>NOT(ISERROR(SEARCH("Partially Approved",S3)))</formula>
    </cfRule>
    <cfRule type="containsText" dxfId="1746" priority="5384" operator="containsText" text="Approved">
      <formula>NOT(ISERROR(SEARCH("Approved",S3)))</formula>
    </cfRule>
  </conditionalFormatting>
  <conditionalFormatting sqref="S11">
    <cfRule type="cellIs" dxfId="1745" priority="5381" operator="equal">
      <formula>"Submitted Pending Approval"</formula>
    </cfRule>
    <cfRule type="cellIs" dxfId="1744" priority="5382" operator="equal">
      <formula>"Approved"</formula>
    </cfRule>
  </conditionalFormatting>
  <conditionalFormatting sqref="S11">
    <cfRule type="cellIs" dxfId="1743" priority="5378" operator="equal">
      <formula>"Submitted Pending Approval"</formula>
    </cfRule>
    <cfRule type="cellIs" dxfId="1742" priority="5379" operator="equal">
      <formula>"No Action / Withdrawn"</formula>
    </cfRule>
    <cfRule type="cellIs" dxfId="1741" priority="5380" operator="equal">
      <formula>"Identified Not Submitted"</formula>
    </cfRule>
  </conditionalFormatting>
  <conditionalFormatting sqref="S11">
    <cfRule type="cellIs" dxfId="1740" priority="5376" operator="equal">
      <formula>"No Action / Withdrawn"</formula>
    </cfRule>
    <cfRule type="cellIs" dxfId="1739" priority="5377" operator="equal">
      <formula>"Withdrawn"</formula>
    </cfRule>
  </conditionalFormatting>
  <conditionalFormatting sqref="S12:S15">
    <cfRule type="cellIs" dxfId="1738" priority="5374" operator="equal">
      <formula>"Submitted Pending Approval"</formula>
    </cfRule>
    <cfRule type="cellIs" dxfId="1737" priority="5375" operator="equal">
      <formula>"Approved"</formula>
    </cfRule>
  </conditionalFormatting>
  <conditionalFormatting sqref="S12:S15">
    <cfRule type="cellIs" dxfId="1736" priority="5371" operator="equal">
      <formula>"Submitted Pending Approval"</formula>
    </cfRule>
    <cfRule type="cellIs" dxfId="1735" priority="5372" operator="equal">
      <formula>"No Action / Withdrawn"</formula>
    </cfRule>
    <cfRule type="cellIs" dxfId="1734" priority="5373" operator="equal">
      <formula>"Identified Not Submitted"</formula>
    </cfRule>
  </conditionalFormatting>
  <conditionalFormatting sqref="S12:S15">
    <cfRule type="cellIs" dxfId="1733" priority="5369" operator="equal">
      <formula>"No Action / Withdrawn"</formula>
    </cfRule>
    <cfRule type="cellIs" dxfId="1732" priority="5370" operator="equal">
      <formula>"Withdrawn"</formula>
    </cfRule>
  </conditionalFormatting>
  <conditionalFormatting sqref="S16">
    <cfRule type="cellIs" dxfId="1731" priority="5360" operator="equal">
      <formula>"Submitted Pending Approval"</formula>
    </cfRule>
    <cfRule type="cellIs" dxfId="1730" priority="5361" operator="equal">
      <formula>"Approved"</formula>
    </cfRule>
  </conditionalFormatting>
  <conditionalFormatting sqref="S16">
    <cfRule type="cellIs" dxfId="1729" priority="5357" operator="equal">
      <formula>"Submitted Pending Approval"</formula>
    </cfRule>
    <cfRule type="cellIs" dxfId="1728" priority="5358" operator="equal">
      <formula>"No Action / Withdrawn"</formula>
    </cfRule>
    <cfRule type="cellIs" dxfId="1727" priority="5359" operator="equal">
      <formula>"Identified Not Submitted"</formula>
    </cfRule>
  </conditionalFormatting>
  <conditionalFormatting sqref="S16">
    <cfRule type="cellIs" dxfId="1726" priority="5355" operator="equal">
      <formula>"No Action / Withdrawn"</formula>
    </cfRule>
    <cfRule type="cellIs" dxfId="1725" priority="5356" operator="equal">
      <formula>"Withdrawn"</formula>
    </cfRule>
  </conditionalFormatting>
  <conditionalFormatting sqref="S21">
    <cfRule type="cellIs" dxfId="1724" priority="5353" operator="equal">
      <formula>"Submitted Pending Approval"</formula>
    </cfRule>
    <cfRule type="cellIs" dxfId="1723" priority="5354" operator="equal">
      <formula>"Approved"</formula>
    </cfRule>
  </conditionalFormatting>
  <conditionalFormatting sqref="S21">
    <cfRule type="cellIs" dxfId="1722" priority="5350" operator="equal">
      <formula>"Submitted Pending Approval"</formula>
    </cfRule>
    <cfRule type="cellIs" dxfId="1721" priority="5351" operator="equal">
      <formula>"No Action / Withdrawn"</formula>
    </cfRule>
    <cfRule type="cellIs" dxfId="1720" priority="5352" operator="equal">
      <formula>"Identified Not Submitted"</formula>
    </cfRule>
  </conditionalFormatting>
  <conditionalFormatting sqref="S21">
    <cfRule type="cellIs" dxfId="1719" priority="5348" operator="equal">
      <formula>"No Action / Withdrawn"</formula>
    </cfRule>
    <cfRule type="cellIs" dxfId="1718" priority="5349" operator="equal">
      <formula>"Withdrawn"</formula>
    </cfRule>
  </conditionalFormatting>
  <conditionalFormatting sqref="S43">
    <cfRule type="cellIs" dxfId="1717" priority="5199" operator="equal">
      <formula>"Submitted Pending Approval"</formula>
    </cfRule>
    <cfRule type="cellIs" dxfId="1716" priority="5200" operator="equal">
      <formula>"Approved"</formula>
    </cfRule>
  </conditionalFormatting>
  <conditionalFormatting sqref="S43">
    <cfRule type="cellIs" dxfId="1715" priority="5196" operator="equal">
      <formula>"Submitted Pending Approval"</formula>
    </cfRule>
    <cfRule type="cellIs" dxfId="1714" priority="5197" operator="equal">
      <formula>"No Action / Withdrawn"</formula>
    </cfRule>
    <cfRule type="cellIs" dxfId="1713" priority="5198" operator="equal">
      <formula>"Identified Not Submitted"</formula>
    </cfRule>
  </conditionalFormatting>
  <conditionalFormatting sqref="S43">
    <cfRule type="cellIs" dxfId="1712" priority="5194" operator="equal">
      <formula>"No Action / Withdrawn"</formula>
    </cfRule>
    <cfRule type="cellIs" dxfId="1711" priority="5195" operator="equal">
      <formula>"Withdrawn"</formula>
    </cfRule>
  </conditionalFormatting>
  <conditionalFormatting sqref="S46 S48">
    <cfRule type="cellIs" dxfId="1710" priority="5178" operator="equal">
      <formula>"Submitted Pending Approval"</formula>
    </cfRule>
    <cfRule type="cellIs" dxfId="1709" priority="5179" operator="equal">
      <formula>"Approved"</formula>
    </cfRule>
  </conditionalFormatting>
  <conditionalFormatting sqref="S46 S48">
    <cfRule type="cellIs" dxfId="1708" priority="5175" operator="equal">
      <formula>"Submitted Pending Approval"</formula>
    </cfRule>
    <cfRule type="cellIs" dxfId="1707" priority="5176" operator="equal">
      <formula>"No Action / Withdrawn"</formula>
    </cfRule>
    <cfRule type="cellIs" dxfId="1706" priority="5177" operator="equal">
      <formula>"Identified Not Submitted"</formula>
    </cfRule>
  </conditionalFormatting>
  <conditionalFormatting sqref="S46 S48">
    <cfRule type="cellIs" dxfId="1705" priority="5173" operator="equal">
      <formula>"No Action / Withdrawn"</formula>
    </cfRule>
    <cfRule type="cellIs" dxfId="1704" priority="5174" operator="equal">
      <formula>"Withdrawn"</formula>
    </cfRule>
  </conditionalFormatting>
  <conditionalFormatting sqref="S85">
    <cfRule type="cellIs" dxfId="1703" priority="4809" operator="equal">
      <formula>"Submitted Pending Approval"</formula>
    </cfRule>
    <cfRule type="cellIs" dxfId="1702" priority="4810" operator="equal">
      <formula>"Approved"</formula>
    </cfRule>
  </conditionalFormatting>
  <conditionalFormatting sqref="S85">
    <cfRule type="cellIs" dxfId="1701" priority="4806" operator="equal">
      <formula>"Submitted Pending Approval"</formula>
    </cfRule>
    <cfRule type="cellIs" dxfId="1700" priority="4807" operator="equal">
      <formula>"No Action / Withdrawn"</formula>
    </cfRule>
    <cfRule type="cellIs" dxfId="1699" priority="4808" operator="equal">
      <formula>"Identified Not Submitted"</formula>
    </cfRule>
  </conditionalFormatting>
  <conditionalFormatting sqref="S85">
    <cfRule type="cellIs" dxfId="1698" priority="4804" operator="equal">
      <formula>"No Action / Withdrawn"</formula>
    </cfRule>
    <cfRule type="cellIs" dxfId="1697" priority="4805" operator="equal">
      <formula>"Withdrawn"</formula>
    </cfRule>
  </conditionalFormatting>
  <conditionalFormatting sqref="S44">
    <cfRule type="cellIs" dxfId="1696" priority="5192" operator="equal">
      <formula>"Submitted Pending Approval"</formula>
    </cfRule>
    <cfRule type="cellIs" dxfId="1695" priority="5193" operator="equal">
      <formula>"Approved"</formula>
    </cfRule>
  </conditionalFormatting>
  <conditionalFormatting sqref="S44">
    <cfRule type="cellIs" dxfId="1694" priority="5189" operator="equal">
      <formula>"Submitted Pending Approval"</formula>
    </cfRule>
    <cfRule type="cellIs" dxfId="1693" priority="5190" operator="equal">
      <formula>"No Action / Withdrawn"</formula>
    </cfRule>
    <cfRule type="cellIs" dxfId="1692" priority="5191" operator="equal">
      <formula>"Identified Not Submitted"</formula>
    </cfRule>
  </conditionalFormatting>
  <conditionalFormatting sqref="S44">
    <cfRule type="cellIs" dxfId="1691" priority="5187" operator="equal">
      <formula>"No Action / Withdrawn"</formula>
    </cfRule>
    <cfRule type="cellIs" dxfId="1690" priority="5188" operator="equal">
      <formula>"Withdrawn"</formula>
    </cfRule>
  </conditionalFormatting>
  <conditionalFormatting sqref="S47">
    <cfRule type="cellIs" dxfId="1689" priority="5171" operator="equal">
      <formula>"Submitted Pending Approval"</formula>
    </cfRule>
    <cfRule type="cellIs" dxfId="1688" priority="5172" operator="equal">
      <formula>"Approved"</formula>
    </cfRule>
  </conditionalFormatting>
  <conditionalFormatting sqref="S47">
    <cfRule type="cellIs" dxfId="1687" priority="5168" operator="equal">
      <formula>"Submitted Pending Approval"</formula>
    </cfRule>
    <cfRule type="cellIs" dxfId="1686" priority="5169" operator="equal">
      <formula>"No Action / Withdrawn"</formula>
    </cfRule>
    <cfRule type="cellIs" dxfId="1685" priority="5170" operator="equal">
      <formula>"Identified Not Submitted"</formula>
    </cfRule>
  </conditionalFormatting>
  <conditionalFormatting sqref="S47">
    <cfRule type="cellIs" dxfId="1684" priority="5166" operator="equal">
      <formula>"No Action / Withdrawn"</formula>
    </cfRule>
    <cfRule type="cellIs" dxfId="1683" priority="5167" operator="equal">
      <formula>"Withdrawn"</formula>
    </cfRule>
  </conditionalFormatting>
  <conditionalFormatting sqref="S45">
    <cfRule type="cellIs" dxfId="1682" priority="5185" operator="equal">
      <formula>"Submitted Pending Approval"</formula>
    </cfRule>
    <cfRule type="cellIs" dxfId="1681" priority="5186" operator="equal">
      <formula>"Approved"</formula>
    </cfRule>
  </conditionalFormatting>
  <conditionalFormatting sqref="S45">
    <cfRule type="cellIs" dxfId="1680" priority="5182" operator="equal">
      <formula>"Submitted Pending Approval"</formula>
    </cfRule>
    <cfRule type="cellIs" dxfId="1679" priority="5183" operator="equal">
      <formula>"No Action / Withdrawn"</formula>
    </cfRule>
    <cfRule type="cellIs" dxfId="1678" priority="5184" operator="equal">
      <formula>"Identified Not Submitted"</formula>
    </cfRule>
  </conditionalFormatting>
  <conditionalFormatting sqref="S45">
    <cfRule type="cellIs" dxfId="1677" priority="5180" operator="equal">
      <formula>"No Action / Withdrawn"</formula>
    </cfRule>
    <cfRule type="cellIs" dxfId="1676" priority="5181" operator="equal">
      <formula>"Withdrawn"</formula>
    </cfRule>
  </conditionalFormatting>
  <conditionalFormatting sqref="S49">
    <cfRule type="cellIs" dxfId="1675" priority="5164" operator="equal">
      <formula>"Submitted Pending Approval"</formula>
    </cfRule>
    <cfRule type="cellIs" dxfId="1674" priority="5165" operator="equal">
      <formula>"Approved"</formula>
    </cfRule>
  </conditionalFormatting>
  <conditionalFormatting sqref="S49">
    <cfRule type="cellIs" dxfId="1673" priority="5161" operator="equal">
      <formula>"Submitted Pending Approval"</formula>
    </cfRule>
    <cfRule type="cellIs" dxfId="1672" priority="5162" operator="equal">
      <formula>"No Action / Withdrawn"</formula>
    </cfRule>
    <cfRule type="cellIs" dxfId="1671" priority="5163" operator="equal">
      <formula>"Identified Not Submitted"</formula>
    </cfRule>
  </conditionalFormatting>
  <conditionalFormatting sqref="S49">
    <cfRule type="cellIs" dxfId="1670" priority="5159" operator="equal">
      <formula>"No Action / Withdrawn"</formula>
    </cfRule>
    <cfRule type="cellIs" dxfId="1669" priority="5160" operator="equal">
      <formula>"Withdrawn"</formula>
    </cfRule>
  </conditionalFormatting>
  <conditionalFormatting sqref="S93">
    <cfRule type="cellIs" dxfId="1668" priority="4802" operator="equal">
      <formula>"Submitted Pending Approval"</formula>
    </cfRule>
    <cfRule type="cellIs" dxfId="1667" priority="4803" operator="equal">
      <formula>"Approved"</formula>
    </cfRule>
  </conditionalFormatting>
  <conditionalFormatting sqref="S93">
    <cfRule type="cellIs" dxfId="1666" priority="4799" operator="equal">
      <formula>"Submitted Pending Approval"</formula>
    </cfRule>
    <cfRule type="cellIs" dxfId="1665" priority="4800" operator="equal">
      <formula>"No Action / Withdrawn"</formula>
    </cfRule>
    <cfRule type="cellIs" dxfId="1664" priority="4801" operator="equal">
      <formula>"Identified Not Submitted"</formula>
    </cfRule>
  </conditionalFormatting>
  <conditionalFormatting sqref="S93">
    <cfRule type="cellIs" dxfId="1663" priority="4797" operator="equal">
      <formula>"No Action / Withdrawn"</formula>
    </cfRule>
    <cfRule type="cellIs" dxfId="1662" priority="4798" operator="equal">
      <formula>"Withdrawn"</formula>
    </cfRule>
  </conditionalFormatting>
  <conditionalFormatting sqref="S38:S39 S41">
    <cfRule type="cellIs" dxfId="1661" priority="5213" operator="equal">
      <formula>"Submitted Pending Approval"</formula>
    </cfRule>
    <cfRule type="cellIs" dxfId="1660" priority="5214" operator="equal">
      <formula>"Approved"</formula>
    </cfRule>
  </conditionalFormatting>
  <conditionalFormatting sqref="S38:S39 S41">
    <cfRule type="cellIs" dxfId="1659" priority="5210" operator="equal">
      <formula>"Submitted Pending Approval"</formula>
    </cfRule>
    <cfRule type="cellIs" dxfId="1658" priority="5211" operator="equal">
      <formula>"No Action / Withdrawn"</formula>
    </cfRule>
    <cfRule type="cellIs" dxfId="1657" priority="5212" operator="equal">
      <formula>"Identified Not Submitted"</formula>
    </cfRule>
  </conditionalFormatting>
  <conditionalFormatting sqref="S38:S39 S41">
    <cfRule type="cellIs" dxfId="1656" priority="5208" operator="equal">
      <formula>"No Action / Withdrawn"</formula>
    </cfRule>
    <cfRule type="cellIs" dxfId="1655" priority="5209" operator="equal">
      <formula>"Withdrawn"</formula>
    </cfRule>
  </conditionalFormatting>
  <conditionalFormatting sqref="S52">
    <cfRule type="cellIs" dxfId="1654" priority="5087" operator="equal">
      <formula>"Submitted Pending Approval"</formula>
    </cfRule>
    <cfRule type="cellIs" dxfId="1653" priority="5088" operator="equal">
      <formula>"Approved"</formula>
    </cfRule>
  </conditionalFormatting>
  <conditionalFormatting sqref="S52">
    <cfRule type="cellIs" dxfId="1652" priority="5084" operator="equal">
      <formula>"Submitted Pending Approval"</formula>
    </cfRule>
    <cfRule type="cellIs" dxfId="1651" priority="5085" operator="equal">
      <formula>"No Action / Withdrawn"</formula>
    </cfRule>
    <cfRule type="cellIs" dxfId="1650" priority="5086" operator="equal">
      <formula>"Identified Not Submitted"</formula>
    </cfRule>
  </conditionalFormatting>
  <conditionalFormatting sqref="S52">
    <cfRule type="cellIs" dxfId="1649" priority="5082" operator="equal">
      <formula>"No Action / Withdrawn"</formula>
    </cfRule>
    <cfRule type="cellIs" dxfId="1648" priority="5083" operator="equal">
      <formula>"Withdrawn"</formula>
    </cfRule>
  </conditionalFormatting>
  <conditionalFormatting sqref="S110:S114 S107 S118:S119">
    <cfRule type="cellIs" dxfId="1647" priority="4767" operator="equal">
      <formula>"Submitted Pending Approval"</formula>
    </cfRule>
    <cfRule type="cellIs" dxfId="1646" priority="4768" operator="equal">
      <formula>"Approved"</formula>
    </cfRule>
  </conditionalFormatting>
  <conditionalFormatting sqref="S110:S114 S107 S118:S119">
    <cfRule type="cellIs" dxfId="1645" priority="4764" operator="equal">
      <formula>"Submitted Pending Approval"</formula>
    </cfRule>
    <cfRule type="cellIs" dxfId="1644" priority="4765" operator="equal">
      <formula>"No Action / Withdrawn"</formula>
    </cfRule>
    <cfRule type="cellIs" dxfId="1643" priority="4766" operator="equal">
      <formula>"Identified Not Submitted"</formula>
    </cfRule>
  </conditionalFormatting>
  <conditionalFormatting sqref="S110:S114 S107 S118:S119">
    <cfRule type="cellIs" dxfId="1642" priority="4762" operator="equal">
      <formula>"No Action / Withdrawn"</formula>
    </cfRule>
    <cfRule type="cellIs" dxfId="1641" priority="4763" operator="equal">
      <formula>"Withdrawn"</formula>
    </cfRule>
  </conditionalFormatting>
  <conditionalFormatting sqref="S105">
    <cfRule type="cellIs" dxfId="1640" priority="4760" operator="equal">
      <formula>"Submitted Pending Approval"</formula>
    </cfRule>
    <cfRule type="cellIs" dxfId="1639" priority="4761" operator="equal">
      <formula>"Approved"</formula>
    </cfRule>
  </conditionalFormatting>
  <conditionalFormatting sqref="S105">
    <cfRule type="cellIs" dxfId="1638" priority="4757" operator="equal">
      <formula>"Submitted Pending Approval"</formula>
    </cfRule>
    <cfRule type="cellIs" dxfId="1637" priority="4758" operator="equal">
      <formula>"No Action / Withdrawn"</formula>
    </cfRule>
    <cfRule type="cellIs" dxfId="1636" priority="4759" operator="equal">
      <formula>"Identified Not Submitted"</formula>
    </cfRule>
  </conditionalFormatting>
  <conditionalFormatting sqref="S105">
    <cfRule type="cellIs" dxfId="1635" priority="4755" operator="equal">
      <formula>"No Action / Withdrawn"</formula>
    </cfRule>
    <cfRule type="cellIs" dxfId="1634" priority="4756" operator="equal">
      <formula>"Withdrawn"</formula>
    </cfRule>
  </conditionalFormatting>
  <conditionalFormatting sqref="S47:S50">
    <cfRule type="cellIs" dxfId="1633" priority="5122" operator="equal">
      <formula>"Submitted Pending Approval"</formula>
    </cfRule>
    <cfRule type="cellIs" dxfId="1632" priority="5123" operator="equal">
      <formula>"Approved"</formula>
    </cfRule>
  </conditionalFormatting>
  <conditionalFormatting sqref="S47:S50">
    <cfRule type="cellIs" dxfId="1631" priority="5119" operator="equal">
      <formula>"Submitted Pending Approval"</formula>
    </cfRule>
    <cfRule type="cellIs" dxfId="1630" priority="5120" operator="equal">
      <formula>"No Action / Withdrawn"</formula>
    </cfRule>
    <cfRule type="cellIs" dxfId="1629" priority="5121" operator="equal">
      <formula>"Identified Not Submitted"</formula>
    </cfRule>
  </conditionalFormatting>
  <conditionalFormatting sqref="S47:S50">
    <cfRule type="cellIs" dxfId="1628" priority="5117" operator="equal">
      <formula>"No Action / Withdrawn"</formula>
    </cfRule>
    <cfRule type="cellIs" dxfId="1627" priority="5118" operator="equal">
      <formula>"Withdrawn"</formula>
    </cfRule>
  </conditionalFormatting>
  <conditionalFormatting sqref="S50">
    <cfRule type="cellIs" dxfId="1626" priority="5108" operator="equal">
      <formula>"Submitted Pending Approval"</formula>
    </cfRule>
    <cfRule type="cellIs" dxfId="1625" priority="5109" operator="equal">
      <formula>"Approved"</formula>
    </cfRule>
  </conditionalFormatting>
  <conditionalFormatting sqref="S50">
    <cfRule type="cellIs" dxfId="1624" priority="5105" operator="equal">
      <formula>"Submitted Pending Approval"</formula>
    </cfRule>
    <cfRule type="cellIs" dxfId="1623" priority="5106" operator="equal">
      <formula>"No Action / Withdrawn"</formula>
    </cfRule>
    <cfRule type="cellIs" dxfId="1622" priority="5107" operator="equal">
      <formula>"Identified Not Submitted"</formula>
    </cfRule>
  </conditionalFormatting>
  <conditionalFormatting sqref="S50">
    <cfRule type="cellIs" dxfId="1621" priority="5103" operator="equal">
      <formula>"No Action / Withdrawn"</formula>
    </cfRule>
    <cfRule type="cellIs" dxfId="1620" priority="5104" operator="equal">
      <formula>"Withdrawn"</formula>
    </cfRule>
  </conditionalFormatting>
  <conditionalFormatting sqref="S51">
    <cfRule type="cellIs" dxfId="1619" priority="5094" operator="equal">
      <formula>"Submitted Pending Approval"</formula>
    </cfRule>
    <cfRule type="cellIs" dxfId="1618" priority="5095" operator="equal">
      <formula>"Approved"</formula>
    </cfRule>
  </conditionalFormatting>
  <conditionalFormatting sqref="S51">
    <cfRule type="cellIs" dxfId="1617" priority="5091" operator="equal">
      <formula>"Submitted Pending Approval"</formula>
    </cfRule>
    <cfRule type="cellIs" dxfId="1616" priority="5092" operator="equal">
      <formula>"No Action / Withdrawn"</formula>
    </cfRule>
    <cfRule type="cellIs" dxfId="1615" priority="5093" operator="equal">
      <formula>"Identified Not Submitted"</formula>
    </cfRule>
  </conditionalFormatting>
  <conditionalFormatting sqref="S51">
    <cfRule type="cellIs" dxfId="1614" priority="5089" operator="equal">
      <formula>"No Action / Withdrawn"</formula>
    </cfRule>
    <cfRule type="cellIs" dxfId="1613" priority="5090" operator="equal">
      <formula>"Withdrawn"</formula>
    </cfRule>
  </conditionalFormatting>
  <conditionalFormatting sqref="S53">
    <cfRule type="cellIs" dxfId="1612" priority="5080" operator="equal">
      <formula>"Submitted Pending Approval"</formula>
    </cfRule>
    <cfRule type="cellIs" dxfId="1611" priority="5081" operator="equal">
      <formula>"Approved"</formula>
    </cfRule>
  </conditionalFormatting>
  <conditionalFormatting sqref="S53">
    <cfRule type="cellIs" dxfId="1610" priority="5077" operator="equal">
      <formula>"Submitted Pending Approval"</formula>
    </cfRule>
    <cfRule type="cellIs" dxfId="1609" priority="5078" operator="equal">
      <formula>"No Action / Withdrawn"</formula>
    </cfRule>
    <cfRule type="cellIs" dxfId="1608" priority="5079" operator="equal">
      <formula>"Identified Not Submitted"</formula>
    </cfRule>
  </conditionalFormatting>
  <conditionalFormatting sqref="S53">
    <cfRule type="cellIs" dxfId="1607" priority="5075" operator="equal">
      <formula>"No Action / Withdrawn"</formula>
    </cfRule>
    <cfRule type="cellIs" dxfId="1606" priority="5076" operator="equal">
      <formula>"Withdrawn"</formula>
    </cfRule>
  </conditionalFormatting>
  <conditionalFormatting sqref="S65">
    <cfRule type="cellIs" dxfId="1605" priority="4949" operator="equal">
      <formula>"Submitted Pending Approval"</formula>
    </cfRule>
    <cfRule type="cellIs" dxfId="1604" priority="4950" operator="equal">
      <formula>"Approved"</formula>
    </cfRule>
  </conditionalFormatting>
  <conditionalFormatting sqref="S65">
    <cfRule type="cellIs" dxfId="1603" priority="4946" operator="equal">
      <formula>"Submitted Pending Approval"</formula>
    </cfRule>
    <cfRule type="cellIs" dxfId="1602" priority="4947" operator="equal">
      <formula>"No Action / Withdrawn"</formula>
    </cfRule>
    <cfRule type="cellIs" dxfId="1601" priority="4948" operator="equal">
      <formula>"Identified Not Submitted"</formula>
    </cfRule>
  </conditionalFormatting>
  <conditionalFormatting sqref="S65">
    <cfRule type="cellIs" dxfId="1600" priority="4944" operator="equal">
      <formula>"No Action / Withdrawn"</formula>
    </cfRule>
    <cfRule type="cellIs" dxfId="1599" priority="4945" operator="equal">
      <formula>"Withdrawn"</formula>
    </cfRule>
  </conditionalFormatting>
  <conditionalFormatting sqref="S68">
    <cfRule type="cellIs" dxfId="1598" priority="4942" operator="equal">
      <formula>"Submitted Pending Approval"</formula>
    </cfRule>
    <cfRule type="cellIs" dxfId="1597" priority="4943" operator="equal">
      <formula>"Approved"</formula>
    </cfRule>
  </conditionalFormatting>
  <conditionalFormatting sqref="S57:S58">
    <cfRule type="cellIs" dxfId="1596" priority="5012" operator="equal">
      <formula>"Submitted Pending Approval"</formula>
    </cfRule>
    <cfRule type="cellIs" dxfId="1595" priority="5013" operator="equal">
      <formula>"Approved"</formula>
    </cfRule>
  </conditionalFormatting>
  <conditionalFormatting sqref="S57:S58">
    <cfRule type="cellIs" dxfId="1594" priority="5009" operator="equal">
      <formula>"Submitted Pending Approval"</formula>
    </cfRule>
    <cfRule type="cellIs" dxfId="1593" priority="5010" operator="equal">
      <formula>"No Action / Withdrawn"</formula>
    </cfRule>
    <cfRule type="cellIs" dxfId="1592" priority="5011" operator="equal">
      <formula>"Identified Not Submitted"</formula>
    </cfRule>
  </conditionalFormatting>
  <conditionalFormatting sqref="S57:S58">
    <cfRule type="cellIs" dxfId="1591" priority="5007" operator="equal">
      <formula>"No Action / Withdrawn"</formula>
    </cfRule>
    <cfRule type="cellIs" dxfId="1590" priority="5008" operator="equal">
      <formula>"Withdrawn"</formula>
    </cfRule>
  </conditionalFormatting>
  <conditionalFormatting sqref="S84">
    <cfRule type="cellIs" dxfId="1589" priority="4893" operator="equal">
      <formula>"Submitted Pending Approval"</formula>
    </cfRule>
    <cfRule type="cellIs" dxfId="1588" priority="4894" operator="equal">
      <formula>"Approved"</formula>
    </cfRule>
  </conditionalFormatting>
  <conditionalFormatting sqref="S84">
    <cfRule type="cellIs" dxfId="1587" priority="4890" operator="equal">
      <formula>"Submitted Pending Approval"</formula>
    </cfRule>
    <cfRule type="cellIs" dxfId="1586" priority="4891" operator="equal">
      <formula>"No Action / Withdrawn"</formula>
    </cfRule>
    <cfRule type="cellIs" dxfId="1585" priority="4892" operator="equal">
      <formula>"Identified Not Submitted"</formula>
    </cfRule>
  </conditionalFormatting>
  <conditionalFormatting sqref="S84">
    <cfRule type="cellIs" dxfId="1584" priority="4888" operator="equal">
      <formula>"No Action / Withdrawn"</formula>
    </cfRule>
    <cfRule type="cellIs" dxfId="1583" priority="4889" operator="equal">
      <formula>"Withdrawn"</formula>
    </cfRule>
  </conditionalFormatting>
  <conditionalFormatting sqref="S55">
    <cfRule type="cellIs" dxfId="1582" priority="4998" operator="equal">
      <formula>"Submitted Pending Approval"</formula>
    </cfRule>
    <cfRule type="cellIs" dxfId="1581" priority="4999" operator="equal">
      <formula>"Approved"</formula>
    </cfRule>
  </conditionalFormatting>
  <conditionalFormatting sqref="S55">
    <cfRule type="cellIs" dxfId="1580" priority="4995" operator="equal">
      <formula>"Submitted Pending Approval"</formula>
    </cfRule>
    <cfRule type="cellIs" dxfId="1579" priority="4996" operator="equal">
      <formula>"No Action / Withdrawn"</formula>
    </cfRule>
    <cfRule type="cellIs" dxfId="1578" priority="4997" operator="equal">
      <formula>"Identified Not Submitted"</formula>
    </cfRule>
  </conditionalFormatting>
  <conditionalFormatting sqref="S55">
    <cfRule type="cellIs" dxfId="1577" priority="4993" operator="equal">
      <formula>"No Action / Withdrawn"</formula>
    </cfRule>
    <cfRule type="cellIs" dxfId="1576" priority="4994" operator="equal">
      <formula>"Withdrawn"</formula>
    </cfRule>
  </conditionalFormatting>
  <conditionalFormatting sqref="S26 S22:S23 S32:S35">
    <cfRule type="cellIs" dxfId="1575" priority="4879" operator="equal">
      <formula>"Submitted Pending Approval"</formula>
    </cfRule>
    <cfRule type="cellIs" dxfId="1574" priority="4880" operator="equal">
      <formula>"Approved"</formula>
    </cfRule>
  </conditionalFormatting>
  <conditionalFormatting sqref="S26 S22:S23 S32:S35">
    <cfRule type="cellIs" dxfId="1573" priority="4876" operator="equal">
      <formula>"Submitted Pending Approval"</formula>
    </cfRule>
    <cfRule type="cellIs" dxfId="1572" priority="4877" operator="equal">
      <formula>"No Action / Withdrawn"</formula>
    </cfRule>
    <cfRule type="cellIs" dxfId="1571" priority="4878" operator="equal">
      <formula>"Identified Not Submitted"</formula>
    </cfRule>
  </conditionalFormatting>
  <conditionalFormatting sqref="S26 S22:S23 S32:S35">
    <cfRule type="cellIs" dxfId="1570" priority="4874" operator="equal">
      <formula>"No Action / Withdrawn"</formula>
    </cfRule>
    <cfRule type="cellIs" dxfId="1569" priority="4875" operator="equal">
      <formula>"Withdrawn"</formula>
    </cfRule>
  </conditionalFormatting>
  <conditionalFormatting sqref="S60">
    <cfRule type="cellIs" dxfId="1568" priority="4977" operator="equal">
      <formula>"Submitted Pending Approval"</formula>
    </cfRule>
    <cfRule type="cellIs" dxfId="1567" priority="4978" operator="equal">
      <formula>"Approved"</formula>
    </cfRule>
  </conditionalFormatting>
  <conditionalFormatting sqref="S60">
    <cfRule type="cellIs" dxfId="1566" priority="4974" operator="equal">
      <formula>"Submitted Pending Approval"</formula>
    </cfRule>
    <cfRule type="cellIs" dxfId="1565" priority="4975" operator="equal">
      <formula>"No Action / Withdrawn"</formula>
    </cfRule>
    <cfRule type="cellIs" dxfId="1564" priority="4976" operator="equal">
      <formula>"Identified Not Submitted"</formula>
    </cfRule>
  </conditionalFormatting>
  <conditionalFormatting sqref="S60">
    <cfRule type="cellIs" dxfId="1563" priority="4972" operator="equal">
      <formula>"No Action / Withdrawn"</formula>
    </cfRule>
    <cfRule type="cellIs" dxfId="1562" priority="4973" operator="equal">
      <formula>"Withdrawn"</formula>
    </cfRule>
  </conditionalFormatting>
  <conditionalFormatting sqref="S61">
    <cfRule type="cellIs" dxfId="1561" priority="4970" operator="equal">
      <formula>"Submitted Pending Approval"</formula>
    </cfRule>
    <cfRule type="cellIs" dxfId="1560" priority="4971" operator="equal">
      <formula>"Approved"</formula>
    </cfRule>
  </conditionalFormatting>
  <conditionalFormatting sqref="S61">
    <cfRule type="cellIs" dxfId="1559" priority="4967" operator="equal">
      <formula>"Submitted Pending Approval"</formula>
    </cfRule>
    <cfRule type="cellIs" dxfId="1558" priority="4968" operator="equal">
      <formula>"No Action / Withdrawn"</formula>
    </cfRule>
    <cfRule type="cellIs" dxfId="1557" priority="4969" operator="equal">
      <formula>"Identified Not Submitted"</formula>
    </cfRule>
  </conditionalFormatting>
  <conditionalFormatting sqref="S61">
    <cfRule type="cellIs" dxfId="1556" priority="4965" operator="equal">
      <formula>"No Action / Withdrawn"</formula>
    </cfRule>
    <cfRule type="cellIs" dxfId="1555" priority="4966" operator="equal">
      <formula>"Withdrawn"</formula>
    </cfRule>
  </conditionalFormatting>
  <conditionalFormatting sqref="S63">
    <cfRule type="cellIs" dxfId="1554" priority="4956" operator="equal">
      <formula>"Submitted Pending Approval"</formula>
    </cfRule>
    <cfRule type="cellIs" dxfId="1553" priority="4957" operator="equal">
      <formula>"Approved"</formula>
    </cfRule>
  </conditionalFormatting>
  <conditionalFormatting sqref="S63">
    <cfRule type="cellIs" dxfId="1552" priority="4953" operator="equal">
      <formula>"Submitted Pending Approval"</formula>
    </cfRule>
    <cfRule type="cellIs" dxfId="1551" priority="4954" operator="equal">
      <formula>"No Action / Withdrawn"</formula>
    </cfRule>
    <cfRule type="cellIs" dxfId="1550" priority="4955" operator="equal">
      <formula>"Identified Not Submitted"</formula>
    </cfRule>
  </conditionalFormatting>
  <conditionalFormatting sqref="S63">
    <cfRule type="cellIs" dxfId="1549" priority="4951" operator="equal">
      <formula>"No Action / Withdrawn"</formula>
    </cfRule>
    <cfRule type="cellIs" dxfId="1548" priority="4952" operator="equal">
      <formula>"Withdrawn"</formula>
    </cfRule>
  </conditionalFormatting>
  <conditionalFormatting sqref="S68">
    <cfRule type="cellIs" dxfId="1547" priority="4939" operator="equal">
      <formula>"Submitted Pending Approval"</formula>
    </cfRule>
    <cfRule type="cellIs" dxfId="1546" priority="4940" operator="equal">
      <formula>"No Action / Withdrawn"</formula>
    </cfRule>
    <cfRule type="cellIs" dxfId="1545" priority="4941" operator="equal">
      <formula>"Identified Not Submitted"</formula>
    </cfRule>
  </conditionalFormatting>
  <conditionalFormatting sqref="S68">
    <cfRule type="cellIs" dxfId="1544" priority="4937" operator="equal">
      <formula>"No Action / Withdrawn"</formula>
    </cfRule>
    <cfRule type="cellIs" dxfId="1543" priority="4938" operator="equal">
      <formula>"Withdrawn"</formula>
    </cfRule>
  </conditionalFormatting>
  <conditionalFormatting sqref="S67">
    <cfRule type="cellIs" dxfId="1542" priority="4935" operator="equal">
      <formula>"Submitted Pending Approval"</formula>
    </cfRule>
    <cfRule type="cellIs" dxfId="1541" priority="4936" operator="equal">
      <formula>"Approved"</formula>
    </cfRule>
  </conditionalFormatting>
  <conditionalFormatting sqref="S67">
    <cfRule type="cellIs" dxfId="1540" priority="4932" operator="equal">
      <formula>"Submitted Pending Approval"</formula>
    </cfRule>
    <cfRule type="cellIs" dxfId="1539" priority="4933" operator="equal">
      <formula>"No Action / Withdrawn"</formula>
    </cfRule>
    <cfRule type="cellIs" dxfId="1538" priority="4934" operator="equal">
      <formula>"Identified Not Submitted"</formula>
    </cfRule>
  </conditionalFormatting>
  <conditionalFormatting sqref="S67">
    <cfRule type="cellIs" dxfId="1537" priority="4930" operator="equal">
      <formula>"No Action / Withdrawn"</formula>
    </cfRule>
    <cfRule type="cellIs" dxfId="1536" priority="4931" operator="equal">
      <formula>"Withdrawn"</formula>
    </cfRule>
  </conditionalFormatting>
  <conditionalFormatting sqref="S66">
    <cfRule type="cellIs" dxfId="1535" priority="4928" operator="equal">
      <formula>"Submitted Pending Approval"</formula>
    </cfRule>
    <cfRule type="cellIs" dxfId="1534" priority="4929" operator="equal">
      <formula>"Approved"</formula>
    </cfRule>
  </conditionalFormatting>
  <conditionalFormatting sqref="S66">
    <cfRule type="cellIs" dxfId="1533" priority="4925" operator="equal">
      <formula>"Submitted Pending Approval"</formula>
    </cfRule>
    <cfRule type="cellIs" dxfId="1532" priority="4926" operator="equal">
      <formula>"No Action / Withdrawn"</formula>
    </cfRule>
    <cfRule type="cellIs" dxfId="1531" priority="4927" operator="equal">
      <formula>"Identified Not Submitted"</formula>
    </cfRule>
  </conditionalFormatting>
  <conditionalFormatting sqref="S66">
    <cfRule type="cellIs" dxfId="1530" priority="4923" operator="equal">
      <formula>"No Action / Withdrawn"</formula>
    </cfRule>
    <cfRule type="cellIs" dxfId="1529" priority="4924" operator="equal">
      <formula>"Withdrawn"</formula>
    </cfRule>
  </conditionalFormatting>
  <conditionalFormatting sqref="S71">
    <cfRule type="cellIs" dxfId="1528" priority="4914" operator="equal">
      <formula>"Submitted Pending Approval"</formula>
    </cfRule>
    <cfRule type="cellIs" dxfId="1527" priority="4915" operator="equal">
      <formula>"Approved"</formula>
    </cfRule>
  </conditionalFormatting>
  <conditionalFormatting sqref="S71">
    <cfRule type="cellIs" dxfId="1526" priority="4911" operator="equal">
      <formula>"Submitted Pending Approval"</formula>
    </cfRule>
    <cfRule type="cellIs" dxfId="1525" priority="4912" operator="equal">
      <formula>"No Action / Withdrawn"</formula>
    </cfRule>
    <cfRule type="cellIs" dxfId="1524" priority="4913" operator="equal">
      <formula>"Identified Not Submitted"</formula>
    </cfRule>
  </conditionalFormatting>
  <conditionalFormatting sqref="S71">
    <cfRule type="cellIs" dxfId="1523" priority="4909" operator="equal">
      <formula>"No Action / Withdrawn"</formula>
    </cfRule>
    <cfRule type="cellIs" dxfId="1522" priority="4910" operator="equal">
      <formula>"Withdrawn"</formula>
    </cfRule>
  </conditionalFormatting>
  <conditionalFormatting sqref="S74">
    <cfRule type="cellIs" dxfId="1521" priority="4900" operator="equal">
      <formula>"Submitted Pending Approval"</formula>
    </cfRule>
    <cfRule type="cellIs" dxfId="1520" priority="4901" operator="equal">
      <formula>"Approved"</formula>
    </cfRule>
  </conditionalFormatting>
  <conditionalFormatting sqref="S74">
    <cfRule type="cellIs" dxfId="1519" priority="4897" operator="equal">
      <formula>"Submitted Pending Approval"</formula>
    </cfRule>
    <cfRule type="cellIs" dxfId="1518" priority="4898" operator="equal">
      <formula>"No Action / Withdrawn"</formula>
    </cfRule>
    <cfRule type="cellIs" dxfId="1517" priority="4899" operator="equal">
      <formula>"Identified Not Submitted"</formula>
    </cfRule>
  </conditionalFormatting>
  <conditionalFormatting sqref="S74">
    <cfRule type="cellIs" dxfId="1516" priority="4895" operator="equal">
      <formula>"No Action / Withdrawn"</formula>
    </cfRule>
    <cfRule type="cellIs" dxfId="1515" priority="4896" operator="equal">
      <formula>"Withdrawn"</formula>
    </cfRule>
  </conditionalFormatting>
  <conditionalFormatting sqref="S102:S104">
    <cfRule type="cellIs" dxfId="1514" priority="4774" operator="equal">
      <formula>"Submitted Pending Approval"</formula>
    </cfRule>
    <cfRule type="cellIs" dxfId="1513" priority="4775" operator="equal">
      <formula>"Approved"</formula>
    </cfRule>
  </conditionalFormatting>
  <conditionalFormatting sqref="S102:S104">
    <cfRule type="cellIs" dxfId="1512" priority="4771" operator="equal">
      <formula>"Submitted Pending Approval"</formula>
    </cfRule>
    <cfRule type="cellIs" dxfId="1511" priority="4772" operator="equal">
      <formula>"No Action / Withdrawn"</formula>
    </cfRule>
    <cfRule type="cellIs" dxfId="1510" priority="4773" operator="equal">
      <formula>"Identified Not Submitted"</formula>
    </cfRule>
  </conditionalFormatting>
  <conditionalFormatting sqref="S102:S104">
    <cfRule type="cellIs" dxfId="1509" priority="4769" operator="equal">
      <formula>"No Action / Withdrawn"</formula>
    </cfRule>
    <cfRule type="cellIs" dxfId="1508" priority="4770" operator="equal">
      <formula>"Withdrawn"</formula>
    </cfRule>
  </conditionalFormatting>
  <conditionalFormatting sqref="S335:S339 S89 S58 S56 S54 S69:S70 S83 S73:S74">
    <cfRule type="cellIs" dxfId="1507" priority="4872" operator="equal">
      <formula>"Submitted Pending Approval"</formula>
    </cfRule>
    <cfRule type="cellIs" dxfId="1506" priority="4873" operator="equal">
      <formula>"Approved"</formula>
    </cfRule>
  </conditionalFormatting>
  <conditionalFormatting sqref="S335:S339 S89 S58 S56 S54 S69:S70 S83 S73:S74">
    <cfRule type="cellIs" dxfId="1505" priority="4869" operator="equal">
      <formula>"Submitted Pending Approval"</formula>
    </cfRule>
    <cfRule type="cellIs" dxfId="1504" priority="4870" operator="equal">
      <formula>"No Action / Withdrawn"</formula>
    </cfRule>
    <cfRule type="cellIs" dxfId="1503" priority="4871" operator="equal">
      <formula>"Identified Not Submitted"</formula>
    </cfRule>
  </conditionalFormatting>
  <conditionalFormatting sqref="S335:S339 S89 S58 S56 S54 S69:S70 S83 S73:S74">
    <cfRule type="cellIs" dxfId="1502" priority="4867" operator="equal">
      <formula>"No Action / Withdrawn"</formula>
    </cfRule>
    <cfRule type="cellIs" dxfId="1501" priority="4868" operator="equal">
      <formula>"Withdrawn"</formula>
    </cfRule>
  </conditionalFormatting>
  <conditionalFormatting sqref="S75">
    <cfRule type="cellIs" dxfId="1500" priority="4865" operator="equal">
      <formula>"Submitted Pending Approval"</formula>
    </cfRule>
    <cfRule type="cellIs" dxfId="1499" priority="4866" operator="equal">
      <formula>"Approved"</formula>
    </cfRule>
  </conditionalFormatting>
  <conditionalFormatting sqref="S75">
    <cfRule type="cellIs" dxfId="1498" priority="4862" operator="equal">
      <formula>"Submitted Pending Approval"</formula>
    </cfRule>
    <cfRule type="cellIs" dxfId="1497" priority="4863" operator="equal">
      <formula>"No Action / Withdrawn"</formula>
    </cfRule>
    <cfRule type="cellIs" dxfId="1496" priority="4864" operator="equal">
      <formula>"Identified Not Submitted"</formula>
    </cfRule>
  </conditionalFormatting>
  <conditionalFormatting sqref="S75">
    <cfRule type="cellIs" dxfId="1495" priority="4860" operator="equal">
      <formula>"No Action / Withdrawn"</formula>
    </cfRule>
    <cfRule type="cellIs" dxfId="1494" priority="4861" operator="equal">
      <formula>"Withdrawn"</formula>
    </cfRule>
  </conditionalFormatting>
  <conditionalFormatting sqref="S77:S78">
    <cfRule type="cellIs" dxfId="1493" priority="4851" operator="equal">
      <formula>"Submitted Pending Approval"</formula>
    </cfRule>
    <cfRule type="cellIs" dxfId="1492" priority="4852" operator="equal">
      <formula>"Approved"</formula>
    </cfRule>
  </conditionalFormatting>
  <conditionalFormatting sqref="S77:S78">
    <cfRule type="cellIs" dxfId="1491" priority="4848" operator="equal">
      <formula>"Submitted Pending Approval"</formula>
    </cfRule>
    <cfRule type="cellIs" dxfId="1490" priority="4849" operator="equal">
      <formula>"No Action / Withdrawn"</formula>
    </cfRule>
    <cfRule type="cellIs" dxfId="1489" priority="4850" operator="equal">
      <formula>"Identified Not Submitted"</formula>
    </cfRule>
  </conditionalFormatting>
  <conditionalFormatting sqref="S77:S78">
    <cfRule type="cellIs" dxfId="1488" priority="4846" operator="equal">
      <formula>"No Action / Withdrawn"</formula>
    </cfRule>
    <cfRule type="cellIs" dxfId="1487" priority="4847" operator="equal">
      <formula>"Withdrawn"</formula>
    </cfRule>
  </conditionalFormatting>
  <conditionalFormatting sqref="S99:S100">
    <cfRule type="cellIs" dxfId="1486" priority="4788" operator="equal">
      <formula>"Submitted Pending Approval"</formula>
    </cfRule>
    <cfRule type="cellIs" dxfId="1485" priority="4789" operator="equal">
      <formula>"Approved"</formula>
    </cfRule>
  </conditionalFormatting>
  <conditionalFormatting sqref="S99:S100">
    <cfRule type="cellIs" dxfId="1484" priority="4785" operator="equal">
      <formula>"Submitted Pending Approval"</formula>
    </cfRule>
    <cfRule type="cellIs" dxfId="1483" priority="4786" operator="equal">
      <formula>"No Action / Withdrawn"</formula>
    </cfRule>
    <cfRule type="cellIs" dxfId="1482" priority="4787" operator="equal">
      <formula>"Identified Not Submitted"</formula>
    </cfRule>
  </conditionalFormatting>
  <conditionalFormatting sqref="S99:S100">
    <cfRule type="cellIs" dxfId="1481" priority="4783" operator="equal">
      <formula>"No Action / Withdrawn"</formula>
    </cfRule>
    <cfRule type="cellIs" dxfId="1480" priority="4784" operator="equal">
      <formula>"Withdrawn"</formula>
    </cfRule>
  </conditionalFormatting>
  <conditionalFormatting sqref="S101">
    <cfRule type="cellIs" dxfId="1479" priority="4753" operator="equal">
      <formula>"Submitted Pending Approval"</formula>
    </cfRule>
    <cfRule type="cellIs" dxfId="1478" priority="4754" operator="equal">
      <formula>"Approved"</formula>
    </cfRule>
  </conditionalFormatting>
  <conditionalFormatting sqref="S101">
    <cfRule type="cellIs" dxfId="1477" priority="4750" operator="equal">
      <formula>"Submitted Pending Approval"</formula>
    </cfRule>
    <cfRule type="cellIs" dxfId="1476" priority="4751" operator="equal">
      <formula>"No Action / Withdrawn"</formula>
    </cfRule>
    <cfRule type="cellIs" dxfId="1475" priority="4752" operator="equal">
      <formula>"Identified Not Submitted"</formula>
    </cfRule>
  </conditionalFormatting>
  <conditionalFormatting sqref="S101">
    <cfRule type="cellIs" dxfId="1474" priority="4748" operator="equal">
      <formula>"No Action / Withdrawn"</formula>
    </cfRule>
    <cfRule type="cellIs" dxfId="1473" priority="4749" operator="equal">
      <formula>"Withdrawn"</formula>
    </cfRule>
  </conditionalFormatting>
  <conditionalFormatting sqref="S86">
    <cfRule type="cellIs" dxfId="1472" priority="4739" operator="equal">
      <formula>"Submitted Pending Approval"</formula>
    </cfRule>
    <cfRule type="cellIs" dxfId="1471" priority="4740" operator="equal">
      <formula>"Approved"</formula>
    </cfRule>
  </conditionalFormatting>
  <conditionalFormatting sqref="S86">
    <cfRule type="cellIs" dxfId="1470" priority="4736" operator="equal">
      <formula>"Submitted Pending Approval"</formula>
    </cfRule>
    <cfRule type="cellIs" dxfId="1469" priority="4737" operator="equal">
      <formula>"No Action / Withdrawn"</formula>
    </cfRule>
    <cfRule type="cellIs" dxfId="1468" priority="4738" operator="equal">
      <formula>"Identified Not Submitted"</formula>
    </cfRule>
  </conditionalFormatting>
  <conditionalFormatting sqref="S86">
    <cfRule type="cellIs" dxfId="1467" priority="4734" operator="equal">
      <formula>"No Action / Withdrawn"</formula>
    </cfRule>
    <cfRule type="cellIs" dxfId="1466" priority="4735" operator="equal">
      <formula>"Withdrawn"</formula>
    </cfRule>
  </conditionalFormatting>
  <conditionalFormatting sqref="S87">
    <cfRule type="cellIs" dxfId="1465" priority="4732" operator="equal">
      <formula>"Submitted Pending Approval"</formula>
    </cfRule>
    <cfRule type="cellIs" dxfId="1464" priority="4733" operator="equal">
      <formula>"Approved"</formula>
    </cfRule>
  </conditionalFormatting>
  <conditionalFormatting sqref="S87">
    <cfRule type="cellIs" dxfId="1463" priority="4729" operator="equal">
      <formula>"Submitted Pending Approval"</formula>
    </cfRule>
    <cfRule type="cellIs" dxfId="1462" priority="4730" operator="equal">
      <formula>"No Action / Withdrawn"</formula>
    </cfRule>
    <cfRule type="cellIs" dxfId="1461" priority="4731" operator="equal">
      <formula>"Identified Not Submitted"</formula>
    </cfRule>
  </conditionalFormatting>
  <conditionalFormatting sqref="S87">
    <cfRule type="cellIs" dxfId="1460" priority="4727" operator="equal">
      <formula>"No Action / Withdrawn"</formula>
    </cfRule>
    <cfRule type="cellIs" dxfId="1459" priority="4728" operator="equal">
      <formula>"Withdrawn"</formula>
    </cfRule>
  </conditionalFormatting>
  <conditionalFormatting sqref="S116:S120">
    <cfRule type="cellIs" dxfId="1458" priority="4711" operator="equal">
      <formula>"Submitted Pending Approval"</formula>
    </cfRule>
    <cfRule type="cellIs" dxfId="1457" priority="4712" operator="equal">
      <formula>"Approved"</formula>
    </cfRule>
  </conditionalFormatting>
  <conditionalFormatting sqref="S116:S120">
    <cfRule type="cellIs" dxfId="1456" priority="4708" operator="equal">
      <formula>"Submitted Pending Approval"</formula>
    </cfRule>
    <cfRule type="cellIs" dxfId="1455" priority="4709" operator="equal">
      <formula>"No Action / Withdrawn"</formula>
    </cfRule>
    <cfRule type="cellIs" dxfId="1454" priority="4710" operator="equal">
      <formula>"Identified Not Submitted"</formula>
    </cfRule>
  </conditionalFormatting>
  <conditionalFormatting sqref="S116:S120">
    <cfRule type="cellIs" dxfId="1453" priority="4706" operator="equal">
      <formula>"No Action / Withdrawn"</formula>
    </cfRule>
    <cfRule type="cellIs" dxfId="1452" priority="4707" operator="equal">
      <formula>"Withdrawn"</formula>
    </cfRule>
  </conditionalFormatting>
  <conditionalFormatting sqref="S115">
    <cfRule type="cellIs" dxfId="1451" priority="4697" operator="equal">
      <formula>"Submitted Pending Approval"</formula>
    </cfRule>
    <cfRule type="cellIs" dxfId="1450" priority="4698" operator="equal">
      <formula>"Approved"</formula>
    </cfRule>
  </conditionalFormatting>
  <conditionalFormatting sqref="S115">
    <cfRule type="cellIs" dxfId="1449" priority="4694" operator="equal">
      <formula>"Submitted Pending Approval"</formula>
    </cfRule>
    <cfRule type="cellIs" dxfId="1448" priority="4695" operator="equal">
      <formula>"No Action / Withdrawn"</formula>
    </cfRule>
    <cfRule type="cellIs" dxfId="1447" priority="4696" operator="equal">
      <formula>"Identified Not Submitted"</formula>
    </cfRule>
  </conditionalFormatting>
  <conditionalFormatting sqref="S115">
    <cfRule type="cellIs" dxfId="1446" priority="4692" operator="equal">
      <formula>"No Action / Withdrawn"</formula>
    </cfRule>
    <cfRule type="cellIs" dxfId="1445" priority="4693" operator="equal">
      <formula>"Withdrawn"</formula>
    </cfRule>
  </conditionalFormatting>
  <conditionalFormatting sqref="S124 S131">
    <cfRule type="cellIs" dxfId="1444" priority="4667" operator="equal">
      <formula>"Submitted Pending Approval"</formula>
    </cfRule>
    <cfRule type="cellIs" dxfId="1443" priority="4668" operator="equal">
      <formula>"Approved"</formula>
    </cfRule>
  </conditionalFormatting>
  <conditionalFormatting sqref="S124 S131">
    <cfRule type="cellIs" dxfId="1442" priority="4664" operator="equal">
      <formula>"Submitted Pending Approval"</formula>
    </cfRule>
    <cfRule type="cellIs" dxfId="1441" priority="4665" operator="equal">
      <formula>"No Action / Withdrawn"</formula>
    </cfRule>
    <cfRule type="cellIs" dxfId="1440" priority="4666" operator="equal">
      <formula>"Identified Not Submitted"</formula>
    </cfRule>
  </conditionalFormatting>
  <conditionalFormatting sqref="S124 S131">
    <cfRule type="cellIs" dxfId="1439" priority="4662" operator="equal">
      <formula>"No Action / Withdrawn"</formula>
    </cfRule>
    <cfRule type="cellIs" dxfId="1438" priority="4663" operator="equal">
      <formula>"Withdrawn"</formula>
    </cfRule>
  </conditionalFormatting>
  <conditionalFormatting sqref="S131">
    <cfRule type="cellIs" dxfId="1437" priority="4618" operator="equal">
      <formula>"Submitted Pending Approval"</formula>
    </cfRule>
    <cfRule type="cellIs" dxfId="1436" priority="4619" operator="equal">
      <formula>"Approved"</formula>
    </cfRule>
  </conditionalFormatting>
  <conditionalFormatting sqref="S131">
    <cfRule type="cellIs" dxfId="1435" priority="4615" operator="equal">
      <formula>"Submitted Pending Approval"</formula>
    </cfRule>
    <cfRule type="cellIs" dxfId="1434" priority="4616" operator="equal">
      <formula>"No Action / Withdrawn"</formula>
    </cfRule>
    <cfRule type="cellIs" dxfId="1433" priority="4617" operator="equal">
      <formula>"Identified Not Submitted"</formula>
    </cfRule>
  </conditionalFormatting>
  <conditionalFormatting sqref="S131">
    <cfRule type="cellIs" dxfId="1432" priority="4613" operator="equal">
      <formula>"No Action / Withdrawn"</formula>
    </cfRule>
    <cfRule type="cellIs" dxfId="1431" priority="4614" operator="equal">
      <formula>"Withdrawn"</formula>
    </cfRule>
  </conditionalFormatting>
  <conditionalFormatting sqref="S125">
    <cfRule type="cellIs" dxfId="1430" priority="4562" operator="equal">
      <formula>"Submitted Pending Approval"</formula>
    </cfRule>
    <cfRule type="cellIs" dxfId="1429" priority="4563" operator="equal">
      <formula>"Approved"</formula>
    </cfRule>
  </conditionalFormatting>
  <conditionalFormatting sqref="S125">
    <cfRule type="cellIs" dxfId="1428" priority="4559" operator="equal">
      <formula>"Submitted Pending Approval"</formula>
    </cfRule>
    <cfRule type="cellIs" dxfId="1427" priority="4560" operator="equal">
      <formula>"No Action / Withdrawn"</formula>
    </cfRule>
    <cfRule type="cellIs" dxfId="1426" priority="4561" operator="equal">
      <formula>"Identified Not Submitted"</formula>
    </cfRule>
  </conditionalFormatting>
  <conditionalFormatting sqref="S125">
    <cfRule type="cellIs" dxfId="1425" priority="4557" operator="equal">
      <formula>"No Action / Withdrawn"</formula>
    </cfRule>
    <cfRule type="cellIs" dxfId="1424" priority="4558" operator="equal">
      <formula>"Withdrawn"</formula>
    </cfRule>
  </conditionalFormatting>
  <conditionalFormatting sqref="S126">
    <cfRule type="cellIs" dxfId="1423" priority="4548" operator="equal">
      <formula>"Submitted Pending Approval"</formula>
    </cfRule>
    <cfRule type="cellIs" dxfId="1422" priority="4549" operator="equal">
      <formula>"Approved"</formula>
    </cfRule>
  </conditionalFormatting>
  <conditionalFormatting sqref="S126">
    <cfRule type="cellIs" dxfId="1421" priority="4545" operator="equal">
      <formula>"Submitted Pending Approval"</formula>
    </cfRule>
    <cfRule type="cellIs" dxfId="1420" priority="4546" operator="equal">
      <formula>"No Action / Withdrawn"</formula>
    </cfRule>
    <cfRule type="cellIs" dxfId="1419" priority="4547" operator="equal">
      <formula>"Identified Not Submitted"</formula>
    </cfRule>
  </conditionalFormatting>
  <conditionalFormatting sqref="S126">
    <cfRule type="cellIs" dxfId="1418" priority="4543" operator="equal">
      <formula>"No Action / Withdrawn"</formula>
    </cfRule>
    <cfRule type="cellIs" dxfId="1417" priority="4544" operator="equal">
      <formula>"Withdrawn"</formula>
    </cfRule>
  </conditionalFormatting>
  <conditionalFormatting sqref="S64">
    <cfRule type="cellIs" dxfId="1416" priority="4516" operator="equal">
      <formula>"Submitted Pending Approval"</formula>
    </cfRule>
    <cfRule type="cellIs" dxfId="1415" priority="4517" operator="equal">
      <formula>"Approved"</formula>
    </cfRule>
  </conditionalFormatting>
  <conditionalFormatting sqref="S64">
    <cfRule type="cellIs" dxfId="1414" priority="4513" operator="equal">
      <formula>"Submitted Pending Approval"</formula>
    </cfRule>
    <cfRule type="cellIs" dxfId="1413" priority="4514" operator="equal">
      <formula>"No Action / Withdrawn"</formula>
    </cfRule>
    <cfRule type="cellIs" dxfId="1412" priority="4515" operator="equal">
      <formula>"Identified Not Submitted"</formula>
    </cfRule>
  </conditionalFormatting>
  <conditionalFormatting sqref="S64">
    <cfRule type="cellIs" dxfId="1411" priority="4511" operator="equal">
      <formula>"No Action / Withdrawn"</formula>
    </cfRule>
    <cfRule type="cellIs" dxfId="1410" priority="4512" operator="equal">
      <formula>"Withdrawn"</formula>
    </cfRule>
  </conditionalFormatting>
  <conditionalFormatting sqref="S62">
    <cfRule type="cellIs" dxfId="1409" priority="4491" operator="equal">
      <formula>"Submitted Pending Approval"</formula>
    </cfRule>
    <cfRule type="cellIs" dxfId="1408" priority="4492" operator="equal">
      <formula>"Approved"</formula>
    </cfRule>
  </conditionalFormatting>
  <conditionalFormatting sqref="S62">
    <cfRule type="cellIs" dxfId="1407" priority="4488" operator="equal">
      <formula>"Submitted Pending Approval"</formula>
    </cfRule>
    <cfRule type="cellIs" dxfId="1406" priority="4489" operator="equal">
      <formula>"No Action / Withdrawn"</formula>
    </cfRule>
    <cfRule type="cellIs" dxfId="1405" priority="4490" operator="equal">
      <formula>"Identified Not Submitted"</formula>
    </cfRule>
  </conditionalFormatting>
  <conditionalFormatting sqref="S62">
    <cfRule type="cellIs" dxfId="1404" priority="4486" operator="equal">
      <formula>"No Action / Withdrawn"</formula>
    </cfRule>
    <cfRule type="cellIs" dxfId="1403" priority="4487" operator="equal">
      <formula>"Withdrawn"</formula>
    </cfRule>
  </conditionalFormatting>
  <conditionalFormatting sqref="S79">
    <cfRule type="cellIs" dxfId="1402" priority="4477" operator="equal">
      <formula>"Submitted Pending Approval"</formula>
    </cfRule>
    <cfRule type="cellIs" dxfId="1401" priority="4478" operator="equal">
      <formula>"Approved"</formula>
    </cfRule>
  </conditionalFormatting>
  <conditionalFormatting sqref="S79">
    <cfRule type="cellIs" dxfId="1400" priority="4474" operator="equal">
      <formula>"Submitted Pending Approval"</formula>
    </cfRule>
    <cfRule type="cellIs" dxfId="1399" priority="4475" operator="equal">
      <formula>"No Action / Withdrawn"</formula>
    </cfRule>
    <cfRule type="cellIs" dxfId="1398" priority="4476" operator="equal">
      <formula>"Identified Not Submitted"</formula>
    </cfRule>
  </conditionalFormatting>
  <conditionalFormatting sqref="S79">
    <cfRule type="cellIs" dxfId="1397" priority="4472" operator="equal">
      <formula>"No Action / Withdrawn"</formula>
    </cfRule>
    <cfRule type="cellIs" dxfId="1396" priority="4473" operator="equal">
      <formula>"Withdrawn"</formula>
    </cfRule>
  </conditionalFormatting>
  <conditionalFormatting sqref="S82">
    <cfRule type="cellIs" dxfId="1395" priority="4435" operator="equal">
      <formula>"Submitted Pending Approval"</formula>
    </cfRule>
    <cfRule type="cellIs" dxfId="1394" priority="4436" operator="equal">
      <formula>"Approved"</formula>
    </cfRule>
  </conditionalFormatting>
  <conditionalFormatting sqref="S82">
    <cfRule type="cellIs" dxfId="1393" priority="4432" operator="equal">
      <formula>"Submitted Pending Approval"</formula>
    </cfRule>
    <cfRule type="cellIs" dxfId="1392" priority="4433" operator="equal">
      <formula>"No Action / Withdrawn"</formula>
    </cfRule>
    <cfRule type="cellIs" dxfId="1391" priority="4434" operator="equal">
      <formula>"Identified Not Submitted"</formula>
    </cfRule>
  </conditionalFormatting>
  <conditionalFormatting sqref="S82">
    <cfRule type="cellIs" dxfId="1390" priority="4430" operator="equal">
      <formula>"No Action / Withdrawn"</formula>
    </cfRule>
    <cfRule type="cellIs" dxfId="1389" priority="4431" operator="equal">
      <formula>"Withdrawn"</formula>
    </cfRule>
  </conditionalFormatting>
  <conditionalFormatting sqref="S40">
    <cfRule type="cellIs" dxfId="1388" priority="4414" operator="equal">
      <formula>"Submitted Pending Approval"</formula>
    </cfRule>
    <cfRule type="cellIs" dxfId="1387" priority="4415" operator="equal">
      <formula>"Approved"</formula>
    </cfRule>
  </conditionalFormatting>
  <conditionalFormatting sqref="S40">
    <cfRule type="cellIs" dxfId="1386" priority="4411" operator="equal">
      <formula>"Submitted Pending Approval"</formula>
    </cfRule>
    <cfRule type="cellIs" dxfId="1385" priority="4412" operator="equal">
      <formula>"No Action / Withdrawn"</formula>
    </cfRule>
    <cfRule type="cellIs" dxfId="1384" priority="4413" operator="equal">
      <formula>"Identified Not Submitted"</formula>
    </cfRule>
  </conditionalFormatting>
  <conditionalFormatting sqref="S40">
    <cfRule type="cellIs" dxfId="1383" priority="4409" operator="equal">
      <formula>"No Action / Withdrawn"</formula>
    </cfRule>
    <cfRule type="cellIs" dxfId="1382" priority="4410" operator="equal">
      <formula>"Withdrawn"</formula>
    </cfRule>
  </conditionalFormatting>
  <conditionalFormatting sqref="S76">
    <cfRule type="cellIs" dxfId="1381" priority="4400" operator="equal">
      <formula>"Submitted Pending Approval"</formula>
    </cfRule>
    <cfRule type="cellIs" dxfId="1380" priority="4401" operator="equal">
      <formula>"Approved"</formula>
    </cfRule>
  </conditionalFormatting>
  <conditionalFormatting sqref="S76">
    <cfRule type="cellIs" dxfId="1379" priority="4397" operator="equal">
      <formula>"Submitted Pending Approval"</formula>
    </cfRule>
    <cfRule type="cellIs" dxfId="1378" priority="4398" operator="equal">
      <formula>"No Action / Withdrawn"</formula>
    </cfRule>
    <cfRule type="cellIs" dxfId="1377" priority="4399" operator="equal">
      <formula>"Identified Not Submitted"</formula>
    </cfRule>
  </conditionalFormatting>
  <conditionalFormatting sqref="S76">
    <cfRule type="cellIs" dxfId="1376" priority="4395" operator="equal">
      <formula>"No Action / Withdrawn"</formula>
    </cfRule>
    <cfRule type="cellIs" dxfId="1375" priority="4396" operator="equal">
      <formula>"Withdrawn"</formula>
    </cfRule>
  </conditionalFormatting>
  <conditionalFormatting sqref="S30:S31">
    <cfRule type="cellIs" dxfId="1374" priority="4379" operator="equal">
      <formula>"Submitted Pending Approval"</formula>
    </cfRule>
    <cfRule type="cellIs" dxfId="1373" priority="4380" operator="equal">
      <formula>"Approved"</formula>
    </cfRule>
  </conditionalFormatting>
  <conditionalFormatting sqref="S30:S31">
    <cfRule type="cellIs" dxfId="1372" priority="4376" operator="equal">
      <formula>"Submitted Pending Approval"</formula>
    </cfRule>
    <cfRule type="cellIs" dxfId="1371" priority="4377" operator="equal">
      <formula>"No Action / Withdrawn"</formula>
    </cfRule>
    <cfRule type="cellIs" dxfId="1370" priority="4378" operator="equal">
      <formula>"Identified Not Submitted"</formula>
    </cfRule>
  </conditionalFormatting>
  <conditionalFormatting sqref="S30:S31">
    <cfRule type="cellIs" dxfId="1369" priority="4374" operator="equal">
      <formula>"No Action / Withdrawn"</formula>
    </cfRule>
    <cfRule type="cellIs" dxfId="1368" priority="4375" operator="equal">
      <formula>"Withdrawn"</formula>
    </cfRule>
  </conditionalFormatting>
  <conditionalFormatting sqref="S80">
    <cfRule type="cellIs" dxfId="1367" priority="4351" operator="equal">
      <formula>"Submitted Pending Approval"</formula>
    </cfRule>
    <cfRule type="cellIs" dxfId="1366" priority="4352" operator="equal">
      <formula>"Approved"</formula>
    </cfRule>
  </conditionalFormatting>
  <conditionalFormatting sqref="S80">
    <cfRule type="cellIs" dxfId="1365" priority="4348" operator="equal">
      <formula>"Submitted Pending Approval"</formula>
    </cfRule>
    <cfRule type="cellIs" dxfId="1364" priority="4349" operator="equal">
      <formula>"No Action / Withdrawn"</formula>
    </cfRule>
    <cfRule type="cellIs" dxfId="1363" priority="4350" operator="equal">
      <formula>"Identified Not Submitted"</formula>
    </cfRule>
  </conditionalFormatting>
  <conditionalFormatting sqref="S80">
    <cfRule type="cellIs" dxfId="1362" priority="4346" operator="equal">
      <formula>"No Action / Withdrawn"</formula>
    </cfRule>
    <cfRule type="cellIs" dxfId="1361" priority="4347" operator="equal">
      <formula>"Withdrawn"</formula>
    </cfRule>
  </conditionalFormatting>
  <conditionalFormatting sqref="S27:S28">
    <cfRule type="cellIs" dxfId="1360" priority="4344" operator="equal">
      <formula>"Submitted Pending Approval"</formula>
    </cfRule>
    <cfRule type="cellIs" dxfId="1359" priority="4345" operator="equal">
      <formula>"Approved"</formula>
    </cfRule>
  </conditionalFormatting>
  <conditionalFormatting sqref="S27:S28">
    <cfRule type="cellIs" dxfId="1358" priority="4341" operator="equal">
      <formula>"Submitted Pending Approval"</formula>
    </cfRule>
    <cfRule type="cellIs" dxfId="1357" priority="4342" operator="equal">
      <formula>"No Action / Withdrawn"</formula>
    </cfRule>
    <cfRule type="cellIs" dxfId="1356" priority="4343" operator="equal">
      <formula>"Identified Not Submitted"</formula>
    </cfRule>
  </conditionalFormatting>
  <conditionalFormatting sqref="S27:S28">
    <cfRule type="cellIs" dxfId="1355" priority="4339" operator="equal">
      <formula>"No Action / Withdrawn"</formula>
    </cfRule>
    <cfRule type="cellIs" dxfId="1354" priority="4340" operator="equal">
      <formula>"Withdrawn"</formula>
    </cfRule>
  </conditionalFormatting>
  <conditionalFormatting sqref="S59">
    <cfRule type="cellIs" dxfId="1353" priority="4312" operator="equal">
      <formula>"Submitted Pending Approval"</formula>
    </cfRule>
    <cfRule type="cellIs" dxfId="1352" priority="4313" operator="equal">
      <formula>"Approved"</formula>
    </cfRule>
  </conditionalFormatting>
  <conditionalFormatting sqref="S59">
    <cfRule type="cellIs" dxfId="1351" priority="4309" operator="equal">
      <formula>"Submitted Pending Approval"</formula>
    </cfRule>
    <cfRule type="cellIs" dxfId="1350" priority="4310" operator="equal">
      <formula>"No Action / Withdrawn"</formula>
    </cfRule>
    <cfRule type="cellIs" dxfId="1349" priority="4311" operator="equal">
      <formula>"Identified Not Submitted"</formula>
    </cfRule>
  </conditionalFormatting>
  <conditionalFormatting sqref="S59">
    <cfRule type="cellIs" dxfId="1348" priority="4307" operator="equal">
      <formula>"No Action / Withdrawn"</formula>
    </cfRule>
    <cfRule type="cellIs" dxfId="1347" priority="4308" operator="equal">
      <formula>"Withdrawn"</formula>
    </cfRule>
  </conditionalFormatting>
  <conditionalFormatting sqref="S81">
    <cfRule type="cellIs" dxfId="1346" priority="4298" operator="equal">
      <formula>"Submitted Pending Approval"</formula>
    </cfRule>
    <cfRule type="cellIs" dxfId="1345" priority="4299" operator="equal">
      <formula>"Approved"</formula>
    </cfRule>
  </conditionalFormatting>
  <conditionalFormatting sqref="S81">
    <cfRule type="cellIs" dxfId="1344" priority="4295" operator="equal">
      <formula>"Submitted Pending Approval"</formula>
    </cfRule>
    <cfRule type="cellIs" dxfId="1343" priority="4296" operator="equal">
      <formula>"No Action / Withdrawn"</formula>
    </cfRule>
    <cfRule type="cellIs" dxfId="1342" priority="4297" operator="equal">
      <formula>"Identified Not Submitted"</formula>
    </cfRule>
  </conditionalFormatting>
  <conditionalFormatting sqref="S81">
    <cfRule type="cellIs" dxfId="1341" priority="4293" operator="equal">
      <formula>"No Action / Withdrawn"</formula>
    </cfRule>
    <cfRule type="cellIs" dxfId="1340" priority="4294" operator="equal">
      <formula>"Withdrawn"</formula>
    </cfRule>
  </conditionalFormatting>
  <conditionalFormatting sqref="S31">
    <cfRule type="cellIs" dxfId="1339" priority="4262" operator="equal">
      <formula>"Submitted Pending Approval"</formula>
    </cfRule>
    <cfRule type="cellIs" dxfId="1338" priority="4263" operator="equal">
      <formula>"Approved"</formula>
    </cfRule>
  </conditionalFormatting>
  <conditionalFormatting sqref="S31">
    <cfRule type="cellIs" dxfId="1337" priority="4259" operator="equal">
      <formula>"Submitted Pending Approval"</formula>
    </cfRule>
    <cfRule type="cellIs" dxfId="1336" priority="4260" operator="equal">
      <formula>"No Action / Withdrawn"</formula>
    </cfRule>
    <cfRule type="cellIs" dxfId="1335" priority="4261" operator="equal">
      <formula>"Identified Not Submitted"</formula>
    </cfRule>
  </conditionalFormatting>
  <conditionalFormatting sqref="S31">
    <cfRule type="cellIs" dxfId="1334" priority="4257" operator="equal">
      <formula>"No Action / Withdrawn"</formula>
    </cfRule>
    <cfRule type="cellIs" dxfId="1333" priority="4258" operator="equal">
      <formula>"Withdrawn"</formula>
    </cfRule>
  </conditionalFormatting>
  <conditionalFormatting sqref="S3:S8 S358:S1048576 S124:S126 S131 S30:S35 S89 S93 S99:S105 S107 S224:S225 S220 S251 S321:S326 S334:S354 S254:S255 S38:S87 S110:S120 S328:S330 S136 S11:S18 S20:S23 S26:S28 S257:S277">
    <cfRule type="cellIs" dxfId="1332" priority="4249" operator="equal">
      <formula>"Partially Approved"</formula>
    </cfRule>
  </conditionalFormatting>
  <conditionalFormatting sqref="S72">
    <cfRule type="cellIs" dxfId="1331" priority="4240" operator="equal">
      <formula>"Submitted Pending Approval"</formula>
    </cfRule>
    <cfRule type="cellIs" dxfId="1330" priority="4241" operator="equal">
      <formula>"Approved"</formula>
    </cfRule>
  </conditionalFormatting>
  <conditionalFormatting sqref="S72">
    <cfRule type="cellIs" dxfId="1329" priority="4237" operator="equal">
      <formula>"Submitted Pending Approval"</formula>
    </cfRule>
    <cfRule type="cellIs" dxfId="1328" priority="4238" operator="equal">
      <formula>"No Action / Withdrawn"</formula>
    </cfRule>
    <cfRule type="cellIs" dxfId="1327" priority="4239" operator="equal">
      <formula>"Identified Not Submitted"</formula>
    </cfRule>
  </conditionalFormatting>
  <conditionalFormatting sqref="S72">
    <cfRule type="cellIs" dxfId="1326" priority="4235" operator="equal">
      <formula>"No Action / Withdrawn"</formula>
    </cfRule>
    <cfRule type="cellIs" dxfId="1325" priority="4236" operator="equal">
      <formula>"Withdrawn"</formula>
    </cfRule>
  </conditionalFormatting>
  <conditionalFormatting sqref="S138:S139">
    <cfRule type="cellIs" dxfId="1324" priority="4153" operator="equal">
      <formula>"Submitted Pending Approval"</formula>
    </cfRule>
    <cfRule type="cellIs" dxfId="1323" priority="4154" operator="equal">
      <formula>"Approved"</formula>
    </cfRule>
  </conditionalFormatting>
  <conditionalFormatting sqref="S138:S139">
    <cfRule type="cellIs" dxfId="1322" priority="4150" operator="equal">
      <formula>"Submitted Pending Approval"</formula>
    </cfRule>
    <cfRule type="cellIs" dxfId="1321" priority="4151" operator="equal">
      <formula>"No Action / Withdrawn"</formula>
    </cfRule>
    <cfRule type="cellIs" dxfId="1320" priority="4152" operator="equal">
      <formula>"Identified Not Submitted"</formula>
    </cfRule>
  </conditionalFormatting>
  <conditionalFormatting sqref="S138:S139">
    <cfRule type="cellIs" dxfId="1319" priority="4148" operator="equal">
      <formula>"No Action / Withdrawn"</formula>
    </cfRule>
    <cfRule type="cellIs" dxfId="1318" priority="4149" operator="equal">
      <formula>"Withdrawn"</formula>
    </cfRule>
  </conditionalFormatting>
  <conditionalFormatting sqref="S138:S139">
    <cfRule type="cellIs" dxfId="1317" priority="4139" operator="equal">
      <formula>"Submitted Pending Approval"</formula>
    </cfRule>
    <cfRule type="cellIs" dxfId="1316" priority="4140" operator="equal">
      <formula>"Approved"</formula>
    </cfRule>
  </conditionalFormatting>
  <conditionalFormatting sqref="S138:S139">
    <cfRule type="cellIs" dxfId="1315" priority="4136" operator="equal">
      <formula>"Submitted Pending Approval"</formula>
    </cfRule>
    <cfRule type="cellIs" dxfId="1314" priority="4137" operator="equal">
      <formula>"No Action / Withdrawn"</formula>
    </cfRule>
    <cfRule type="cellIs" dxfId="1313" priority="4138" operator="equal">
      <formula>"Identified Not Submitted"</formula>
    </cfRule>
  </conditionalFormatting>
  <conditionalFormatting sqref="S138:S139">
    <cfRule type="cellIs" dxfId="1312" priority="4134" operator="equal">
      <formula>"No Action / Withdrawn"</formula>
    </cfRule>
    <cfRule type="cellIs" dxfId="1311" priority="4135" operator="equal">
      <formula>"Withdrawn"</formula>
    </cfRule>
  </conditionalFormatting>
  <conditionalFormatting sqref="S138:S139">
    <cfRule type="cellIs" dxfId="1310" priority="4133" operator="equal">
      <formula>"Partially Approved"</formula>
    </cfRule>
  </conditionalFormatting>
  <conditionalFormatting sqref="S57:S58">
    <cfRule type="cellIs" dxfId="1309" priority="4113" operator="equal">
      <formula>"Submitted Pending Approval"</formula>
    </cfRule>
    <cfRule type="cellIs" dxfId="1308" priority="4114" operator="equal">
      <formula>"Approved"</formula>
    </cfRule>
  </conditionalFormatting>
  <conditionalFormatting sqref="S57:S58">
    <cfRule type="cellIs" dxfId="1307" priority="4110" operator="equal">
      <formula>"Submitted Pending Approval"</formula>
    </cfRule>
    <cfRule type="cellIs" dxfId="1306" priority="4111" operator="equal">
      <formula>"No Action / Withdrawn"</formula>
    </cfRule>
    <cfRule type="cellIs" dxfId="1305" priority="4112" operator="equal">
      <formula>"Identified Not Submitted"</formula>
    </cfRule>
  </conditionalFormatting>
  <conditionalFormatting sqref="S57:S58">
    <cfRule type="cellIs" dxfId="1304" priority="4108" operator="equal">
      <formula>"No Action / Withdrawn"</formula>
    </cfRule>
    <cfRule type="cellIs" dxfId="1303" priority="4109" operator="equal">
      <formula>"Withdrawn"</formula>
    </cfRule>
  </conditionalFormatting>
  <conditionalFormatting sqref="S57:S58">
    <cfRule type="cellIs" dxfId="1302" priority="4106" operator="equal">
      <formula>"Submitted Pending Approval"</formula>
    </cfRule>
    <cfRule type="cellIs" dxfId="1301" priority="4107" operator="equal">
      <formula>"Approved"</formula>
    </cfRule>
  </conditionalFormatting>
  <conditionalFormatting sqref="S57:S58">
    <cfRule type="cellIs" dxfId="1300" priority="4103" operator="equal">
      <formula>"Submitted Pending Approval"</formula>
    </cfRule>
    <cfRule type="cellIs" dxfId="1299" priority="4104" operator="equal">
      <formula>"No Action / Withdrawn"</formula>
    </cfRule>
    <cfRule type="cellIs" dxfId="1298" priority="4105" operator="equal">
      <formula>"Identified Not Submitted"</formula>
    </cfRule>
  </conditionalFormatting>
  <conditionalFormatting sqref="S57:S58">
    <cfRule type="cellIs" dxfId="1297" priority="4101" operator="equal">
      <formula>"No Action / Withdrawn"</formula>
    </cfRule>
    <cfRule type="cellIs" dxfId="1296" priority="4102" operator="equal">
      <formula>"Withdrawn"</formula>
    </cfRule>
  </conditionalFormatting>
  <conditionalFormatting sqref="S57:S58">
    <cfRule type="cellIs" dxfId="1295" priority="4099" operator="equal">
      <formula>"Submitted Pending Approval"</formula>
    </cfRule>
    <cfRule type="cellIs" dxfId="1294" priority="4100" operator="equal">
      <formula>"Approved"</formula>
    </cfRule>
  </conditionalFormatting>
  <conditionalFormatting sqref="S57:S58">
    <cfRule type="cellIs" dxfId="1293" priority="4097" operator="equal">
      <formula>"Submitted Pending Approval"</formula>
    </cfRule>
    <cfRule type="cellIs" dxfId="1292" priority="4098" operator="equal">
      <formula>"Approved"</formula>
    </cfRule>
  </conditionalFormatting>
  <conditionalFormatting sqref="S140:S141">
    <cfRule type="cellIs" dxfId="1291" priority="4051" operator="equal">
      <formula>"Submitted Pending Approval"</formula>
    </cfRule>
    <cfRule type="cellIs" dxfId="1290" priority="4052" operator="equal">
      <formula>"Approved"</formula>
    </cfRule>
  </conditionalFormatting>
  <conditionalFormatting sqref="S140:S141">
    <cfRule type="cellIs" dxfId="1289" priority="4048" operator="equal">
      <formula>"Submitted Pending Approval"</formula>
    </cfRule>
    <cfRule type="cellIs" dxfId="1288" priority="4049" operator="equal">
      <formula>"No Action / Withdrawn"</formula>
    </cfRule>
    <cfRule type="cellIs" dxfId="1287" priority="4050" operator="equal">
      <formula>"Identified Not Submitted"</formula>
    </cfRule>
  </conditionalFormatting>
  <conditionalFormatting sqref="S140:S141">
    <cfRule type="cellIs" dxfId="1286" priority="4046" operator="equal">
      <formula>"No Action / Withdrawn"</formula>
    </cfRule>
    <cfRule type="cellIs" dxfId="1285" priority="4047" operator="equal">
      <formula>"Withdrawn"</formula>
    </cfRule>
  </conditionalFormatting>
  <conditionalFormatting sqref="S140:S141">
    <cfRule type="cellIs" dxfId="1284" priority="4037" operator="equal">
      <formula>"Submitted Pending Approval"</formula>
    </cfRule>
    <cfRule type="cellIs" dxfId="1283" priority="4038" operator="equal">
      <formula>"Approved"</formula>
    </cfRule>
  </conditionalFormatting>
  <conditionalFormatting sqref="S140:S141">
    <cfRule type="cellIs" dxfId="1282" priority="4034" operator="equal">
      <formula>"Submitted Pending Approval"</formula>
    </cfRule>
    <cfRule type="cellIs" dxfId="1281" priority="4035" operator="equal">
      <formula>"No Action / Withdrawn"</formula>
    </cfRule>
    <cfRule type="cellIs" dxfId="1280" priority="4036" operator="equal">
      <formula>"Identified Not Submitted"</formula>
    </cfRule>
  </conditionalFormatting>
  <conditionalFormatting sqref="S140:S141">
    <cfRule type="cellIs" dxfId="1279" priority="4032" operator="equal">
      <formula>"No Action / Withdrawn"</formula>
    </cfRule>
    <cfRule type="cellIs" dxfId="1278" priority="4033" operator="equal">
      <formula>"Withdrawn"</formula>
    </cfRule>
  </conditionalFormatting>
  <conditionalFormatting sqref="S140:S141">
    <cfRule type="cellIs" dxfId="1277" priority="4031" operator="equal">
      <formula>"Partially Approved"</formula>
    </cfRule>
  </conditionalFormatting>
  <conditionalFormatting sqref="S25">
    <cfRule type="cellIs" dxfId="1276" priority="4029" operator="equal">
      <formula>"Submitted Pending Approval"</formula>
    </cfRule>
    <cfRule type="cellIs" dxfId="1275" priority="4030" operator="equal">
      <formula>"Approved"</formula>
    </cfRule>
  </conditionalFormatting>
  <conditionalFormatting sqref="S25">
    <cfRule type="cellIs" dxfId="1274" priority="4026" operator="equal">
      <formula>"Submitted Pending Approval"</formula>
    </cfRule>
    <cfRule type="cellIs" dxfId="1273" priority="4027" operator="equal">
      <formula>"No Action / Withdrawn"</formula>
    </cfRule>
    <cfRule type="cellIs" dxfId="1272" priority="4028" operator="equal">
      <formula>"Identified Not Submitted"</formula>
    </cfRule>
  </conditionalFormatting>
  <conditionalFormatting sqref="S25">
    <cfRule type="cellIs" dxfId="1271" priority="4024" operator="equal">
      <formula>"No Action / Withdrawn"</formula>
    </cfRule>
    <cfRule type="cellIs" dxfId="1270" priority="4025" operator="equal">
      <formula>"Withdrawn"</formula>
    </cfRule>
  </conditionalFormatting>
  <conditionalFormatting sqref="S25">
    <cfRule type="cellIs" dxfId="1269" priority="4016" operator="equal">
      <formula>"Partially Approved"</formula>
    </cfRule>
  </conditionalFormatting>
  <conditionalFormatting sqref="S24">
    <cfRule type="cellIs" dxfId="1268" priority="4014" operator="equal">
      <formula>"Submitted Pending Approval"</formula>
    </cfRule>
    <cfRule type="cellIs" dxfId="1267" priority="4015" operator="equal">
      <formula>"Approved"</formula>
    </cfRule>
  </conditionalFormatting>
  <conditionalFormatting sqref="S24">
    <cfRule type="cellIs" dxfId="1266" priority="4011" operator="equal">
      <formula>"Submitted Pending Approval"</formula>
    </cfRule>
    <cfRule type="cellIs" dxfId="1265" priority="4012" operator="equal">
      <formula>"No Action / Withdrawn"</formula>
    </cfRule>
    <cfRule type="cellIs" dxfId="1264" priority="4013" operator="equal">
      <formula>"Identified Not Submitted"</formula>
    </cfRule>
  </conditionalFormatting>
  <conditionalFormatting sqref="S24">
    <cfRule type="cellIs" dxfId="1263" priority="4009" operator="equal">
      <formula>"No Action / Withdrawn"</formula>
    </cfRule>
    <cfRule type="cellIs" dxfId="1262" priority="4010" operator="equal">
      <formula>"Withdrawn"</formula>
    </cfRule>
  </conditionalFormatting>
  <conditionalFormatting sqref="S24">
    <cfRule type="cellIs" dxfId="1261" priority="4001" operator="equal">
      <formula>"Partially Approved"</formula>
    </cfRule>
  </conditionalFormatting>
  <conditionalFormatting sqref="S57:S58">
    <cfRule type="cellIs" dxfId="1260" priority="3992" operator="equal">
      <formula>"Submitted Pending Approval"</formula>
    </cfRule>
    <cfRule type="cellIs" dxfId="1259" priority="3993" operator="equal">
      <formula>"Approved"</formula>
    </cfRule>
  </conditionalFormatting>
  <conditionalFormatting sqref="S57:S58">
    <cfRule type="cellIs" dxfId="1258" priority="3989" operator="equal">
      <formula>"Submitted Pending Approval"</formula>
    </cfRule>
    <cfRule type="cellIs" dxfId="1257" priority="3990" operator="equal">
      <formula>"No Action / Withdrawn"</formula>
    </cfRule>
    <cfRule type="cellIs" dxfId="1256" priority="3991" operator="equal">
      <formula>"Identified Not Submitted"</formula>
    </cfRule>
  </conditionalFormatting>
  <conditionalFormatting sqref="S57:S58">
    <cfRule type="cellIs" dxfId="1255" priority="3987" operator="equal">
      <formula>"No Action / Withdrawn"</formula>
    </cfRule>
    <cfRule type="cellIs" dxfId="1254" priority="3988" operator="equal">
      <formula>"Withdrawn"</formula>
    </cfRule>
  </conditionalFormatting>
  <conditionalFormatting sqref="S146">
    <cfRule type="cellIs" dxfId="1253" priority="3934" operator="equal">
      <formula>"Submitted Pending Approval"</formula>
    </cfRule>
    <cfRule type="cellIs" dxfId="1252" priority="3935" operator="equal">
      <formula>"Approved"</formula>
    </cfRule>
  </conditionalFormatting>
  <conditionalFormatting sqref="S146">
    <cfRule type="cellIs" dxfId="1251" priority="3931" operator="equal">
      <formula>"Submitted Pending Approval"</formula>
    </cfRule>
    <cfRule type="cellIs" dxfId="1250" priority="3932" operator="equal">
      <formula>"No Action / Withdrawn"</formula>
    </cfRule>
    <cfRule type="cellIs" dxfId="1249" priority="3933" operator="equal">
      <formula>"Identified Not Submitted"</formula>
    </cfRule>
  </conditionalFormatting>
  <conditionalFormatting sqref="S146">
    <cfRule type="cellIs" dxfId="1248" priority="3929" operator="equal">
      <formula>"No Action / Withdrawn"</formula>
    </cfRule>
    <cfRule type="cellIs" dxfId="1247" priority="3930" operator="equal">
      <formula>"Withdrawn"</formula>
    </cfRule>
  </conditionalFormatting>
  <conditionalFormatting sqref="S146">
    <cfRule type="cellIs" dxfId="1246" priority="3920" operator="equal">
      <formula>"Submitted Pending Approval"</formula>
    </cfRule>
    <cfRule type="cellIs" dxfId="1245" priority="3921" operator="equal">
      <formula>"Approved"</formula>
    </cfRule>
  </conditionalFormatting>
  <conditionalFormatting sqref="S146">
    <cfRule type="cellIs" dxfId="1244" priority="3917" operator="equal">
      <formula>"Submitted Pending Approval"</formula>
    </cfRule>
    <cfRule type="cellIs" dxfId="1243" priority="3918" operator="equal">
      <formula>"No Action / Withdrawn"</formula>
    </cfRule>
    <cfRule type="cellIs" dxfId="1242" priority="3919" operator="equal">
      <formula>"Identified Not Submitted"</formula>
    </cfRule>
  </conditionalFormatting>
  <conditionalFormatting sqref="S146">
    <cfRule type="cellIs" dxfId="1241" priority="3915" operator="equal">
      <formula>"No Action / Withdrawn"</formula>
    </cfRule>
    <cfRule type="cellIs" dxfId="1240" priority="3916" operator="equal">
      <formula>"Withdrawn"</formula>
    </cfRule>
  </conditionalFormatting>
  <conditionalFormatting sqref="S146">
    <cfRule type="cellIs" dxfId="1239" priority="3914" operator="equal">
      <formula>"Partially Approved"</formula>
    </cfRule>
  </conditionalFormatting>
  <conditionalFormatting sqref="S333">
    <cfRule type="cellIs" dxfId="1238" priority="3862" operator="equal">
      <formula>"Submitted Pending Approval"</formula>
    </cfRule>
    <cfRule type="cellIs" dxfId="1237" priority="3863" operator="equal">
      <formula>"Approved"</formula>
    </cfRule>
  </conditionalFormatting>
  <conditionalFormatting sqref="S333">
    <cfRule type="cellIs" dxfId="1236" priority="3859" operator="equal">
      <formula>"Submitted Pending Approval"</formula>
    </cfRule>
    <cfRule type="cellIs" dxfId="1235" priority="3860" operator="equal">
      <formula>"No Action / Withdrawn"</formula>
    </cfRule>
    <cfRule type="cellIs" dxfId="1234" priority="3861" operator="equal">
      <formula>"Identified Not Submitted"</formula>
    </cfRule>
  </conditionalFormatting>
  <conditionalFormatting sqref="S333">
    <cfRule type="cellIs" dxfId="1233" priority="3857" operator="equal">
      <formula>"No Action / Withdrawn"</formula>
    </cfRule>
    <cfRule type="cellIs" dxfId="1232" priority="3858" operator="equal">
      <formula>"Withdrawn"</formula>
    </cfRule>
  </conditionalFormatting>
  <conditionalFormatting sqref="S333">
    <cfRule type="cellIs" dxfId="1231" priority="3848" operator="equal">
      <formula>"Submitted Pending Approval"</formula>
    </cfRule>
    <cfRule type="cellIs" dxfId="1230" priority="3849" operator="equal">
      <formula>"Approved"</formula>
    </cfRule>
  </conditionalFormatting>
  <conditionalFormatting sqref="S333">
    <cfRule type="cellIs" dxfId="1229" priority="3845" operator="equal">
      <formula>"Submitted Pending Approval"</formula>
    </cfRule>
    <cfRule type="cellIs" dxfId="1228" priority="3846" operator="equal">
      <formula>"No Action / Withdrawn"</formula>
    </cfRule>
    <cfRule type="cellIs" dxfId="1227" priority="3847" operator="equal">
      <formula>"Identified Not Submitted"</formula>
    </cfRule>
  </conditionalFormatting>
  <conditionalFormatting sqref="S333">
    <cfRule type="cellIs" dxfId="1226" priority="3843" operator="equal">
      <formula>"No Action / Withdrawn"</formula>
    </cfRule>
    <cfRule type="cellIs" dxfId="1225" priority="3844" operator="equal">
      <formula>"Withdrawn"</formula>
    </cfRule>
  </conditionalFormatting>
  <conditionalFormatting sqref="S333">
    <cfRule type="cellIs" dxfId="1224" priority="3842" operator="equal">
      <formula>"Partially Approved"</formula>
    </cfRule>
  </conditionalFormatting>
  <conditionalFormatting sqref="S157">
    <cfRule type="cellIs" dxfId="1223" priority="3783" operator="equal">
      <formula>"Submitted Pending Approval"</formula>
    </cfRule>
    <cfRule type="cellIs" dxfId="1222" priority="3784" operator="equal">
      <formula>"Approved"</formula>
    </cfRule>
  </conditionalFormatting>
  <conditionalFormatting sqref="S157">
    <cfRule type="cellIs" dxfId="1221" priority="3780" operator="equal">
      <formula>"Submitted Pending Approval"</formula>
    </cfRule>
    <cfRule type="cellIs" dxfId="1220" priority="3781" operator="equal">
      <formula>"No Action / Withdrawn"</formula>
    </cfRule>
    <cfRule type="cellIs" dxfId="1219" priority="3782" operator="equal">
      <formula>"Identified Not Submitted"</formula>
    </cfRule>
  </conditionalFormatting>
  <conditionalFormatting sqref="S157">
    <cfRule type="cellIs" dxfId="1218" priority="3778" operator="equal">
      <formula>"No Action / Withdrawn"</formula>
    </cfRule>
    <cfRule type="cellIs" dxfId="1217" priority="3779" operator="equal">
      <formula>"Withdrawn"</formula>
    </cfRule>
  </conditionalFormatting>
  <conditionalFormatting sqref="S157">
    <cfRule type="cellIs" dxfId="1216" priority="3769" operator="equal">
      <formula>"Submitted Pending Approval"</formula>
    </cfRule>
    <cfRule type="cellIs" dxfId="1215" priority="3770" operator="equal">
      <formula>"Approved"</formula>
    </cfRule>
  </conditionalFormatting>
  <conditionalFormatting sqref="S157">
    <cfRule type="cellIs" dxfId="1214" priority="3766" operator="equal">
      <formula>"Submitted Pending Approval"</formula>
    </cfRule>
    <cfRule type="cellIs" dxfId="1213" priority="3767" operator="equal">
      <formula>"No Action / Withdrawn"</formula>
    </cfRule>
    <cfRule type="cellIs" dxfId="1212" priority="3768" operator="equal">
      <formula>"Identified Not Submitted"</formula>
    </cfRule>
  </conditionalFormatting>
  <conditionalFormatting sqref="S157">
    <cfRule type="cellIs" dxfId="1211" priority="3764" operator="equal">
      <formula>"No Action / Withdrawn"</formula>
    </cfRule>
    <cfRule type="cellIs" dxfId="1210" priority="3765" operator="equal">
      <formula>"Withdrawn"</formula>
    </cfRule>
  </conditionalFormatting>
  <conditionalFormatting sqref="S157">
    <cfRule type="cellIs" dxfId="1209" priority="3763" operator="equal">
      <formula>"Partially Approved"</formula>
    </cfRule>
  </conditionalFormatting>
  <conditionalFormatting sqref="AF14 AF157 AF159:AF160 AF162 AF166:AF173 AF177:AF180 AF182:AF186 AF198 AF204 AF164 AF37:AF87 AF216:AF220 AF223:AF229 AF340:AF352 AF236:AF255 AF263:AF264 AF266:AF268 AF270 AF272:AF279 AF281:AF282 AF320:AF331 AF136:AF137 AF257:AF261">
    <cfRule type="expression" dxfId="1208" priority="3710">
      <formula>Approved</formula>
    </cfRule>
  </conditionalFormatting>
  <conditionalFormatting sqref="AF13">
    <cfRule type="expression" dxfId="1207" priority="3709">
      <formula>Approved</formula>
    </cfRule>
  </conditionalFormatting>
  <conditionalFormatting sqref="AF12">
    <cfRule type="expression" dxfId="1206" priority="3708">
      <formula>Approved</formula>
    </cfRule>
  </conditionalFormatting>
  <conditionalFormatting sqref="AF15:AF18 AF20">
    <cfRule type="expression" dxfId="1205" priority="3707">
      <formula>Approved</formula>
    </cfRule>
  </conditionalFormatting>
  <conditionalFormatting sqref="AF333:AF339 AF152 AF30:AF34 AF95 AF139:AF141 AF143 AF133:AF134 AF137 AF91:AF93 AF131 AF89 AF98:AF126 AF21:AF28">
    <cfRule type="expression" dxfId="1204" priority="3706">
      <formula>Approved</formula>
    </cfRule>
  </conditionalFormatting>
  <conditionalFormatting sqref="S9">
    <cfRule type="cellIs" dxfId="1203" priority="3602" operator="equal">
      <formula>"Submitted Pending Approval"</formula>
    </cfRule>
    <cfRule type="cellIs" dxfId="1202" priority="3603" operator="equal">
      <formula>"Approved"</formula>
    </cfRule>
  </conditionalFormatting>
  <conditionalFormatting sqref="S9">
    <cfRule type="cellIs" dxfId="1201" priority="3599" operator="equal">
      <formula>"Submitted Pending Approval"</formula>
    </cfRule>
    <cfRule type="cellIs" dxfId="1200" priority="3600" operator="equal">
      <formula>"No Action / Withdrawn"</formula>
    </cfRule>
    <cfRule type="cellIs" dxfId="1199" priority="3601" operator="equal">
      <formula>"Identified Not Submitted"</formula>
    </cfRule>
  </conditionalFormatting>
  <conditionalFormatting sqref="S9">
    <cfRule type="cellIs" dxfId="1198" priority="3597" operator="equal">
      <formula>"No Action / Withdrawn"</formula>
    </cfRule>
    <cfRule type="cellIs" dxfId="1197" priority="3598" operator="equal">
      <formula>"Withdrawn"</formula>
    </cfRule>
  </conditionalFormatting>
  <conditionalFormatting sqref="S9">
    <cfRule type="cellIs" dxfId="1196" priority="3596" operator="equal">
      <formula>"Partially Approved"</formula>
    </cfRule>
  </conditionalFormatting>
  <conditionalFormatting sqref="AF11">
    <cfRule type="expression" dxfId="1195" priority="3594">
      <formula>Approved</formula>
    </cfRule>
  </conditionalFormatting>
  <conditionalFormatting sqref="S10">
    <cfRule type="cellIs" dxfId="1194" priority="3569" operator="equal">
      <formula>"Submitted Pending Approval"</formula>
    </cfRule>
    <cfRule type="cellIs" dxfId="1193" priority="3570" operator="equal">
      <formula>"Approved"</formula>
    </cfRule>
  </conditionalFormatting>
  <conditionalFormatting sqref="S10">
    <cfRule type="cellIs" dxfId="1192" priority="3566" operator="equal">
      <formula>"Submitted Pending Approval"</formula>
    </cfRule>
    <cfRule type="cellIs" dxfId="1191" priority="3567" operator="equal">
      <formula>"No Action / Withdrawn"</formula>
    </cfRule>
    <cfRule type="cellIs" dxfId="1190" priority="3568" operator="equal">
      <formula>"Identified Not Submitted"</formula>
    </cfRule>
  </conditionalFormatting>
  <conditionalFormatting sqref="S10">
    <cfRule type="cellIs" dxfId="1189" priority="3564" operator="equal">
      <formula>"No Action / Withdrawn"</formula>
    </cfRule>
    <cfRule type="cellIs" dxfId="1188" priority="3565" operator="equal">
      <formula>"Withdrawn"</formula>
    </cfRule>
  </conditionalFormatting>
  <conditionalFormatting sqref="S10">
    <cfRule type="cellIs" dxfId="1187" priority="3563" operator="equal">
      <formula>"Partially Approved"</formula>
    </cfRule>
  </conditionalFormatting>
  <conditionalFormatting sqref="AF132">
    <cfRule type="expression" dxfId="1186" priority="3224">
      <formula>Approved</formula>
    </cfRule>
  </conditionalFormatting>
  <conditionalFormatting sqref="S178">
    <cfRule type="cellIs" dxfId="1185" priority="3355" operator="equal">
      <formula>"Submitted Pending Approval"</formula>
    </cfRule>
    <cfRule type="cellIs" dxfId="1184" priority="3356" operator="equal">
      <formula>"Approved"</formula>
    </cfRule>
  </conditionalFormatting>
  <conditionalFormatting sqref="S178">
    <cfRule type="cellIs" dxfId="1183" priority="3352" operator="equal">
      <formula>"Submitted Pending Approval"</formula>
    </cfRule>
    <cfRule type="cellIs" dxfId="1182" priority="3353" operator="equal">
      <formula>"No Action / Withdrawn"</formula>
    </cfRule>
    <cfRule type="cellIs" dxfId="1181" priority="3354" operator="equal">
      <formula>"Identified Not Submitted"</formula>
    </cfRule>
  </conditionalFormatting>
  <conditionalFormatting sqref="S178">
    <cfRule type="cellIs" dxfId="1180" priority="3350" operator="equal">
      <formula>"No Action / Withdrawn"</formula>
    </cfRule>
    <cfRule type="cellIs" dxfId="1179" priority="3351" operator="equal">
      <formula>"Withdrawn"</formula>
    </cfRule>
  </conditionalFormatting>
  <conditionalFormatting sqref="S178">
    <cfRule type="cellIs" dxfId="1178" priority="3349" operator="equal">
      <formula>"Partially Approved"</formula>
    </cfRule>
  </conditionalFormatting>
  <conditionalFormatting sqref="S170">
    <cfRule type="cellIs" dxfId="1177" priority="3282" operator="equal">
      <formula>"Submitted Pending Approval"</formula>
    </cfRule>
    <cfRule type="cellIs" dxfId="1176" priority="3283" operator="equal">
      <formula>"Approved"</formula>
    </cfRule>
  </conditionalFormatting>
  <conditionalFormatting sqref="S170">
    <cfRule type="cellIs" dxfId="1175" priority="3279" operator="equal">
      <formula>"Submitted Pending Approval"</formula>
    </cfRule>
    <cfRule type="cellIs" dxfId="1174" priority="3280" operator="equal">
      <formula>"No Action / Withdrawn"</formula>
    </cfRule>
    <cfRule type="cellIs" dxfId="1173" priority="3281" operator="equal">
      <formula>"Identified Not Submitted"</formula>
    </cfRule>
  </conditionalFormatting>
  <conditionalFormatting sqref="S170">
    <cfRule type="cellIs" dxfId="1172" priority="3277" operator="equal">
      <formula>"No Action / Withdrawn"</formula>
    </cfRule>
    <cfRule type="cellIs" dxfId="1171" priority="3278" operator="equal">
      <formula>"Withdrawn"</formula>
    </cfRule>
  </conditionalFormatting>
  <conditionalFormatting sqref="S170">
    <cfRule type="cellIs" dxfId="1170" priority="3276" operator="equal">
      <formula>"Partially Approved"</formula>
    </cfRule>
  </conditionalFormatting>
  <conditionalFormatting sqref="S164">
    <cfRule type="cellIs" dxfId="1169" priority="3250" operator="equal">
      <formula>"Submitted Pending Approval"</formula>
    </cfRule>
    <cfRule type="cellIs" dxfId="1168" priority="3251" operator="equal">
      <formula>"Approved"</formula>
    </cfRule>
  </conditionalFormatting>
  <conditionalFormatting sqref="S164">
    <cfRule type="cellIs" dxfId="1167" priority="3247" operator="equal">
      <formula>"Submitted Pending Approval"</formula>
    </cfRule>
    <cfRule type="cellIs" dxfId="1166" priority="3248" operator="equal">
      <formula>"No Action / Withdrawn"</formula>
    </cfRule>
    <cfRule type="cellIs" dxfId="1165" priority="3249" operator="equal">
      <formula>"Identified Not Submitted"</formula>
    </cfRule>
  </conditionalFormatting>
  <conditionalFormatting sqref="S164">
    <cfRule type="cellIs" dxfId="1164" priority="3245" operator="equal">
      <formula>"No Action / Withdrawn"</formula>
    </cfRule>
    <cfRule type="cellIs" dxfId="1163" priority="3246" operator="equal">
      <formula>"Withdrawn"</formula>
    </cfRule>
  </conditionalFormatting>
  <conditionalFormatting sqref="S164">
    <cfRule type="cellIs" dxfId="1162" priority="3244" operator="equal">
      <formula>"Partially Approved"</formula>
    </cfRule>
  </conditionalFormatting>
  <conditionalFormatting sqref="AF35">
    <cfRule type="expression" dxfId="1161" priority="3225">
      <formula>Approved</formula>
    </cfRule>
  </conditionalFormatting>
  <conditionalFormatting sqref="AF144:AF145">
    <cfRule type="expression" dxfId="1160" priority="3192">
      <formula>Approved</formula>
    </cfRule>
  </conditionalFormatting>
  <conditionalFormatting sqref="S57:S58">
    <cfRule type="cellIs" dxfId="1159" priority="3190" operator="equal">
      <formula>"Submitted Pending Approval"</formula>
    </cfRule>
    <cfRule type="cellIs" dxfId="1158" priority="3191" operator="equal">
      <formula>"Approved"</formula>
    </cfRule>
  </conditionalFormatting>
  <conditionalFormatting sqref="S57:S58">
    <cfRule type="cellIs" dxfId="1157" priority="3187" operator="equal">
      <formula>"Submitted Pending Approval"</formula>
    </cfRule>
    <cfRule type="cellIs" dxfId="1156" priority="3188" operator="equal">
      <formula>"No Action / Withdrawn"</formula>
    </cfRule>
    <cfRule type="cellIs" dxfId="1155" priority="3189" operator="equal">
      <formula>"Identified Not Submitted"</formula>
    </cfRule>
  </conditionalFormatting>
  <conditionalFormatting sqref="S57:S58">
    <cfRule type="cellIs" dxfId="1154" priority="3185" operator="equal">
      <formula>"No Action / Withdrawn"</formula>
    </cfRule>
    <cfRule type="cellIs" dxfId="1153" priority="3186" operator="equal">
      <formula>"Withdrawn"</formula>
    </cfRule>
  </conditionalFormatting>
  <conditionalFormatting sqref="AF146 AF148:AF149 AF151">
    <cfRule type="expression" dxfId="1152" priority="3083">
      <formula>Approved</formula>
    </cfRule>
  </conditionalFormatting>
  <conditionalFormatting sqref="S322">
    <cfRule type="cellIs" dxfId="1151" priority="3047" operator="equal">
      <formula>"Submitted Pending Approval"</formula>
    </cfRule>
    <cfRule type="cellIs" dxfId="1150" priority="3048" operator="equal">
      <formula>"Approved"</formula>
    </cfRule>
  </conditionalFormatting>
  <conditionalFormatting sqref="S322">
    <cfRule type="cellIs" dxfId="1149" priority="3044" operator="equal">
      <formula>"Submitted Pending Approval"</formula>
    </cfRule>
    <cfRule type="cellIs" dxfId="1148" priority="3045" operator="equal">
      <formula>"No Action / Withdrawn"</formula>
    </cfRule>
    <cfRule type="cellIs" dxfId="1147" priority="3046" operator="equal">
      <formula>"Identified Not Submitted"</formula>
    </cfRule>
  </conditionalFormatting>
  <conditionalFormatting sqref="S322">
    <cfRule type="cellIs" dxfId="1146" priority="3042" operator="equal">
      <formula>"No Action / Withdrawn"</formula>
    </cfRule>
    <cfRule type="cellIs" dxfId="1145" priority="3043" operator="equal">
      <formula>"Withdrawn"</formula>
    </cfRule>
  </conditionalFormatting>
  <conditionalFormatting sqref="S322">
    <cfRule type="cellIs" dxfId="1144" priority="3041" operator="equal">
      <formula>"Partially Approved"</formula>
    </cfRule>
  </conditionalFormatting>
  <conditionalFormatting sqref="AF196:AF197">
    <cfRule type="expression" dxfId="1143" priority="3000">
      <formula>Approved</formula>
    </cfRule>
  </conditionalFormatting>
  <conditionalFormatting sqref="S192">
    <cfRule type="cellIs" dxfId="1142" priority="2943" operator="equal">
      <formula>"Partially Approved"</formula>
    </cfRule>
  </conditionalFormatting>
  <conditionalFormatting sqref="S192">
    <cfRule type="cellIs" dxfId="1141" priority="2949" operator="equal">
      <formula>"Submitted Pending Approval"</formula>
    </cfRule>
    <cfRule type="cellIs" dxfId="1140" priority="2950" operator="equal">
      <formula>"Approved"</formula>
    </cfRule>
  </conditionalFormatting>
  <conditionalFormatting sqref="S192">
    <cfRule type="cellIs" dxfId="1139" priority="2946" operator="equal">
      <formula>"Submitted Pending Approval"</formula>
    </cfRule>
    <cfRule type="cellIs" dxfId="1138" priority="2947" operator="equal">
      <formula>"No Action / Withdrawn"</formula>
    </cfRule>
    <cfRule type="cellIs" dxfId="1137" priority="2948" operator="equal">
      <formula>"Identified Not Submitted"</formula>
    </cfRule>
  </conditionalFormatting>
  <conditionalFormatting sqref="S192">
    <cfRule type="cellIs" dxfId="1136" priority="2944" operator="equal">
      <formula>"No Action / Withdrawn"</formula>
    </cfRule>
    <cfRule type="cellIs" dxfId="1135" priority="2945" operator="equal">
      <formula>"Withdrawn"</formula>
    </cfRule>
  </conditionalFormatting>
  <conditionalFormatting sqref="AF195 AF188:AF193">
    <cfRule type="expression" dxfId="1134" priority="2975">
      <formula>Approved</formula>
    </cfRule>
  </conditionalFormatting>
  <conditionalFormatting sqref="AF29">
    <cfRule type="expression" dxfId="1133" priority="2927">
      <formula>Approved</formula>
    </cfRule>
  </conditionalFormatting>
  <conditionalFormatting sqref="AF96">
    <cfRule type="expression" dxfId="1132" priority="2919">
      <formula>Approved</formula>
    </cfRule>
  </conditionalFormatting>
  <conditionalFormatting sqref="AF94">
    <cfRule type="expression" dxfId="1131" priority="2918">
      <formula>Approved</formula>
    </cfRule>
  </conditionalFormatting>
  <conditionalFormatting sqref="AF138">
    <cfRule type="expression" dxfId="1130" priority="2917">
      <formula>Approved</formula>
    </cfRule>
  </conditionalFormatting>
  <conditionalFormatting sqref="AF142">
    <cfRule type="expression" dxfId="1129" priority="2887">
      <formula>Approved</formula>
    </cfRule>
  </conditionalFormatting>
  <conditionalFormatting sqref="AF154:AF155">
    <cfRule type="expression" dxfId="1128" priority="2886">
      <formula>Approved</formula>
    </cfRule>
  </conditionalFormatting>
  <conditionalFormatting sqref="AF153">
    <cfRule type="expression" dxfId="1127" priority="2885">
      <formula>Approved</formula>
    </cfRule>
  </conditionalFormatting>
  <conditionalFormatting sqref="AF147">
    <cfRule type="expression" dxfId="1126" priority="2884">
      <formula>Approved</formula>
    </cfRule>
  </conditionalFormatting>
  <conditionalFormatting sqref="S155">
    <cfRule type="cellIs" dxfId="1125" priority="2824" operator="equal">
      <formula>"Submitted Pending Approval"</formula>
    </cfRule>
    <cfRule type="cellIs" dxfId="1124" priority="2825" operator="equal">
      <formula>"Approved"</formula>
    </cfRule>
  </conditionalFormatting>
  <conditionalFormatting sqref="S155">
    <cfRule type="cellIs" dxfId="1123" priority="2821" operator="equal">
      <formula>"Submitted Pending Approval"</formula>
    </cfRule>
    <cfRule type="cellIs" dxfId="1122" priority="2822" operator="equal">
      <formula>"No Action / Withdrawn"</formula>
    </cfRule>
    <cfRule type="cellIs" dxfId="1121" priority="2823" operator="equal">
      <formula>"Identified Not Submitted"</formula>
    </cfRule>
  </conditionalFormatting>
  <conditionalFormatting sqref="S155">
    <cfRule type="cellIs" dxfId="1120" priority="2819" operator="equal">
      <formula>"No Action / Withdrawn"</formula>
    </cfRule>
    <cfRule type="cellIs" dxfId="1119" priority="2820" operator="equal">
      <formula>"Withdrawn"</formula>
    </cfRule>
  </conditionalFormatting>
  <conditionalFormatting sqref="S155">
    <cfRule type="cellIs" dxfId="1118" priority="2818" operator="equal">
      <formula>"Partially Approved"</formula>
    </cfRule>
  </conditionalFormatting>
  <conditionalFormatting sqref="S148">
    <cfRule type="cellIs" dxfId="1117" priority="2769" operator="equal">
      <formula>"Submitted Pending Approval"</formula>
    </cfRule>
    <cfRule type="cellIs" dxfId="1116" priority="2770" operator="equal">
      <formula>"Approved"</formula>
    </cfRule>
  </conditionalFormatting>
  <conditionalFormatting sqref="S148">
    <cfRule type="cellIs" dxfId="1115" priority="2766" operator="equal">
      <formula>"Submitted Pending Approval"</formula>
    </cfRule>
    <cfRule type="cellIs" dxfId="1114" priority="2767" operator="equal">
      <formula>"No Action / Withdrawn"</formula>
    </cfRule>
    <cfRule type="cellIs" dxfId="1113" priority="2768" operator="equal">
      <formula>"Identified Not Submitted"</formula>
    </cfRule>
  </conditionalFormatting>
  <conditionalFormatting sqref="S148">
    <cfRule type="cellIs" dxfId="1112" priority="2764" operator="equal">
      <formula>"No Action / Withdrawn"</formula>
    </cfRule>
    <cfRule type="cellIs" dxfId="1111" priority="2765" operator="equal">
      <formula>"Withdrawn"</formula>
    </cfRule>
  </conditionalFormatting>
  <conditionalFormatting sqref="S148">
    <cfRule type="cellIs" dxfId="1110" priority="2762" operator="equal">
      <formula>"Submitted Pending Approval"</formula>
    </cfRule>
    <cfRule type="cellIs" dxfId="1109" priority="2763" operator="equal">
      <formula>"Approved"</formula>
    </cfRule>
  </conditionalFormatting>
  <conditionalFormatting sqref="S148">
    <cfRule type="cellIs" dxfId="1108" priority="2759" operator="equal">
      <formula>"Submitted Pending Approval"</formula>
    </cfRule>
    <cfRule type="cellIs" dxfId="1107" priority="2760" operator="equal">
      <formula>"No Action / Withdrawn"</formula>
    </cfRule>
    <cfRule type="cellIs" dxfId="1106" priority="2761" operator="equal">
      <formula>"Identified Not Submitted"</formula>
    </cfRule>
  </conditionalFormatting>
  <conditionalFormatting sqref="S148">
    <cfRule type="cellIs" dxfId="1105" priority="2757" operator="equal">
      <formula>"No Action / Withdrawn"</formula>
    </cfRule>
    <cfRule type="cellIs" dxfId="1104" priority="2758" operator="equal">
      <formula>"Withdrawn"</formula>
    </cfRule>
  </conditionalFormatting>
  <conditionalFormatting sqref="S148">
    <cfRule type="cellIs" dxfId="1103" priority="2756" operator="equal">
      <formula>"Partially Approved"</formula>
    </cfRule>
  </conditionalFormatting>
  <conditionalFormatting sqref="AF158">
    <cfRule type="expression" dxfId="1102" priority="2711">
      <formula>Approved</formula>
    </cfRule>
  </conditionalFormatting>
  <conditionalFormatting sqref="AF161">
    <cfRule type="expression" dxfId="1101" priority="2710">
      <formula>Approved</formula>
    </cfRule>
  </conditionalFormatting>
  <conditionalFormatting sqref="S161">
    <cfRule type="cellIs" dxfId="1100" priority="2708" operator="equal">
      <formula>"Submitted Pending Approval"</formula>
    </cfRule>
    <cfRule type="cellIs" dxfId="1099" priority="2709" operator="equal">
      <formula>"Approved"</formula>
    </cfRule>
  </conditionalFormatting>
  <conditionalFormatting sqref="S161">
    <cfRule type="cellIs" dxfId="1098" priority="2705" operator="equal">
      <formula>"Submitted Pending Approval"</formula>
    </cfRule>
    <cfRule type="cellIs" dxfId="1097" priority="2706" operator="equal">
      <formula>"No Action / Withdrawn"</formula>
    </cfRule>
    <cfRule type="cellIs" dxfId="1096" priority="2707" operator="equal">
      <formula>"Identified Not Submitted"</formula>
    </cfRule>
  </conditionalFormatting>
  <conditionalFormatting sqref="S161">
    <cfRule type="cellIs" dxfId="1095" priority="2703" operator="equal">
      <formula>"No Action / Withdrawn"</formula>
    </cfRule>
    <cfRule type="cellIs" dxfId="1094" priority="2704" operator="equal">
      <formula>"Withdrawn"</formula>
    </cfRule>
  </conditionalFormatting>
  <conditionalFormatting sqref="S161">
    <cfRule type="cellIs" dxfId="1093" priority="2702" operator="equal">
      <formula>"Partially Approved"</formula>
    </cfRule>
  </conditionalFormatting>
  <conditionalFormatting sqref="AF174 AF176">
    <cfRule type="expression" dxfId="1092" priority="2692">
      <formula>Approved</formula>
    </cfRule>
  </conditionalFormatting>
  <conditionalFormatting sqref="AF181">
    <cfRule type="expression" dxfId="1091" priority="2659">
      <formula>Approved</formula>
    </cfRule>
  </conditionalFormatting>
  <conditionalFormatting sqref="AF323:AF325">
    <cfRule type="expression" dxfId="1090" priority="2565">
      <formula>Approved</formula>
    </cfRule>
  </conditionalFormatting>
  <conditionalFormatting sqref="AF326:AF327">
    <cfRule type="expression" dxfId="1089" priority="2564">
      <formula>Approved</formula>
    </cfRule>
  </conditionalFormatting>
  <conditionalFormatting sqref="S329:S330">
    <cfRule type="cellIs" dxfId="1088" priority="2544" operator="equal">
      <formula>"Submitted Pending Approval"</formula>
    </cfRule>
    <cfRule type="cellIs" dxfId="1087" priority="2545" operator="equal">
      <formula>"Approved"</formula>
    </cfRule>
  </conditionalFormatting>
  <conditionalFormatting sqref="S329:S330">
    <cfRule type="cellIs" dxfId="1086" priority="2541" operator="equal">
      <formula>"Submitted Pending Approval"</formula>
    </cfRule>
    <cfRule type="cellIs" dxfId="1085" priority="2542" operator="equal">
      <formula>"No Action / Withdrawn"</formula>
    </cfRule>
    <cfRule type="cellIs" dxfId="1084" priority="2543" operator="equal">
      <formula>"Identified Not Submitted"</formula>
    </cfRule>
  </conditionalFormatting>
  <conditionalFormatting sqref="S329:S330">
    <cfRule type="cellIs" dxfId="1083" priority="2539" operator="equal">
      <formula>"No Action / Withdrawn"</formula>
    </cfRule>
    <cfRule type="cellIs" dxfId="1082" priority="2540" operator="equal">
      <formula>"Withdrawn"</formula>
    </cfRule>
  </conditionalFormatting>
  <conditionalFormatting sqref="S329:S330">
    <cfRule type="cellIs" dxfId="1081" priority="2538" operator="equal">
      <formula>"Partially Approved"</formula>
    </cfRule>
  </conditionalFormatting>
  <conditionalFormatting sqref="AF355:AF357">
    <cfRule type="expression" dxfId="1080" priority="2529">
      <formula>Approved</formula>
    </cfRule>
  </conditionalFormatting>
  <conditionalFormatting sqref="S355:S357">
    <cfRule type="cellIs" dxfId="1079" priority="2527" operator="equal">
      <formula>"Submitted Pending Approval"</formula>
    </cfRule>
    <cfRule type="cellIs" dxfId="1078" priority="2528" operator="equal">
      <formula>"Approved"</formula>
    </cfRule>
  </conditionalFormatting>
  <conditionalFormatting sqref="S355:S357">
    <cfRule type="cellIs" dxfId="1077" priority="2524" operator="equal">
      <formula>"Submitted Pending Approval"</formula>
    </cfRule>
    <cfRule type="cellIs" dxfId="1076" priority="2525" operator="equal">
      <formula>"No Action / Withdrawn"</formula>
    </cfRule>
    <cfRule type="cellIs" dxfId="1075" priority="2526" operator="equal">
      <formula>"Identified Not Submitted"</formula>
    </cfRule>
  </conditionalFormatting>
  <conditionalFormatting sqref="S355:S357">
    <cfRule type="cellIs" dxfId="1074" priority="2522" operator="equal">
      <formula>"No Action / Withdrawn"</formula>
    </cfRule>
    <cfRule type="cellIs" dxfId="1073" priority="2523" operator="equal">
      <formula>"Withdrawn"</formula>
    </cfRule>
  </conditionalFormatting>
  <conditionalFormatting sqref="S355:S357">
    <cfRule type="cellIs" dxfId="1072" priority="2521" operator="equal">
      <formula>"Partially Approved"</formula>
    </cfRule>
  </conditionalFormatting>
  <conditionalFormatting sqref="AF326:AF327">
    <cfRule type="expression" dxfId="1071" priority="2513">
      <formula>Approved</formula>
    </cfRule>
  </conditionalFormatting>
  <conditionalFormatting sqref="S195">
    <cfRule type="cellIs" dxfId="1070" priority="2496" operator="equal">
      <formula>"Partially Approved"</formula>
    </cfRule>
  </conditionalFormatting>
  <conditionalFormatting sqref="S195">
    <cfRule type="cellIs" dxfId="1069" priority="2502" operator="equal">
      <formula>"Submitted Pending Approval"</formula>
    </cfRule>
    <cfRule type="cellIs" dxfId="1068" priority="2503" operator="equal">
      <formula>"Approved"</formula>
    </cfRule>
  </conditionalFormatting>
  <conditionalFormatting sqref="S195">
    <cfRule type="cellIs" dxfId="1067" priority="2499" operator="equal">
      <formula>"Submitted Pending Approval"</formula>
    </cfRule>
    <cfRule type="cellIs" dxfId="1066" priority="2500" operator="equal">
      <formula>"No Action / Withdrawn"</formula>
    </cfRule>
    <cfRule type="cellIs" dxfId="1065" priority="2501" operator="equal">
      <formula>"Identified Not Submitted"</formula>
    </cfRule>
  </conditionalFormatting>
  <conditionalFormatting sqref="S195">
    <cfRule type="cellIs" dxfId="1064" priority="2497" operator="equal">
      <formula>"No Action / Withdrawn"</formula>
    </cfRule>
    <cfRule type="cellIs" dxfId="1063" priority="2498" operator="equal">
      <formula>"Withdrawn"</formula>
    </cfRule>
  </conditionalFormatting>
  <conditionalFormatting sqref="AF329">
    <cfRule type="expression" dxfId="1062" priority="2463">
      <formula>Approved</formula>
    </cfRule>
  </conditionalFormatting>
  <conditionalFormatting sqref="AF330">
    <cfRule type="expression" dxfId="1061" priority="2462">
      <formula>Approved</formula>
    </cfRule>
  </conditionalFormatting>
  <conditionalFormatting sqref="S22">
    <cfRule type="cellIs" dxfId="1060" priority="2457" operator="equal">
      <formula>"Submitted Pending Approval"</formula>
    </cfRule>
    <cfRule type="cellIs" dxfId="1059" priority="2458" operator="equal">
      <formula>"No Action / Withdrawn"</formula>
    </cfRule>
    <cfRule type="cellIs" dxfId="1058" priority="2459" operator="equal">
      <formula>"Identified Not Submitted"</formula>
    </cfRule>
  </conditionalFormatting>
  <conditionalFormatting sqref="S22">
    <cfRule type="cellIs" dxfId="1057" priority="2455" operator="equal">
      <formula>"No Action / Withdrawn"</formula>
    </cfRule>
    <cfRule type="cellIs" dxfId="1056" priority="2456" operator="equal">
      <formula>"Withdrawn"</formula>
    </cfRule>
  </conditionalFormatting>
  <conditionalFormatting sqref="S22">
    <cfRule type="cellIs" dxfId="1055" priority="2460" operator="equal">
      <formula>"Submitted Pending Approval"</formula>
    </cfRule>
    <cfRule type="cellIs" dxfId="1054" priority="2461" operator="equal">
      <formula>"Approved"</formula>
    </cfRule>
  </conditionalFormatting>
  <conditionalFormatting sqref="S22">
    <cfRule type="cellIs" dxfId="1053" priority="2453" operator="equal">
      <formula>"Submitted Pending Approval"</formula>
    </cfRule>
    <cfRule type="cellIs" dxfId="1052" priority="2454" operator="equal">
      <formula>"Approved"</formula>
    </cfRule>
  </conditionalFormatting>
  <conditionalFormatting sqref="S22">
    <cfRule type="cellIs" dxfId="1051" priority="2450" operator="equal">
      <formula>"Submitted Pending Approval"</formula>
    </cfRule>
    <cfRule type="cellIs" dxfId="1050" priority="2451" operator="equal">
      <formula>"No Action / Withdrawn"</formula>
    </cfRule>
    <cfRule type="cellIs" dxfId="1049" priority="2452" operator="equal">
      <formula>"Identified Not Submitted"</formula>
    </cfRule>
  </conditionalFormatting>
  <conditionalFormatting sqref="S22">
    <cfRule type="cellIs" dxfId="1048" priority="2448" operator="equal">
      <formula>"No Action / Withdrawn"</formula>
    </cfRule>
    <cfRule type="cellIs" dxfId="1047" priority="2449" operator="equal">
      <formula>"Withdrawn"</formula>
    </cfRule>
  </conditionalFormatting>
  <conditionalFormatting sqref="S321">
    <cfRule type="cellIs" dxfId="1046" priority="2443" operator="equal">
      <formula>"Submitted Pending Approval"</formula>
    </cfRule>
    <cfRule type="cellIs" dxfId="1045" priority="2444" operator="equal">
      <formula>"No Action / Withdrawn"</formula>
    </cfRule>
    <cfRule type="cellIs" dxfId="1044" priority="2445" operator="equal">
      <formula>"Identified Not Submitted"</formula>
    </cfRule>
  </conditionalFormatting>
  <conditionalFormatting sqref="S321">
    <cfRule type="cellIs" dxfId="1043" priority="2441" operator="equal">
      <formula>"No Action / Withdrawn"</formula>
    </cfRule>
    <cfRule type="cellIs" dxfId="1042" priority="2442" operator="equal">
      <formula>"Withdrawn"</formula>
    </cfRule>
  </conditionalFormatting>
  <conditionalFormatting sqref="S321">
    <cfRule type="cellIs" dxfId="1041" priority="2446" operator="equal">
      <formula>"Submitted Pending Approval"</formula>
    </cfRule>
    <cfRule type="cellIs" dxfId="1040" priority="2447" operator="equal">
      <formula>"Approved"</formula>
    </cfRule>
  </conditionalFormatting>
  <conditionalFormatting sqref="S321">
    <cfRule type="cellIs" dxfId="1039" priority="2439" operator="equal">
      <formula>"Submitted Pending Approval"</formula>
    </cfRule>
    <cfRule type="cellIs" dxfId="1038" priority="2440" operator="equal">
      <formula>"Approved"</formula>
    </cfRule>
  </conditionalFormatting>
  <conditionalFormatting sqref="S321">
    <cfRule type="cellIs" dxfId="1037" priority="2436" operator="equal">
      <formula>"Submitted Pending Approval"</formula>
    </cfRule>
    <cfRule type="cellIs" dxfId="1036" priority="2437" operator="equal">
      <formula>"No Action / Withdrawn"</formula>
    </cfRule>
    <cfRule type="cellIs" dxfId="1035" priority="2438" operator="equal">
      <formula>"Identified Not Submitted"</formula>
    </cfRule>
  </conditionalFormatting>
  <conditionalFormatting sqref="S321">
    <cfRule type="cellIs" dxfId="1034" priority="2434" operator="equal">
      <formula>"No Action / Withdrawn"</formula>
    </cfRule>
    <cfRule type="cellIs" dxfId="1033" priority="2435" operator="equal">
      <formula>"Withdrawn"</formula>
    </cfRule>
  </conditionalFormatting>
  <conditionalFormatting sqref="S125">
    <cfRule type="cellIs" dxfId="1032" priority="2310" operator="equal">
      <formula>"Submitted Pending Approval"</formula>
    </cfRule>
    <cfRule type="cellIs" dxfId="1031" priority="2311" operator="equal">
      <formula>"No Action / Withdrawn"</formula>
    </cfRule>
    <cfRule type="cellIs" dxfId="1030" priority="2312" operator="equal">
      <formula>"Identified Not Submitted"</formula>
    </cfRule>
  </conditionalFormatting>
  <conditionalFormatting sqref="S125">
    <cfRule type="cellIs" dxfId="1029" priority="2308" operator="equal">
      <formula>"No Action / Withdrawn"</formula>
    </cfRule>
    <cfRule type="cellIs" dxfId="1028" priority="2309" operator="equal">
      <formula>"Withdrawn"</formula>
    </cfRule>
  </conditionalFormatting>
  <conditionalFormatting sqref="S125">
    <cfRule type="cellIs" dxfId="1027" priority="2313" operator="equal">
      <formula>"Submitted Pending Approval"</formula>
    </cfRule>
    <cfRule type="cellIs" dxfId="1026" priority="2314" operator="equal">
      <formula>"Approved"</formula>
    </cfRule>
  </conditionalFormatting>
  <conditionalFormatting sqref="S125">
    <cfRule type="cellIs" dxfId="1025" priority="2306" operator="equal">
      <formula>"Submitted Pending Approval"</formula>
    </cfRule>
    <cfRule type="cellIs" dxfId="1024" priority="2307" operator="equal">
      <formula>"Approved"</formula>
    </cfRule>
  </conditionalFormatting>
  <conditionalFormatting sqref="S125">
    <cfRule type="cellIs" dxfId="1023" priority="2303" operator="equal">
      <formula>"Submitted Pending Approval"</formula>
    </cfRule>
    <cfRule type="cellIs" dxfId="1022" priority="2304" operator="equal">
      <formula>"No Action / Withdrawn"</formula>
    </cfRule>
    <cfRule type="cellIs" dxfId="1021" priority="2305" operator="equal">
      <formula>"Identified Not Submitted"</formula>
    </cfRule>
  </conditionalFormatting>
  <conditionalFormatting sqref="S125">
    <cfRule type="cellIs" dxfId="1020" priority="2301" operator="equal">
      <formula>"No Action / Withdrawn"</formula>
    </cfRule>
    <cfRule type="cellIs" dxfId="1019" priority="2302" operator="equal">
      <formula>"Withdrawn"</formula>
    </cfRule>
  </conditionalFormatting>
  <conditionalFormatting sqref="S87">
    <cfRule type="cellIs" dxfId="1018" priority="2296" operator="equal">
      <formula>"Submitted Pending Approval"</formula>
    </cfRule>
    <cfRule type="cellIs" dxfId="1017" priority="2297" operator="equal">
      <formula>"No Action / Withdrawn"</formula>
    </cfRule>
    <cfRule type="cellIs" dxfId="1016" priority="2298" operator="equal">
      <formula>"Identified Not Submitted"</formula>
    </cfRule>
  </conditionalFormatting>
  <conditionalFormatting sqref="S87">
    <cfRule type="cellIs" dxfId="1015" priority="2294" operator="equal">
      <formula>"No Action / Withdrawn"</formula>
    </cfRule>
    <cfRule type="cellIs" dxfId="1014" priority="2295" operator="equal">
      <formula>"Withdrawn"</formula>
    </cfRule>
  </conditionalFormatting>
  <conditionalFormatting sqref="S87">
    <cfRule type="cellIs" dxfId="1013" priority="2299" operator="equal">
      <formula>"Submitted Pending Approval"</formula>
    </cfRule>
    <cfRule type="cellIs" dxfId="1012" priority="2300" operator="equal">
      <formula>"Approved"</formula>
    </cfRule>
  </conditionalFormatting>
  <conditionalFormatting sqref="S87">
    <cfRule type="cellIs" dxfId="1011" priority="2292" operator="equal">
      <formula>"Submitted Pending Approval"</formula>
    </cfRule>
    <cfRule type="cellIs" dxfId="1010" priority="2293" operator="equal">
      <formula>"Approved"</formula>
    </cfRule>
  </conditionalFormatting>
  <conditionalFormatting sqref="S87">
    <cfRule type="cellIs" dxfId="1009" priority="2289" operator="equal">
      <formula>"Submitted Pending Approval"</formula>
    </cfRule>
    <cfRule type="cellIs" dxfId="1008" priority="2290" operator="equal">
      <formula>"No Action / Withdrawn"</formula>
    </cfRule>
    <cfRule type="cellIs" dxfId="1007" priority="2291" operator="equal">
      <formula>"Identified Not Submitted"</formula>
    </cfRule>
  </conditionalFormatting>
  <conditionalFormatting sqref="S87">
    <cfRule type="cellIs" dxfId="1006" priority="2287" operator="equal">
      <formula>"No Action / Withdrawn"</formula>
    </cfRule>
    <cfRule type="cellIs" dxfId="1005" priority="2288" operator="equal">
      <formula>"Withdrawn"</formula>
    </cfRule>
  </conditionalFormatting>
  <conditionalFormatting sqref="S33">
    <cfRule type="cellIs" dxfId="1004" priority="2268" operator="equal">
      <formula>"Submitted Pending Approval"</formula>
    </cfRule>
    <cfRule type="cellIs" dxfId="1003" priority="2269" operator="equal">
      <formula>"No Action / Withdrawn"</formula>
    </cfRule>
    <cfRule type="cellIs" dxfId="1002" priority="2270" operator="equal">
      <formula>"Identified Not Submitted"</formula>
    </cfRule>
  </conditionalFormatting>
  <conditionalFormatting sqref="S33">
    <cfRule type="cellIs" dxfId="1001" priority="2266" operator="equal">
      <formula>"No Action / Withdrawn"</formula>
    </cfRule>
    <cfRule type="cellIs" dxfId="1000" priority="2267" operator="equal">
      <formula>"Withdrawn"</formula>
    </cfRule>
  </conditionalFormatting>
  <conditionalFormatting sqref="S33">
    <cfRule type="cellIs" dxfId="999" priority="2271" operator="equal">
      <formula>"Submitted Pending Approval"</formula>
    </cfRule>
    <cfRule type="cellIs" dxfId="998" priority="2272" operator="equal">
      <formula>"Approved"</formula>
    </cfRule>
  </conditionalFormatting>
  <conditionalFormatting sqref="S33">
    <cfRule type="cellIs" dxfId="997" priority="2264" operator="equal">
      <formula>"Submitted Pending Approval"</formula>
    </cfRule>
    <cfRule type="cellIs" dxfId="996" priority="2265" operator="equal">
      <formula>"Approved"</formula>
    </cfRule>
  </conditionalFormatting>
  <conditionalFormatting sqref="S33">
    <cfRule type="cellIs" dxfId="995" priority="2261" operator="equal">
      <formula>"Submitted Pending Approval"</formula>
    </cfRule>
    <cfRule type="cellIs" dxfId="994" priority="2262" operator="equal">
      <formula>"No Action / Withdrawn"</formula>
    </cfRule>
    <cfRule type="cellIs" dxfId="993" priority="2263" operator="equal">
      <formula>"Identified Not Submitted"</formula>
    </cfRule>
  </conditionalFormatting>
  <conditionalFormatting sqref="S33">
    <cfRule type="cellIs" dxfId="992" priority="2259" operator="equal">
      <formula>"No Action / Withdrawn"</formula>
    </cfRule>
    <cfRule type="cellIs" dxfId="991" priority="2260" operator="equal">
      <formula>"Withdrawn"</formula>
    </cfRule>
  </conditionalFormatting>
  <conditionalFormatting sqref="S197 S175 S165 S153 S149 S132:S134 S114 S110:S111 S103:S104 S94:S96 S85:S87 S76:S82 S71 S62:S65 S59:S60 S56:S57 S52:S53 S50 S48 S38:S46 S35 S30:S33 S17:S18 S98 S121:S123 S125 S159:S160 S186 S321:S322 S137 S143:S145 S118:S119 S162:S163 S20:S23 S26:S28">
    <cfRule type="cellIs" dxfId="990" priority="2257" operator="equal">
      <formula>"Submitted Pending Approval"</formula>
    </cfRule>
    <cfRule type="cellIs" dxfId="989" priority="2258" operator="equal">
      <formula>"Approved"</formula>
    </cfRule>
  </conditionalFormatting>
  <conditionalFormatting sqref="S197 S175 S165 S153 S149 S132:S134 S114 S110:S111 S103:S104 S94:S96 S85:S87 S76:S82 S71 S62:S65 S59:S60 S56:S57 S52:S53 S50 S48 S38:S46 S35 S30:S33 S17:S18 S98 S121:S123 S125 S159:S160 S186 S321:S322 S137 S143:S145 S118:S119 S162:S163 S20:S23 S26:S28">
    <cfRule type="cellIs" dxfId="988" priority="2254" operator="equal">
      <formula>"Submitted Pending Approval"</formula>
    </cfRule>
    <cfRule type="cellIs" dxfId="987" priority="2255" operator="equal">
      <formula>"No Action / Withdrawn"</formula>
    </cfRule>
    <cfRule type="cellIs" dxfId="986" priority="2256" operator="equal">
      <formula>"Identified Not Submitted"</formula>
    </cfRule>
  </conditionalFormatting>
  <conditionalFormatting sqref="S197 S175 S165 S153 S149 S132:S134 S114 S110:S111 S103:S104 S94:S96 S85:S87 S76:S82 S71 S62:S65 S59:S60 S56:S57 S52:S53 S50 S48 S38:S46 S35 S30:S33 S17:S18 S98 S121:S123 S125 S159:S160 S186 S321:S322 S137 S143:S145 S118:S119 S162:S163 S20:S23 S26:S28">
    <cfRule type="cellIs" dxfId="985" priority="2252" operator="equal">
      <formula>"No Action / Withdrawn"</formula>
    </cfRule>
    <cfRule type="cellIs" dxfId="984" priority="2253" operator="equal">
      <formula>"Withdrawn"</formula>
    </cfRule>
  </conditionalFormatting>
  <conditionalFormatting sqref="S197 S175 S165 S153 S149 S132:S134 S94:S96 S98 S121:S123 S159:S160 S186 S137 S143:S145 S162:S163">
    <cfRule type="cellIs" dxfId="983" priority="2251" operator="equal">
      <formula>"Partially Approved"</formula>
    </cfRule>
  </conditionalFormatting>
  <conditionalFormatting sqref="AF97">
    <cfRule type="expression" dxfId="982" priority="2201">
      <formula>Approved</formula>
    </cfRule>
  </conditionalFormatting>
  <conditionalFormatting sqref="S97">
    <cfRule type="cellIs" dxfId="981" priority="2199" operator="equal">
      <formula>"Submitted Pending Approval"</formula>
    </cfRule>
    <cfRule type="cellIs" dxfId="980" priority="2200" operator="equal">
      <formula>"Approved"</formula>
    </cfRule>
  </conditionalFormatting>
  <conditionalFormatting sqref="S97">
    <cfRule type="cellIs" dxfId="979" priority="2196" operator="equal">
      <formula>"Submitted Pending Approval"</formula>
    </cfRule>
    <cfRule type="cellIs" dxfId="978" priority="2197" operator="equal">
      <formula>"No Action / Withdrawn"</formula>
    </cfRule>
    <cfRule type="cellIs" dxfId="977" priority="2198" operator="equal">
      <formula>"Identified Not Submitted"</formula>
    </cfRule>
  </conditionalFormatting>
  <conditionalFormatting sqref="S97">
    <cfRule type="cellIs" dxfId="976" priority="2194" operator="equal">
      <formula>"No Action / Withdrawn"</formula>
    </cfRule>
    <cfRule type="cellIs" dxfId="975" priority="2195" operator="equal">
      <formula>"Withdrawn"</formula>
    </cfRule>
  </conditionalFormatting>
  <conditionalFormatting sqref="S97">
    <cfRule type="cellIs" dxfId="974" priority="2193" operator="equal">
      <formula>"Partially Approved"</formula>
    </cfRule>
  </conditionalFormatting>
  <conditionalFormatting sqref="AF135:AF136">
    <cfRule type="expression" dxfId="973" priority="2177">
      <formula>Approved</formula>
    </cfRule>
  </conditionalFormatting>
  <conditionalFormatting sqref="S173">
    <cfRule type="cellIs" dxfId="972" priority="2167" operator="equal">
      <formula>"Submitted Pending Approval"</formula>
    </cfRule>
    <cfRule type="cellIs" dxfId="971" priority="2168" operator="equal">
      <formula>"Approved"</formula>
    </cfRule>
  </conditionalFormatting>
  <conditionalFormatting sqref="S173">
    <cfRule type="cellIs" dxfId="970" priority="2164" operator="equal">
      <formula>"Submitted Pending Approval"</formula>
    </cfRule>
    <cfRule type="cellIs" dxfId="969" priority="2165" operator="equal">
      <formula>"No Action / Withdrawn"</formula>
    </cfRule>
    <cfRule type="cellIs" dxfId="968" priority="2166" operator="equal">
      <formula>"Identified Not Submitted"</formula>
    </cfRule>
  </conditionalFormatting>
  <conditionalFormatting sqref="S173">
    <cfRule type="cellIs" dxfId="967" priority="2162" operator="equal">
      <formula>"No Action / Withdrawn"</formula>
    </cfRule>
    <cfRule type="cellIs" dxfId="966" priority="2163" operator="equal">
      <formula>"Withdrawn"</formula>
    </cfRule>
  </conditionalFormatting>
  <conditionalFormatting sqref="S173">
    <cfRule type="cellIs" dxfId="965" priority="2161" operator="equal">
      <formula>"Partially Approved"</formula>
    </cfRule>
  </conditionalFormatting>
  <conditionalFormatting sqref="S183:S185">
    <cfRule type="cellIs" dxfId="964" priority="2145" operator="equal">
      <formula>"Partially Approved"</formula>
    </cfRule>
  </conditionalFormatting>
  <conditionalFormatting sqref="S183:S185">
    <cfRule type="cellIs" dxfId="963" priority="2151" operator="equal">
      <formula>"Submitted Pending Approval"</formula>
    </cfRule>
    <cfRule type="cellIs" dxfId="962" priority="2152" operator="equal">
      <formula>"Approved"</formula>
    </cfRule>
  </conditionalFormatting>
  <conditionalFormatting sqref="S183:S185">
    <cfRule type="cellIs" dxfId="961" priority="2148" operator="equal">
      <formula>"Submitted Pending Approval"</formula>
    </cfRule>
    <cfRule type="cellIs" dxfId="960" priority="2149" operator="equal">
      <formula>"No Action / Withdrawn"</formula>
    </cfRule>
    <cfRule type="cellIs" dxfId="959" priority="2150" operator="equal">
      <formula>"Identified Not Submitted"</formula>
    </cfRule>
  </conditionalFormatting>
  <conditionalFormatting sqref="S183:S185">
    <cfRule type="cellIs" dxfId="958" priority="2146" operator="equal">
      <formula>"No Action / Withdrawn"</formula>
    </cfRule>
    <cfRule type="cellIs" dxfId="957" priority="2147" operator="equal">
      <formula>"Withdrawn"</formula>
    </cfRule>
  </conditionalFormatting>
  <conditionalFormatting sqref="S182">
    <cfRule type="cellIs" dxfId="956" priority="2137" operator="equal">
      <formula>"Partially Approved"</formula>
    </cfRule>
  </conditionalFormatting>
  <conditionalFormatting sqref="S182">
    <cfRule type="cellIs" dxfId="955" priority="2143" operator="equal">
      <formula>"Submitted Pending Approval"</formula>
    </cfRule>
    <cfRule type="cellIs" dxfId="954" priority="2144" operator="equal">
      <formula>"Approved"</formula>
    </cfRule>
  </conditionalFormatting>
  <conditionalFormatting sqref="S182">
    <cfRule type="cellIs" dxfId="953" priority="2140" operator="equal">
      <formula>"Submitted Pending Approval"</formula>
    </cfRule>
    <cfRule type="cellIs" dxfId="952" priority="2141" operator="equal">
      <formula>"No Action / Withdrawn"</formula>
    </cfRule>
    <cfRule type="cellIs" dxfId="951" priority="2142" operator="equal">
      <formula>"Identified Not Submitted"</formula>
    </cfRule>
  </conditionalFormatting>
  <conditionalFormatting sqref="S182">
    <cfRule type="cellIs" dxfId="950" priority="2138" operator="equal">
      <formula>"No Action / Withdrawn"</formula>
    </cfRule>
    <cfRule type="cellIs" dxfId="949" priority="2139" operator="equal">
      <formula>"Withdrawn"</formula>
    </cfRule>
  </conditionalFormatting>
  <conditionalFormatting sqref="S181">
    <cfRule type="cellIs" dxfId="948" priority="2129" operator="equal">
      <formula>"Partially Approved"</formula>
    </cfRule>
  </conditionalFormatting>
  <conditionalFormatting sqref="S181">
    <cfRule type="cellIs" dxfId="947" priority="2135" operator="equal">
      <formula>"Submitted Pending Approval"</formula>
    </cfRule>
    <cfRule type="cellIs" dxfId="946" priority="2136" operator="equal">
      <formula>"Approved"</formula>
    </cfRule>
  </conditionalFormatting>
  <conditionalFormatting sqref="S181">
    <cfRule type="cellIs" dxfId="945" priority="2132" operator="equal">
      <formula>"Submitted Pending Approval"</formula>
    </cfRule>
    <cfRule type="cellIs" dxfId="944" priority="2133" operator="equal">
      <formula>"No Action / Withdrawn"</formula>
    </cfRule>
    <cfRule type="cellIs" dxfId="943" priority="2134" operator="equal">
      <formula>"Identified Not Submitted"</formula>
    </cfRule>
  </conditionalFormatting>
  <conditionalFormatting sqref="S181">
    <cfRule type="cellIs" dxfId="942" priority="2130" operator="equal">
      <formula>"No Action / Withdrawn"</formula>
    </cfRule>
    <cfRule type="cellIs" dxfId="941" priority="2131" operator="equal">
      <formula>"Withdrawn"</formula>
    </cfRule>
  </conditionalFormatting>
  <conditionalFormatting sqref="AF199:AF200">
    <cfRule type="expression" dxfId="940" priority="2104">
      <formula>Approved</formula>
    </cfRule>
  </conditionalFormatting>
  <conditionalFormatting sqref="S202">
    <cfRule type="cellIs" dxfId="939" priority="2072" operator="equal">
      <formula>"Partially Approved"</formula>
    </cfRule>
  </conditionalFormatting>
  <conditionalFormatting sqref="S202">
    <cfRule type="cellIs" dxfId="938" priority="2078" operator="equal">
      <formula>"Submitted Pending Approval"</formula>
    </cfRule>
    <cfRule type="cellIs" dxfId="937" priority="2079" operator="equal">
      <formula>"Approved"</formula>
    </cfRule>
  </conditionalFormatting>
  <conditionalFormatting sqref="S202">
    <cfRule type="cellIs" dxfId="936" priority="2075" operator="equal">
      <formula>"Submitted Pending Approval"</formula>
    </cfRule>
    <cfRule type="cellIs" dxfId="935" priority="2076" operator="equal">
      <formula>"No Action / Withdrawn"</formula>
    </cfRule>
    <cfRule type="cellIs" dxfId="934" priority="2077" operator="equal">
      <formula>"Identified Not Submitted"</formula>
    </cfRule>
  </conditionalFormatting>
  <conditionalFormatting sqref="S202">
    <cfRule type="cellIs" dxfId="933" priority="2073" operator="equal">
      <formula>"No Action / Withdrawn"</formula>
    </cfRule>
    <cfRule type="cellIs" dxfId="932" priority="2074" operator="equal">
      <formula>"Withdrawn"</formula>
    </cfRule>
  </conditionalFormatting>
  <conditionalFormatting sqref="AF202">
    <cfRule type="expression" dxfId="931" priority="2071">
      <formula>Approved</formula>
    </cfRule>
  </conditionalFormatting>
  <conditionalFormatting sqref="AF203">
    <cfRule type="expression" dxfId="930" priority="2054">
      <formula>Approved</formula>
    </cfRule>
  </conditionalFormatting>
  <conditionalFormatting sqref="S203:S204">
    <cfRule type="cellIs" dxfId="929" priority="2038" operator="equal">
      <formula>"Partially Approved"</formula>
    </cfRule>
  </conditionalFormatting>
  <conditionalFormatting sqref="S203:S204">
    <cfRule type="cellIs" dxfId="928" priority="2044" operator="equal">
      <formula>"Submitted Pending Approval"</formula>
    </cfRule>
    <cfRule type="cellIs" dxfId="927" priority="2045" operator="equal">
      <formula>"Approved"</formula>
    </cfRule>
  </conditionalFormatting>
  <conditionalFormatting sqref="S203:S204">
    <cfRule type="cellIs" dxfId="926" priority="2041" operator="equal">
      <formula>"Submitted Pending Approval"</formula>
    </cfRule>
    <cfRule type="cellIs" dxfId="925" priority="2042" operator="equal">
      <formula>"No Action / Withdrawn"</formula>
    </cfRule>
    <cfRule type="cellIs" dxfId="924" priority="2043" operator="equal">
      <formula>"Identified Not Submitted"</formula>
    </cfRule>
  </conditionalFormatting>
  <conditionalFormatting sqref="S203:S204">
    <cfRule type="cellIs" dxfId="923" priority="2039" operator="equal">
      <formula>"No Action / Withdrawn"</formula>
    </cfRule>
    <cfRule type="cellIs" dxfId="922" priority="2040" operator="equal">
      <formula>"Withdrawn"</formula>
    </cfRule>
  </conditionalFormatting>
  <conditionalFormatting sqref="S158">
    <cfRule type="cellIs" dxfId="921" priority="1997" operator="equal">
      <formula>"Submitted Pending Approval"</formula>
    </cfRule>
    <cfRule type="cellIs" dxfId="920" priority="1998" operator="equal">
      <formula>"Approved"</formula>
    </cfRule>
  </conditionalFormatting>
  <conditionalFormatting sqref="S158">
    <cfRule type="cellIs" dxfId="919" priority="1994" operator="equal">
      <formula>"Submitted Pending Approval"</formula>
    </cfRule>
    <cfRule type="cellIs" dxfId="918" priority="1995" operator="equal">
      <formula>"No Action / Withdrawn"</formula>
    </cfRule>
    <cfRule type="cellIs" dxfId="917" priority="1996" operator="equal">
      <formula>"Identified Not Submitted"</formula>
    </cfRule>
  </conditionalFormatting>
  <conditionalFormatting sqref="S158">
    <cfRule type="cellIs" dxfId="916" priority="1992" operator="equal">
      <formula>"No Action / Withdrawn"</formula>
    </cfRule>
    <cfRule type="cellIs" dxfId="915" priority="1993" operator="equal">
      <formula>"Withdrawn"</formula>
    </cfRule>
  </conditionalFormatting>
  <conditionalFormatting sqref="S158">
    <cfRule type="cellIs" dxfId="914" priority="1990" operator="equal">
      <formula>"Submitted Pending Approval"</formula>
    </cfRule>
    <cfRule type="cellIs" dxfId="913" priority="1991" operator="equal">
      <formula>"Approved"</formula>
    </cfRule>
  </conditionalFormatting>
  <conditionalFormatting sqref="S158">
    <cfRule type="cellIs" dxfId="912" priority="1987" operator="equal">
      <formula>"Submitted Pending Approval"</formula>
    </cfRule>
    <cfRule type="cellIs" dxfId="911" priority="1988" operator="equal">
      <formula>"No Action / Withdrawn"</formula>
    </cfRule>
    <cfRule type="cellIs" dxfId="910" priority="1989" operator="equal">
      <formula>"Identified Not Submitted"</formula>
    </cfRule>
  </conditionalFormatting>
  <conditionalFormatting sqref="S158">
    <cfRule type="cellIs" dxfId="909" priority="1985" operator="equal">
      <formula>"No Action / Withdrawn"</formula>
    </cfRule>
    <cfRule type="cellIs" dxfId="908" priority="1986" operator="equal">
      <formula>"Withdrawn"</formula>
    </cfRule>
  </conditionalFormatting>
  <conditionalFormatting sqref="S158">
    <cfRule type="cellIs" dxfId="907" priority="1984" operator="equal">
      <formula>"Partially Approved"</formula>
    </cfRule>
  </conditionalFormatting>
  <conditionalFormatting sqref="S167">
    <cfRule type="cellIs" dxfId="906" priority="1982" operator="equal">
      <formula>"Submitted Pending Approval"</formula>
    </cfRule>
    <cfRule type="cellIs" dxfId="905" priority="1983" operator="equal">
      <formula>"Approved"</formula>
    </cfRule>
  </conditionalFormatting>
  <conditionalFormatting sqref="S167">
    <cfRule type="cellIs" dxfId="904" priority="1979" operator="equal">
      <formula>"Submitted Pending Approval"</formula>
    </cfRule>
    <cfRule type="cellIs" dxfId="903" priority="1980" operator="equal">
      <formula>"No Action / Withdrawn"</formula>
    </cfRule>
    <cfRule type="cellIs" dxfId="902" priority="1981" operator="equal">
      <formula>"Identified Not Submitted"</formula>
    </cfRule>
  </conditionalFormatting>
  <conditionalFormatting sqref="S167">
    <cfRule type="cellIs" dxfId="901" priority="1977" operator="equal">
      <formula>"No Action / Withdrawn"</formula>
    </cfRule>
    <cfRule type="cellIs" dxfId="900" priority="1978" operator="equal">
      <formula>"Withdrawn"</formula>
    </cfRule>
  </conditionalFormatting>
  <conditionalFormatting sqref="S167">
    <cfRule type="cellIs" dxfId="899" priority="1976" operator="equal">
      <formula>"Partially Approved"</formula>
    </cfRule>
  </conditionalFormatting>
  <conditionalFormatting sqref="S166">
    <cfRule type="cellIs" dxfId="898" priority="1974" operator="equal">
      <formula>"Submitted Pending Approval"</formula>
    </cfRule>
    <cfRule type="cellIs" dxfId="897" priority="1975" operator="equal">
      <formula>"Approved"</formula>
    </cfRule>
  </conditionalFormatting>
  <conditionalFormatting sqref="S166">
    <cfRule type="cellIs" dxfId="896" priority="1971" operator="equal">
      <formula>"Submitted Pending Approval"</formula>
    </cfRule>
    <cfRule type="cellIs" dxfId="895" priority="1972" operator="equal">
      <formula>"No Action / Withdrawn"</formula>
    </cfRule>
    <cfRule type="cellIs" dxfId="894" priority="1973" operator="equal">
      <formula>"Identified Not Submitted"</formula>
    </cfRule>
  </conditionalFormatting>
  <conditionalFormatting sqref="S166">
    <cfRule type="cellIs" dxfId="893" priority="1969" operator="equal">
      <formula>"No Action / Withdrawn"</formula>
    </cfRule>
    <cfRule type="cellIs" dxfId="892" priority="1970" operator="equal">
      <formula>"Withdrawn"</formula>
    </cfRule>
  </conditionalFormatting>
  <conditionalFormatting sqref="S166">
    <cfRule type="cellIs" dxfId="891" priority="1968" operator="equal">
      <formula>"Partially Approved"</formula>
    </cfRule>
  </conditionalFormatting>
  <conditionalFormatting sqref="S154">
    <cfRule type="cellIs" dxfId="890" priority="1966" operator="equal">
      <formula>"Submitted Pending Approval"</formula>
    </cfRule>
    <cfRule type="cellIs" dxfId="889" priority="1967" operator="equal">
      <formula>"Approved"</formula>
    </cfRule>
  </conditionalFormatting>
  <conditionalFormatting sqref="S154">
    <cfRule type="cellIs" dxfId="888" priority="1963" operator="equal">
      <formula>"Submitted Pending Approval"</formula>
    </cfRule>
    <cfRule type="cellIs" dxfId="887" priority="1964" operator="equal">
      <formula>"No Action / Withdrawn"</formula>
    </cfRule>
    <cfRule type="cellIs" dxfId="886" priority="1965" operator="equal">
      <formula>"Identified Not Submitted"</formula>
    </cfRule>
  </conditionalFormatting>
  <conditionalFormatting sqref="S154">
    <cfRule type="cellIs" dxfId="885" priority="1961" operator="equal">
      <formula>"No Action / Withdrawn"</formula>
    </cfRule>
    <cfRule type="cellIs" dxfId="884" priority="1962" operator="equal">
      <formula>"Withdrawn"</formula>
    </cfRule>
  </conditionalFormatting>
  <conditionalFormatting sqref="S154">
    <cfRule type="cellIs" dxfId="883" priority="1960" operator="equal">
      <formula>"Partially Approved"</formula>
    </cfRule>
  </conditionalFormatting>
  <conditionalFormatting sqref="S321">
    <cfRule type="cellIs" dxfId="882" priority="1959" operator="equal">
      <formula>"Partially Approved"</formula>
    </cfRule>
  </conditionalFormatting>
  <conditionalFormatting sqref="S322">
    <cfRule type="cellIs" dxfId="881" priority="1958" operator="equal">
      <formula>"Partially Approved"</formula>
    </cfRule>
  </conditionalFormatting>
  <conditionalFormatting sqref="S321">
    <cfRule type="cellIs" dxfId="880" priority="1957" operator="equal">
      <formula>"Partially Approved"</formula>
    </cfRule>
  </conditionalFormatting>
  <conditionalFormatting sqref="S322">
    <cfRule type="cellIs" dxfId="879" priority="1956" operator="equal">
      <formula>"Partially Approved"</formula>
    </cfRule>
  </conditionalFormatting>
  <conditionalFormatting sqref="S321">
    <cfRule type="cellIs" dxfId="878" priority="1955" operator="equal">
      <formula>"Partially Approved"</formula>
    </cfRule>
  </conditionalFormatting>
  <conditionalFormatting sqref="S322">
    <cfRule type="cellIs" dxfId="877" priority="1954" operator="equal">
      <formula>"Partially Approved"</formula>
    </cfRule>
  </conditionalFormatting>
  <conditionalFormatting sqref="S147">
    <cfRule type="cellIs" dxfId="876" priority="1952" operator="equal">
      <formula>"Submitted Pending Approval"</formula>
    </cfRule>
    <cfRule type="cellIs" dxfId="875" priority="1953" operator="equal">
      <formula>"Approved"</formula>
    </cfRule>
  </conditionalFormatting>
  <conditionalFormatting sqref="S147">
    <cfRule type="cellIs" dxfId="874" priority="1949" operator="equal">
      <formula>"Submitted Pending Approval"</formula>
    </cfRule>
    <cfRule type="cellIs" dxfId="873" priority="1950" operator="equal">
      <formula>"No Action / Withdrawn"</formula>
    </cfRule>
    <cfRule type="cellIs" dxfId="872" priority="1951" operator="equal">
      <formula>"Identified Not Submitted"</formula>
    </cfRule>
  </conditionalFormatting>
  <conditionalFormatting sqref="S147">
    <cfRule type="cellIs" dxfId="871" priority="1947" operator="equal">
      <formula>"No Action / Withdrawn"</formula>
    </cfRule>
    <cfRule type="cellIs" dxfId="870" priority="1948" operator="equal">
      <formula>"Withdrawn"</formula>
    </cfRule>
  </conditionalFormatting>
  <conditionalFormatting sqref="S147">
    <cfRule type="cellIs" dxfId="869" priority="1945" operator="equal">
      <formula>"Submitted Pending Approval"</formula>
    </cfRule>
    <cfRule type="cellIs" dxfId="868" priority="1946" operator="equal">
      <formula>"Approved"</formula>
    </cfRule>
  </conditionalFormatting>
  <conditionalFormatting sqref="S147">
    <cfRule type="cellIs" dxfId="867" priority="1942" operator="equal">
      <formula>"Submitted Pending Approval"</formula>
    </cfRule>
    <cfRule type="cellIs" dxfId="866" priority="1943" operator="equal">
      <formula>"No Action / Withdrawn"</formula>
    </cfRule>
    <cfRule type="cellIs" dxfId="865" priority="1944" operator="equal">
      <formula>"Identified Not Submitted"</formula>
    </cfRule>
  </conditionalFormatting>
  <conditionalFormatting sqref="S147">
    <cfRule type="cellIs" dxfId="864" priority="1940" operator="equal">
      <formula>"No Action / Withdrawn"</formula>
    </cfRule>
    <cfRule type="cellIs" dxfId="863" priority="1941" operator="equal">
      <formula>"Withdrawn"</formula>
    </cfRule>
  </conditionalFormatting>
  <conditionalFormatting sqref="S147">
    <cfRule type="cellIs" dxfId="862" priority="1939" operator="equal">
      <formula>"Partially Approved"</formula>
    </cfRule>
  </conditionalFormatting>
  <conditionalFormatting sqref="AF187">
    <cfRule type="expression" dxfId="861" priority="1923">
      <formula>Approved</formula>
    </cfRule>
  </conditionalFormatting>
  <conditionalFormatting sqref="S187:S188">
    <cfRule type="cellIs" dxfId="860" priority="1913" operator="equal">
      <formula>"Submitted Pending Approval"</formula>
    </cfRule>
    <cfRule type="cellIs" dxfId="859" priority="1914" operator="equal">
      <formula>"Approved"</formula>
    </cfRule>
  </conditionalFormatting>
  <conditionalFormatting sqref="S187:S188">
    <cfRule type="cellIs" dxfId="858" priority="1910" operator="equal">
      <formula>"Submitted Pending Approval"</formula>
    </cfRule>
    <cfRule type="cellIs" dxfId="857" priority="1911" operator="equal">
      <formula>"No Action / Withdrawn"</formula>
    </cfRule>
    <cfRule type="cellIs" dxfId="856" priority="1912" operator="equal">
      <formula>"Identified Not Submitted"</formula>
    </cfRule>
  </conditionalFormatting>
  <conditionalFormatting sqref="S187:S188">
    <cfRule type="cellIs" dxfId="855" priority="1908" operator="equal">
      <formula>"No Action / Withdrawn"</formula>
    </cfRule>
    <cfRule type="cellIs" dxfId="854" priority="1909" operator="equal">
      <formula>"Withdrawn"</formula>
    </cfRule>
  </conditionalFormatting>
  <conditionalFormatting sqref="S187:S188">
    <cfRule type="cellIs" dxfId="853" priority="1907" operator="equal">
      <formula>"Partially Approved"</formula>
    </cfRule>
  </conditionalFormatting>
  <conditionalFormatting sqref="S198">
    <cfRule type="cellIs" dxfId="852" priority="1875" operator="equal">
      <formula>"Partially Approved"</formula>
    </cfRule>
  </conditionalFormatting>
  <conditionalFormatting sqref="S198">
    <cfRule type="cellIs" dxfId="851" priority="1881" operator="equal">
      <formula>"Submitted Pending Approval"</formula>
    </cfRule>
    <cfRule type="cellIs" dxfId="850" priority="1882" operator="equal">
      <formula>"Approved"</formula>
    </cfRule>
  </conditionalFormatting>
  <conditionalFormatting sqref="S198">
    <cfRule type="cellIs" dxfId="849" priority="1878" operator="equal">
      <formula>"Submitted Pending Approval"</formula>
    </cfRule>
    <cfRule type="cellIs" dxfId="848" priority="1879" operator="equal">
      <formula>"No Action / Withdrawn"</formula>
    </cfRule>
    <cfRule type="cellIs" dxfId="847" priority="1880" operator="equal">
      <formula>"Identified Not Submitted"</formula>
    </cfRule>
  </conditionalFormatting>
  <conditionalFormatting sqref="S198">
    <cfRule type="cellIs" dxfId="846" priority="1876" operator="equal">
      <formula>"No Action / Withdrawn"</formula>
    </cfRule>
    <cfRule type="cellIs" dxfId="845" priority="1877" operator="equal">
      <formula>"Withdrawn"</formula>
    </cfRule>
  </conditionalFormatting>
  <conditionalFormatting sqref="S136">
    <cfRule type="cellIs" dxfId="844" priority="1873" operator="equal">
      <formula>"Submitted Pending Approval"</formula>
    </cfRule>
    <cfRule type="cellIs" dxfId="843" priority="1874" operator="equal">
      <formula>"Approved"</formula>
    </cfRule>
  </conditionalFormatting>
  <conditionalFormatting sqref="S136">
    <cfRule type="cellIs" dxfId="842" priority="1870" operator="equal">
      <formula>"Submitted Pending Approval"</formula>
    </cfRule>
    <cfRule type="cellIs" dxfId="841" priority="1871" operator="equal">
      <formula>"No Action / Withdrawn"</formula>
    </cfRule>
    <cfRule type="cellIs" dxfId="840" priority="1872" operator="equal">
      <formula>"Identified Not Submitted"</formula>
    </cfRule>
  </conditionalFormatting>
  <conditionalFormatting sqref="S136">
    <cfRule type="cellIs" dxfId="839" priority="1868" operator="equal">
      <formula>"No Action / Withdrawn"</formula>
    </cfRule>
    <cfRule type="cellIs" dxfId="838" priority="1869" operator="equal">
      <formula>"Withdrawn"</formula>
    </cfRule>
  </conditionalFormatting>
  <conditionalFormatting sqref="S136">
    <cfRule type="cellIs" dxfId="837" priority="1866" operator="equal">
      <formula>"Submitted Pending Approval"</formula>
    </cfRule>
    <cfRule type="cellIs" dxfId="836" priority="1867" operator="equal">
      <formula>"Approved"</formula>
    </cfRule>
  </conditionalFormatting>
  <conditionalFormatting sqref="S136">
    <cfRule type="cellIs" dxfId="835" priority="1863" operator="equal">
      <formula>"Submitted Pending Approval"</formula>
    </cfRule>
    <cfRule type="cellIs" dxfId="834" priority="1864" operator="equal">
      <formula>"No Action / Withdrawn"</formula>
    </cfRule>
    <cfRule type="cellIs" dxfId="833" priority="1865" operator="equal">
      <formula>"Identified Not Submitted"</formula>
    </cfRule>
  </conditionalFormatting>
  <conditionalFormatting sqref="S136">
    <cfRule type="cellIs" dxfId="832" priority="1861" operator="equal">
      <formula>"No Action / Withdrawn"</formula>
    </cfRule>
    <cfRule type="cellIs" dxfId="831" priority="1862" operator="equal">
      <formula>"Withdrawn"</formula>
    </cfRule>
  </conditionalFormatting>
  <conditionalFormatting sqref="S136">
    <cfRule type="cellIs" dxfId="830" priority="1860" operator="equal">
      <formula>"Partially Approved"</formula>
    </cfRule>
  </conditionalFormatting>
  <conditionalFormatting sqref="AF136">
    <cfRule type="expression" dxfId="829" priority="1859">
      <formula>Approved</formula>
    </cfRule>
  </conditionalFormatting>
  <conditionalFormatting sqref="AF205:AF215">
    <cfRule type="expression" dxfId="828" priority="1850">
      <formula>Approved</formula>
    </cfRule>
  </conditionalFormatting>
  <conditionalFormatting sqref="S205 S207">
    <cfRule type="cellIs" dxfId="827" priority="1834" operator="equal">
      <formula>"Partially Approved"</formula>
    </cfRule>
  </conditionalFormatting>
  <conditionalFormatting sqref="S205 S207">
    <cfRule type="cellIs" dxfId="826" priority="1840" operator="equal">
      <formula>"Submitted Pending Approval"</formula>
    </cfRule>
    <cfRule type="cellIs" dxfId="825" priority="1841" operator="equal">
      <formula>"Approved"</formula>
    </cfRule>
  </conditionalFormatting>
  <conditionalFormatting sqref="S205 S207">
    <cfRule type="cellIs" dxfId="824" priority="1837" operator="equal">
      <formula>"Submitted Pending Approval"</formula>
    </cfRule>
    <cfRule type="cellIs" dxfId="823" priority="1838" operator="equal">
      <formula>"No Action / Withdrawn"</formula>
    </cfRule>
    <cfRule type="cellIs" dxfId="822" priority="1839" operator="equal">
      <formula>"Identified Not Submitted"</formula>
    </cfRule>
  </conditionalFormatting>
  <conditionalFormatting sqref="S205 S207">
    <cfRule type="cellIs" dxfId="821" priority="1835" operator="equal">
      <formula>"No Action / Withdrawn"</formula>
    </cfRule>
    <cfRule type="cellIs" dxfId="820" priority="1836" operator="equal">
      <formula>"Withdrawn"</formula>
    </cfRule>
  </conditionalFormatting>
  <conditionalFormatting sqref="S90">
    <cfRule type="cellIs" dxfId="819" priority="1814" operator="equal">
      <formula>"Submitted Pending Approval"</formula>
    </cfRule>
    <cfRule type="cellIs" dxfId="818" priority="1815" operator="equal">
      <formula>"Approved"</formula>
    </cfRule>
  </conditionalFormatting>
  <conditionalFormatting sqref="S90">
    <cfRule type="cellIs" dxfId="817" priority="1811" operator="equal">
      <formula>"Submitted Pending Approval"</formula>
    </cfRule>
    <cfRule type="cellIs" dxfId="816" priority="1812" operator="equal">
      <formula>"No Action / Withdrawn"</formula>
    </cfRule>
    <cfRule type="cellIs" dxfId="815" priority="1813" operator="equal">
      <formula>"Identified Not Submitted"</formula>
    </cfRule>
  </conditionalFormatting>
  <conditionalFormatting sqref="S90">
    <cfRule type="cellIs" dxfId="814" priority="1809" operator="equal">
      <formula>"No Action / Withdrawn"</formula>
    </cfRule>
    <cfRule type="cellIs" dxfId="813" priority="1810" operator="equal">
      <formula>"Withdrawn"</formula>
    </cfRule>
  </conditionalFormatting>
  <conditionalFormatting sqref="S90">
    <cfRule type="cellIs" dxfId="812" priority="1808" operator="equal">
      <formula>"Partially Approved"</formula>
    </cfRule>
  </conditionalFormatting>
  <conditionalFormatting sqref="AF90">
    <cfRule type="expression" dxfId="811" priority="1807">
      <formula>Approved</formula>
    </cfRule>
  </conditionalFormatting>
  <conditionalFormatting sqref="AF129">
    <cfRule type="expression" dxfId="810" priority="1777">
      <formula>Approved</formula>
    </cfRule>
  </conditionalFormatting>
  <conditionalFormatting sqref="S180">
    <cfRule type="cellIs" dxfId="809" priority="1730" operator="equal">
      <formula>"Partially Approved"</formula>
    </cfRule>
  </conditionalFormatting>
  <conditionalFormatting sqref="S180">
    <cfRule type="cellIs" dxfId="808" priority="1736" operator="equal">
      <formula>"Submitted Pending Approval"</formula>
    </cfRule>
    <cfRule type="cellIs" dxfId="807" priority="1737" operator="equal">
      <formula>"Approved"</formula>
    </cfRule>
  </conditionalFormatting>
  <conditionalFormatting sqref="S180">
    <cfRule type="cellIs" dxfId="806" priority="1733" operator="equal">
      <formula>"Submitted Pending Approval"</formula>
    </cfRule>
    <cfRule type="cellIs" dxfId="805" priority="1734" operator="equal">
      <formula>"No Action / Withdrawn"</formula>
    </cfRule>
    <cfRule type="cellIs" dxfId="804" priority="1735" operator="equal">
      <formula>"Identified Not Submitted"</formula>
    </cfRule>
  </conditionalFormatting>
  <conditionalFormatting sqref="S180">
    <cfRule type="cellIs" dxfId="803" priority="1731" operator="equal">
      <formula>"No Action / Withdrawn"</formula>
    </cfRule>
    <cfRule type="cellIs" dxfId="802" priority="1732" operator="equal">
      <formula>"Withdrawn"</formula>
    </cfRule>
  </conditionalFormatting>
  <conditionalFormatting sqref="S209">
    <cfRule type="cellIs" dxfId="801" priority="1698" operator="equal">
      <formula>"Partially Approved"</formula>
    </cfRule>
  </conditionalFormatting>
  <conditionalFormatting sqref="S209">
    <cfRule type="cellIs" dxfId="800" priority="1704" operator="equal">
      <formula>"Submitted Pending Approval"</formula>
    </cfRule>
    <cfRule type="cellIs" dxfId="799" priority="1705" operator="equal">
      <formula>"Approved"</formula>
    </cfRule>
  </conditionalFormatting>
  <conditionalFormatting sqref="S209">
    <cfRule type="cellIs" dxfId="798" priority="1701" operator="equal">
      <formula>"Submitted Pending Approval"</formula>
    </cfRule>
    <cfRule type="cellIs" dxfId="797" priority="1702" operator="equal">
      <formula>"No Action / Withdrawn"</formula>
    </cfRule>
    <cfRule type="cellIs" dxfId="796" priority="1703" operator="equal">
      <formula>"Identified Not Submitted"</formula>
    </cfRule>
  </conditionalFormatting>
  <conditionalFormatting sqref="S209">
    <cfRule type="cellIs" dxfId="795" priority="1699" operator="equal">
      <formula>"No Action / Withdrawn"</formula>
    </cfRule>
    <cfRule type="cellIs" dxfId="794" priority="1700" operator="equal">
      <formula>"Withdrawn"</formula>
    </cfRule>
  </conditionalFormatting>
  <conditionalFormatting sqref="S215 S217:S218 S223 S213">
    <cfRule type="cellIs" dxfId="793" priority="1682" operator="equal">
      <formula>"Partially Approved"</formula>
    </cfRule>
  </conditionalFormatting>
  <conditionalFormatting sqref="S215 S217:S218 S223 S213">
    <cfRule type="cellIs" dxfId="792" priority="1688" operator="equal">
      <formula>"Submitted Pending Approval"</formula>
    </cfRule>
    <cfRule type="cellIs" dxfId="791" priority="1689" operator="equal">
      <formula>"Approved"</formula>
    </cfRule>
  </conditionalFormatting>
  <conditionalFormatting sqref="S215 S217:S218 S223 S213">
    <cfRule type="cellIs" dxfId="790" priority="1685" operator="equal">
      <formula>"Submitted Pending Approval"</formula>
    </cfRule>
    <cfRule type="cellIs" dxfId="789" priority="1686" operator="equal">
      <formula>"No Action / Withdrawn"</formula>
    </cfRule>
    <cfRule type="cellIs" dxfId="788" priority="1687" operator="equal">
      <formula>"Identified Not Submitted"</formula>
    </cfRule>
  </conditionalFormatting>
  <conditionalFormatting sqref="S215 S217:S218 S223 S213">
    <cfRule type="cellIs" dxfId="787" priority="1683" operator="equal">
      <formula>"No Action / Withdrawn"</formula>
    </cfRule>
    <cfRule type="cellIs" dxfId="786" priority="1684" operator="equal">
      <formula>"Withdrawn"</formula>
    </cfRule>
  </conditionalFormatting>
  <conditionalFormatting sqref="S142">
    <cfRule type="cellIs" dxfId="785" priority="1657" operator="equal">
      <formula>"Submitted Pending Approval"</formula>
    </cfRule>
    <cfRule type="cellIs" dxfId="784" priority="1658" operator="equal">
      <formula>"Approved"</formula>
    </cfRule>
  </conditionalFormatting>
  <conditionalFormatting sqref="S142">
    <cfRule type="cellIs" dxfId="783" priority="1654" operator="equal">
      <formula>"Submitted Pending Approval"</formula>
    </cfRule>
    <cfRule type="cellIs" dxfId="782" priority="1655" operator="equal">
      <formula>"No Action / Withdrawn"</formula>
    </cfRule>
    <cfRule type="cellIs" dxfId="781" priority="1656" operator="equal">
      <formula>"Identified Not Submitted"</formula>
    </cfRule>
  </conditionalFormatting>
  <conditionalFormatting sqref="S142">
    <cfRule type="cellIs" dxfId="780" priority="1652" operator="equal">
      <formula>"No Action / Withdrawn"</formula>
    </cfRule>
    <cfRule type="cellIs" dxfId="779" priority="1653" operator="equal">
      <formula>"Withdrawn"</formula>
    </cfRule>
  </conditionalFormatting>
  <conditionalFormatting sqref="S142">
    <cfRule type="cellIs" dxfId="778" priority="1651" operator="equal">
      <formula>"Partially Approved"</formula>
    </cfRule>
  </conditionalFormatting>
  <conditionalFormatting sqref="S171">
    <cfRule type="cellIs" dxfId="777" priority="1641" operator="equal">
      <formula>"Submitted Pending Approval"</formula>
    </cfRule>
    <cfRule type="cellIs" dxfId="776" priority="1642" operator="equal">
      <formula>"Approved"</formula>
    </cfRule>
  </conditionalFormatting>
  <conditionalFormatting sqref="S171">
    <cfRule type="cellIs" dxfId="775" priority="1638" operator="equal">
      <formula>"Submitted Pending Approval"</formula>
    </cfRule>
    <cfRule type="cellIs" dxfId="774" priority="1639" operator="equal">
      <formula>"No Action / Withdrawn"</formula>
    </cfRule>
    <cfRule type="cellIs" dxfId="773" priority="1640" operator="equal">
      <formula>"Identified Not Submitted"</formula>
    </cfRule>
  </conditionalFormatting>
  <conditionalFormatting sqref="S171">
    <cfRule type="cellIs" dxfId="772" priority="1636" operator="equal">
      <formula>"No Action / Withdrawn"</formula>
    </cfRule>
    <cfRule type="cellIs" dxfId="771" priority="1637" operator="equal">
      <formula>"Withdrawn"</formula>
    </cfRule>
  </conditionalFormatting>
  <conditionalFormatting sqref="S171">
    <cfRule type="cellIs" dxfId="770" priority="1635" operator="equal">
      <formula>"Partially Approved"</formula>
    </cfRule>
  </conditionalFormatting>
  <conditionalFormatting sqref="S177">
    <cfRule type="cellIs" dxfId="769" priority="1625" operator="equal">
      <formula>"Submitted Pending Approval"</formula>
    </cfRule>
    <cfRule type="cellIs" dxfId="768" priority="1626" operator="equal">
      <formula>"Approved"</formula>
    </cfRule>
  </conditionalFormatting>
  <conditionalFormatting sqref="S177">
    <cfRule type="cellIs" dxfId="767" priority="1622" operator="equal">
      <formula>"Submitted Pending Approval"</formula>
    </cfRule>
    <cfRule type="cellIs" dxfId="766" priority="1623" operator="equal">
      <formula>"No Action / Withdrawn"</formula>
    </cfRule>
    <cfRule type="cellIs" dxfId="765" priority="1624" operator="equal">
      <formula>"Identified Not Submitted"</formula>
    </cfRule>
  </conditionalFormatting>
  <conditionalFormatting sqref="S177">
    <cfRule type="cellIs" dxfId="764" priority="1620" operator="equal">
      <formula>"No Action / Withdrawn"</formula>
    </cfRule>
    <cfRule type="cellIs" dxfId="763" priority="1621" operator="equal">
      <formula>"Withdrawn"</formula>
    </cfRule>
  </conditionalFormatting>
  <conditionalFormatting sqref="S177">
    <cfRule type="cellIs" dxfId="762" priority="1619" operator="equal">
      <formula>"Partially Approved"</formula>
    </cfRule>
  </conditionalFormatting>
  <conditionalFormatting sqref="S172">
    <cfRule type="cellIs" dxfId="761" priority="1609" operator="equal">
      <formula>"Submitted Pending Approval"</formula>
    </cfRule>
    <cfRule type="cellIs" dxfId="760" priority="1610" operator="equal">
      <formula>"Approved"</formula>
    </cfRule>
  </conditionalFormatting>
  <conditionalFormatting sqref="S172">
    <cfRule type="cellIs" dxfId="759" priority="1606" operator="equal">
      <formula>"Submitted Pending Approval"</formula>
    </cfRule>
    <cfRule type="cellIs" dxfId="758" priority="1607" operator="equal">
      <formula>"No Action / Withdrawn"</formula>
    </cfRule>
    <cfRule type="cellIs" dxfId="757" priority="1608" operator="equal">
      <formula>"Identified Not Submitted"</formula>
    </cfRule>
  </conditionalFormatting>
  <conditionalFormatting sqref="S172">
    <cfRule type="cellIs" dxfId="756" priority="1604" operator="equal">
      <formula>"No Action / Withdrawn"</formula>
    </cfRule>
    <cfRule type="cellIs" dxfId="755" priority="1605" operator="equal">
      <formula>"Withdrawn"</formula>
    </cfRule>
  </conditionalFormatting>
  <conditionalFormatting sqref="S172">
    <cfRule type="cellIs" dxfId="754" priority="1603" operator="equal">
      <formula>"Partially Approved"</formula>
    </cfRule>
  </conditionalFormatting>
  <conditionalFormatting sqref="S190">
    <cfRule type="cellIs" dxfId="753" priority="1601" operator="equal">
      <formula>"Submitted Pending Approval"</formula>
    </cfRule>
    <cfRule type="cellIs" dxfId="752" priority="1602" operator="equal">
      <formula>"Approved"</formula>
    </cfRule>
  </conditionalFormatting>
  <conditionalFormatting sqref="S190">
    <cfRule type="cellIs" dxfId="751" priority="1598" operator="equal">
      <formula>"Submitted Pending Approval"</formula>
    </cfRule>
    <cfRule type="cellIs" dxfId="750" priority="1599" operator="equal">
      <formula>"No Action / Withdrawn"</formula>
    </cfRule>
    <cfRule type="cellIs" dxfId="749" priority="1600" operator="equal">
      <formula>"Identified Not Submitted"</formula>
    </cfRule>
  </conditionalFormatting>
  <conditionalFormatting sqref="S190">
    <cfRule type="cellIs" dxfId="748" priority="1596" operator="equal">
      <formula>"No Action / Withdrawn"</formula>
    </cfRule>
    <cfRule type="cellIs" dxfId="747" priority="1597" operator="equal">
      <formula>"Withdrawn"</formula>
    </cfRule>
  </conditionalFormatting>
  <conditionalFormatting sqref="S190">
    <cfRule type="cellIs" dxfId="746" priority="1595" operator="equal">
      <formula>"Partially Approved"</formula>
    </cfRule>
  </conditionalFormatting>
  <conditionalFormatting sqref="AF332">
    <cfRule type="expression" dxfId="745" priority="1538">
      <formula>Approved</formula>
    </cfRule>
  </conditionalFormatting>
  <conditionalFormatting sqref="AF221:AF223">
    <cfRule type="expression" dxfId="744" priority="1521">
      <formula>Approved</formula>
    </cfRule>
  </conditionalFormatting>
  <conditionalFormatting sqref="S179">
    <cfRule type="cellIs" dxfId="743" priority="1489" operator="equal">
      <formula>"Partially Approved"</formula>
    </cfRule>
  </conditionalFormatting>
  <conditionalFormatting sqref="S179">
    <cfRule type="cellIs" dxfId="742" priority="1495" operator="equal">
      <formula>"Submitted Pending Approval"</formula>
    </cfRule>
    <cfRule type="cellIs" dxfId="741" priority="1496" operator="equal">
      <formula>"Approved"</formula>
    </cfRule>
  </conditionalFormatting>
  <conditionalFormatting sqref="S179">
    <cfRule type="cellIs" dxfId="740" priority="1492" operator="equal">
      <formula>"Submitted Pending Approval"</formula>
    </cfRule>
    <cfRule type="cellIs" dxfId="739" priority="1493" operator="equal">
      <formula>"No Action / Withdrawn"</formula>
    </cfRule>
    <cfRule type="cellIs" dxfId="738" priority="1494" operator="equal">
      <formula>"Identified Not Submitted"</formula>
    </cfRule>
  </conditionalFormatting>
  <conditionalFormatting sqref="S179">
    <cfRule type="cellIs" dxfId="737" priority="1490" operator="equal">
      <formula>"No Action / Withdrawn"</formula>
    </cfRule>
    <cfRule type="cellIs" dxfId="736" priority="1491" operator="equal">
      <formula>"Withdrawn"</formula>
    </cfRule>
  </conditionalFormatting>
  <conditionalFormatting sqref="AF231:AF233">
    <cfRule type="expression" dxfId="735" priority="1488">
      <formula>Approved</formula>
    </cfRule>
  </conditionalFormatting>
  <conditionalFormatting sqref="S151">
    <cfRule type="cellIs" dxfId="734" priority="1470" operator="equal">
      <formula>"Submitted Pending Approval"</formula>
    </cfRule>
    <cfRule type="cellIs" dxfId="733" priority="1471" operator="equal">
      <formula>"Approved"</formula>
    </cfRule>
  </conditionalFormatting>
  <conditionalFormatting sqref="S151">
    <cfRule type="cellIs" dxfId="732" priority="1467" operator="equal">
      <formula>"Submitted Pending Approval"</formula>
    </cfRule>
    <cfRule type="cellIs" dxfId="731" priority="1468" operator="equal">
      <formula>"No Action / Withdrawn"</formula>
    </cfRule>
    <cfRule type="cellIs" dxfId="730" priority="1469" operator="equal">
      <formula>"Identified Not Submitted"</formula>
    </cfRule>
  </conditionalFormatting>
  <conditionalFormatting sqref="S151">
    <cfRule type="cellIs" dxfId="729" priority="1465" operator="equal">
      <formula>"No Action / Withdrawn"</formula>
    </cfRule>
    <cfRule type="cellIs" dxfId="728" priority="1466" operator="equal">
      <formula>"Withdrawn"</formula>
    </cfRule>
  </conditionalFormatting>
  <conditionalFormatting sqref="S151">
    <cfRule type="cellIs" dxfId="727" priority="1464" operator="equal">
      <formula>"Partially Approved"</formula>
    </cfRule>
  </conditionalFormatting>
  <conditionalFormatting sqref="S88">
    <cfRule type="cellIs" dxfId="726" priority="1426" operator="equal">
      <formula>"Submitted Pending Approval"</formula>
    </cfRule>
    <cfRule type="cellIs" dxfId="725" priority="1427" operator="equal">
      <formula>"Approved"</formula>
    </cfRule>
  </conditionalFormatting>
  <conditionalFormatting sqref="S88">
    <cfRule type="cellIs" dxfId="724" priority="1423" operator="equal">
      <formula>"Submitted Pending Approval"</formula>
    </cfRule>
    <cfRule type="cellIs" dxfId="723" priority="1424" operator="equal">
      <formula>"No Action / Withdrawn"</formula>
    </cfRule>
    <cfRule type="cellIs" dxfId="722" priority="1425" operator="equal">
      <formula>"Identified Not Submitted"</formula>
    </cfRule>
  </conditionalFormatting>
  <conditionalFormatting sqref="S88">
    <cfRule type="cellIs" dxfId="721" priority="1421" operator="equal">
      <formula>"No Action / Withdrawn"</formula>
    </cfRule>
    <cfRule type="cellIs" dxfId="720" priority="1422" operator="equal">
      <formula>"Withdrawn"</formula>
    </cfRule>
  </conditionalFormatting>
  <conditionalFormatting sqref="S88">
    <cfRule type="cellIs" dxfId="719" priority="1420" operator="equal">
      <formula>"Partially Approved"</formula>
    </cfRule>
  </conditionalFormatting>
  <conditionalFormatting sqref="AF88">
    <cfRule type="expression" dxfId="718" priority="1412">
      <formula>Approved</formula>
    </cfRule>
  </conditionalFormatting>
  <conditionalFormatting sqref="S88">
    <cfRule type="cellIs" dxfId="717" priority="1407" operator="equal">
      <formula>"Submitted Pending Approval"</formula>
    </cfRule>
    <cfRule type="cellIs" dxfId="716" priority="1408" operator="equal">
      <formula>"No Action / Withdrawn"</formula>
    </cfRule>
    <cfRule type="cellIs" dxfId="715" priority="1409" operator="equal">
      <formula>"Identified Not Submitted"</formula>
    </cfRule>
  </conditionalFormatting>
  <conditionalFormatting sqref="S88">
    <cfRule type="cellIs" dxfId="714" priority="1405" operator="equal">
      <formula>"No Action / Withdrawn"</formula>
    </cfRule>
    <cfRule type="cellIs" dxfId="713" priority="1406" operator="equal">
      <formula>"Withdrawn"</formula>
    </cfRule>
  </conditionalFormatting>
  <conditionalFormatting sqref="S88">
    <cfRule type="cellIs" dxfId="712" priority="1410" operator="equal">
      <formula>"Submitted Pending Approval"</formula>
    </cfRule>
    <cfRule type="cellIs" dxfId="711" priority="1411" operator="equal">
      <formula>"Approved"</formula>
    </cfRule>
  </conditionalFormatting>
  <conditionalFormatting sqref="S88">
    <cfRule type="cellIs" dxfId="710" priority="1403" operator="equal">
      <formula>"Submitted Pending Approval"</formula>
    </cfRule>
    <cfRule type="cellIs" dxfId="709" priority="1404" operator="equal">
      <formula>"Approved"</formula>
    </cfRule>
  </conditionalFormatting>
  <conditionalFormatting sqref="S88">
    <cfRule type="cellIs" dxfId="708" priority="1400" operator="equal">
      <formula>"Submitted Pending Approval"</formula>
    </cfRule>
    <cfRule type="cellIs" dxfId="707" priority="1401" operator="equal">
      <formula>"No Action / Withdrawn"</formula>
    </cfRule>
    <cfRule type="cellIs" dxfId="706" priority="1402" operator="equal">
      <formula>"Identified Not Submitted"</formula>
    </cfRule>
  </conditionalFormatting>
  <conditionalFormatting sqref="S88">
    <cfRule type="cellIs" dxfId="705" priority="1398" operator="equal">
      <formula>"No Action / Withdrawn"</formula>
    </cfRule>
    <cfRule type="cellIs" dxfId="704" priority="1399" operator="equal">
      <formula>"Withdrawn"</formula>
    </cfRule>
  </conditionalFormatting>
  <conditionalFormatting sqref="S88">
    <cfRule type="cellIs" dxfId="703" priority="1396" operator="equal">
      <formula>"Submitted Pending Approval"</formula>
    </cfRule>
    <cfRule type="cellIs" dxfId="702" priority="1397" operator="equal">
      <formula>"Approved"</formula>
    </cfRule>
  </conditionalFormatting>
  <conditionalFormatting sqref="S88">
    <cfRule type="cellIs" dxfId="701" priority="1393" operator="equal">
      <formula>"Submitted Pending Approval"</formula>
    </cfRule>
    <cfRule type="cellIs" dxfId="700" priority="1394" operator="equal">
      <formula>"No Action / Withdrawn"</formula>
    </cfRule>
    <cfRule type="cellIs" dxfId="699" priority="1395" operator="equal">
      <formula>"Identified Not Submitted"</formula>
    </cfRule>
  </conditionalFormatting>
  <conditionalFormatting sqref="S88">
    <cfRule type="cellIs" dxfId="698" priority="1391" operator="equal">
      <formula>"No Action / Withdrawn"</formula>
    </cfRule>
    <cfRule type="cellIs" dxfId="697" priority="1392" operator="equal">
      <formula>"Withdrawn"</formula>
    </cfRule>
  </conditionalFormatting>
  <conditionalFormatting sqref="S36">
    <cfRule type="cellIs" dxfId="696" priority="1382" operator="equal">
      <formula>"Submitted Pending Approval"</formula>
    </cfRule>
    <cfRule type="cellIs" dxfId="695" priority="1383" operator="equal">
      <formula>"Approved"</formula>
    </cfRule>
  </conditionalFormatting>
  <conditionalFormatting sqref="S36">
    <cfRule type="cellIs" dxfId="694" priority="1379" operator="equal">
      <formula>"Submitted Pending Approval"</formula>
    </cfRule>
    <cfRule type="cellIs" dxfId="693" priority="1380" operator="equal">
      <formula>"No Action / Withdrawn"</formula>
    </cfRule>
    <cfRule type="cellIs" dxfId="692" priority="1381" operator="equal">
      <formula>"Identified Not Submitted"</formula>
    </cfRule>
  </conditionalFormatting>
  <conditionalFormatting sqref="S36">
    <cfRule type="cellIs" dxfId="691" priority="1377" operator="equal">
      <formula>"No Action / Withdrawn"</formula>
    </cfRule>
    <cfRule type="cellIs" dxfId="690" priority="1378" operator="equal">
      <formula>"Withdrawn"</formula>
    </cfRule>
  </conditionalFormatting>
  <conditionalFormatting sqref="S36">
    <cfRule type="cellIs" dxfId="689" priority="1376" operator="equal">
      <formula>"Partially Approved"</formula>
    </cfRule>
  </conditionalFormatting>
  <conditionalFormatting sqref="AF36">
    <cfRule type="expression" dxfId="688" priority="1368">
      <formula>Approved</formula>
    </cfRule>
  </conditionalFormatting>
  <conditionalFormatting sqref="S36">
    <cfRule type="cellIs" dxfId="687" priority="1366" operator="equal">
      <formula>"Submitted Pending Approval"</formula>
    </cfRule>
    <cfRule type="cellIs" dxfId="686" priority="1367" operator="equal">
      <formula>"Approved"</formula>
    </cfRule>
  </conditionalFormatting>
  <conditionalFormatting sqref="S36">
    <cfRule type="cellIs" dxfId="685" priority="1363" operator="equal">
      <formula>"Submitted Pending Approval"</formula>
    </cfRule>
    <cfRule type="cellIs" dxfId="684" priority="1364" operator="equal">
      <formula>"No Action / Withdrawn"</formula>
    </cfRule>
    <cfRule type="cellIs" dxfId="683" priority="1365" operator="equal">
      <formula>"Identified Not Submitted"</formula>
    </cfRule>
  </conditionalFormatting>
  <conditionalFormatting sqref="S36">
    <cfRule type="cellIs" dxfId="682" priority="1361" operator="equal">
      <formula>"No Action / Withdrawn"</formula>
    </cfRule>
    <cfRule type="cellIs" dxfId="681" priority="1362" operator="equal">
      <formula>"Withdrawn"</formula>
    </cfRule>
  </conditionalFormatting>
  <conditionalFormatting sqref="AF156">
    <cfRule type="expression" dxfId="680" priority="1360">
      <formula>Approved</formula>
    </cfRule>
  </conditionalFormatting>
  <conditionalFormatting sqref="S156">
    <cfRule type="cellIs" dxfId="679" priority="1358" operator="equal">
      <formula>"Submitted Pending Approval"</formula>
    </cfRule>
    <cfRule type="cellIs" dxfId="678" priority="1359" operator="equal">
      <formula>"Approved"</formula>
    </cfRule>
  </conditionalFormatting>
  <conditionalFormatting sqref="S156">
    <cfRule type="cellIs" dxfId="677" priority="1355" operator="equal">
      <formula>"Submitted Pending Approval"</formula>
    </cfRule>
    <cfRule type="cellIs" dxfId="676" priority="1356" operator="equal">
      <formula>"No Action / Withdrawn"</formula>
    </cfRule>
    <cfRule type="cellIs" dxfId="675" priority="1357" operator="equal">
      <formula>"Identified Not Submitted"</formula>
    </cfRule>
  </conditionalFormatting>
  <conditionalFormatting sqref="S156">
    <cfRule type="cellIs" dxfId="674" priority="1353" operator="equal">
      <formula>"No Action / Withdrawn"</formula>
    </cfRule>
    <cfRule type="cellIs" dxfId="673" priority="1354" operator="equal">
      <formula>"Withdrawn"</formula>
    </cfRule>
  </conditionalFormatting>
  <conditionalFormatting sqref="S156">
    <cfRule type="cellIs" dxfId="672" priority="1352" operator="equal">
      <formula>"Partially Approved"</formula>
    </cfRule>
  </conditionalFormatting>
  <conditionalFormatting sqref="S331:S332 S327 S226:S228 S222:S223 S219:S220 S216 S214 S152 S135:S136 S127 S108:S109 S129">
    <cfRule type="cellIs" dxfId="671" priority="1312" operator="equal">
      <formula>"Submitted Pending Approval"</formula>
    </cfRule>
    <cfRule type="cellIs" dxfId="670" priority="1313" operator="equal">
      <formula>"Approved"</formula>
    </cfRule>
  </conditionalFormatting>
  <conditionalFormatting sqref="S331:S332 S327 S226:S228 S222:S223 S219:S220 S216 S214 S152 S135:S136 S127 S108:S109 S129">
    <cfRule type="cellIs" dxfId="669" priority="1309" operator="equal">
      <formula>"Submitted Pending Approval"</formula>
    </cfRule>
    <cfRule type="cellIs" dxfId="668" priority="1310" operator="equal">
      <formula>"No Action / Withdrawn"</formula>
    </cfRule>
    <cfRule type="cellIs" dxfId="667" priority="1311" operator="equal">
      <formula>"Identified Not Submitted"</formula>
    </cfRule>
  </conditionalFormatting>
  <conditionalFormatting sqref="S331:S332 S327 S226:S228 S222:S223 S219:S220 S216 S214 S152 S135:S136 S127 S108:S109 S129">
    <cfRule type="cellIs" dxfId="666" priority="1307" operator="equal">
      <formula>"No Action / Withdrawn"</formula>
    </cfRule>
    <cfRule type="cellIs" dxfId="665" priority="1308" operator="equal">
      <formula>"Withdrawn"</formula>
    </cfRule>
  </conditionalFormatting>
  <conditionalFormatting sqref="S331:S332 S327 S321 S226:S228 S222:S223 S219:S220 S216 S214 S152 S135:S136 S127 S125 S108:S109 S129">
    <cfRule type="cellIs" dxfId="664" priority="1306" operator="equal">
      <formula>"Partially Approved"</formula>
    </cfRule>
  </conditionalFormatting>
  <conditionalFormatting sqref="S176">
    <cfRule type="cellIs" dxfId="663" priority="1290" operator="equal">
      <formula>"Partially Approved"</formula>
    </cfRule>
  </conditionalFormatting>
  <conditionalFormatting sqref="S176">
    <cfRule type="cellIs" dxfId="662" priority="1296" operator="equal">
      <formula>"Submitted Pending Approval"</formula>
    </cfRule>
    <cfRule type="cellIs" dxfId="661" priority="1297" operator="equal">
      <formula>"Approved"</formula>
    </cfRule>
  </conditionalFormatting>
  <conditionalFormatting sqref="S176">
    <cfRule type="cellIs" dxfId="660" priority="1293" operator="equal">
      <formula>"Submitted Pending Approval"</formula>
    </cfRule>
    <cfRule type="cellIs" dxfId="659" priority="1294" operator="equal">
      <formula>"No Action / Withdrawn"</formula>
    </cfRule>
    <cfRule type="cellIs" dxfId="658" priority="1295" operator="equal">
      <formula>"Identified Not Submitted"</formula>
    </cfRule>
  </conditionalFormatting>
  <conditionalFormatting sqref="S176">
    <cfRule type="cellIs" dxfId="657" priority="1291" operator="equal">
      <formula>"No Action / Withdrawn"</formula>
    </cfRule>
    <cfRule type="cellIs" dxfId="656" priority="1292" operator="equal">
      <formula>"Withdrawn"</formula>
    </cfRule>
  </conditionalFormatting>
  <conditionalFormatting sqref="S231:S233">
    <cfRule type="cellIs" dxfId="655" priority="1274" operator="equal">
      <formula>"Partially Approved"</formula>
    </cfRule>
  </conditionalFormatting>
  <conditionalFormatting sqref="S231:S233">
    <cfRule type="cellIs" dxfId="654" priority="1280" operator="equal">
      <formula>"Submitted Pending Approval"</formula>
    </cfRule>
    <cfRule type="cellIs" dxfId="653" priority="1281" operator="equal">
      <formula>"Approved"</formula>
    </cfRule>
  </conditionalFormatting>
  <conditionalFormatting sqref="S231:S233">
    <cfRule type="cellIs" dxfId="652" priority="1277" operator="equal">
      <formula>"Submitted Pending Approval"</formula>
    </cfRule>
    <cfRule type="cellIs" dxfId="651" priority="1278" operator="equal">
      <formula>"No Action / Withdrawn"</formula>
    </cfRule>
    <cfRule type="cellIs" dxfId="650" priority="1279" operator="equal">
      <formula>"Identified Not Submitted"</formula>
    </cfRule>
  </conditionalFormatting>
  <conditionalFormatting sqref="S231:S233">
    <cfRule type="cellIs" dxfId="649" priority="1275" operator="equal">
      <formula>"No Action / Withdrawn"</formula>
    </cfRule>
    <cfRule type="cellIs" dxfId="648" priority="1276" operator="equal">
      <formula>"Withdrawn"</formula>
    </cfRule>
  </conditionalFormatting>
  <conditionalFormatting sqref="S229:S230">
    <cfRule type="cellIs" dxfId="647" priority="1258" operator="equal">
      <formula>"Partially Approved"</formula>
    </cfRule>
  </conditionalFormatting>
  <conditionalFormatting sqref="S229:S230">
    <cfRule type="cellIs" dxfId="646" priority="1264" operator="equal">
      <formula>"Submitted Pending Approval"</formula>
    </cfRule>
    <cfRule type="cellIs" dxfId="645" priority="1265" operator="equal">
      <formula>"Approved"</formula>
    </cfRule>
  </conditionalFormatting>
  <conditionalFormatting sqref="S229:S230">
    <cfRule type="cellIs" dxfId="644" priority="1261" operator="equal">
      <formula>"Submitted Pending Approval"</formula>
    </cfRule>
    <cfRule type="cellIs" dxfId="643" priority="1262" operator="equal">
      <formula>"No Action / Withdrawn"</formula>
    </cfRule>
    <cfRule type="cellIs" dxfId="642" priority="1263" operator="equal">
      <formula>"Identified Not Submitted"</formula>
    </cfRule>
  </conditionalFormatting>
  <conditionalFormatting sqref="S229:S230">
    <cfRule type="cellIs" dxfId="641" priority="1259" operator="equal">
      <formula>"No Action / Withdrawn"</formula>
    </cfRule>
    <cfRule type="cellIs" dxfId="640" priority="1260" operator="equal">
      <formula>"Withdrawn"</formula>
    </cfRule>
  </conditionalFormatting>
  <conditionalFormatting sqref="AF163">
    <cfRule type="expression" dxfId="639" priority="1257">
      <formula>Approved</formula>
    </cfRule>
  </conditionalFormatting>
  <conditionalFormatting sqref="AF234:AF235">
    <cfRule type="expression" dxfId="638" priority="1240">
      <formula>Approved</formula>
    </cfRule>
  </conditionalFormatting>
  <conditionalFormatting sqref="S234:S235">
    <cfRule type="cellIs" dxfId="637" priority="1224" operator="equal">
      <formula>"Partially Approved"</formula>
    </cfRule>
  </conditionalFormatting>
  <conditionalFormatting sqref="S234:S235">
    <cfRule type="cellIs" dxfId="636" priority="1230" operator="equal">
      <formula>"Submitted Pending Approval"</formula>
    </cfRule>
    <cfRule type="cellIs" dxfId="635" priority="1231" operator="equal">
      <formula>"Approved"</formula>
    </cfRule>
  </conditionalFormatting>
  <conditionalFormatting sqref="S234:S235">
    <cfRule type="cellIs" dxfId="634" priority="1227" operator="equal">
      <formula>"Submitted Pending Approval"</formula>
    </cfRule>
    <cfRule type="cellIs" dxfId="633" priority="1228" operator="equal">
      <formula>"No Action / Withdrawn"</formula>
    </cfRule>
    <cfRule type="cellIs" dxfId="632" priority="1229" operator="equal">
      <formula>"Identified Not Submitted"</formula>
    </cfRule>
  </conditionalFormatting>
  <conditionalFormatting sqref="S234:S235">
    <cfRule type="cellIs" dxfId="631" priority="1225" operator="equal">
      <formula>"No Action / Withdrawn"</formula>
    </cfRule>
    <cfRule type="cellIs" dxfId="630" priority="1226" operator="equal">
      <formula>"Withdrawn"</formula>
    </cfRule>
  </conditionalFormatting>
  <conditionalFormatting sqref="S236 S320">
    <cfRule type="cellIs" dxfId="629" priority="1207" operator="equal">
      <formula>"Partially Approved"</formula>
    </cfRule>
  </conditionalFormatting>
  <conditionalFormatting sqref="S236 S320">
    <cfRule type="cellIs" dxfId="628" priority="1213" operator="equal">
      <formula>"Submitted Pending Approval"</formula>
    </cfRule>
    <cfRule type="cellIs" dxfId="627" priority="1214" operator="equal">
      <formula>"Approved"</formula>
    </cfRule>
  </conditionalFormatting>
  <conditionalFormatting sqref="S236 S320">
    <cfRule type="cellIs" dxfId="626" priority="1210" operator="equal">
      <formula>"Submitted Pending Approval"</formula>
    </cfRule>
    <cfRule type="cellIs" dxfId="625" priority="1211" operator="equal">
      <formula>"No Action / Withdrawn"</formula>
    </cfRule>
    <cfRule type="cellIs" dxfId="624" priority="1212" operator="equal">
      <formula>"Identified Not Submitted"</formula>
    </cfRule>
  </conditionalFormatting>
  <conditionalFormatting sqref="S236 S320">
    <cfRule type="cellIs" dxfId="623" priority="1208" operator="equal">
      <formula>"No Action / Withdrawn"</formula>
    </cfRule>
    <cfRule type="cellIs" dxfId="622" priority="1209" operator="equal">
      <formula>"Withdrawn"</formula>
    </cfRule>
  </conditionalFormatting>
  <conditionalFormatting sqref="S239 S251 S241:S249">
    <cfRule type="cellIs" dxfId="621" priority="1159" operator="equal">
      <formula>"Partially Approved"</formula>
    </cfRule>
  </conditionalFormatting>
  <conditionalFormatting sqref="S239 S251 S241:S249">
    <cfRule type="cellIs" dxfId="620" priority="1165" operator="equal">
      <formula>"Submitted Pending Approval"</formula>
    </cfRule>
    <cfRule type="cellIs" dxfId="619" priority="1166" operator="equal">
      <formula>"Approved"</formula>
    </cfRule>
  </conditionalFormatting>
  <conditionalFormatting sqref="S239 S251 S241:S249">
    <cfRule type="cellIs" dxfId="618" priority="1162" operator="equal">
      <formula>"Submitted Pending Approval"</formula>
    </cfRule>
    <cfRule type="cellIs" dxfId="617" priority="1163" operator="equal">
      <formula>"No Action / Withdrawn"</formula>
    </cfRule>
    <cfRule type="cellIs" dxfId="616" priority="1164" operator="equal">
      <formula>"Identified Not Submitted"</formula>
    </cfRule>
  </conditionalFormatting>
  <conditionalFormatting sqref="S239 S251 S241:S249">
    <cfRule type="cellIs" dxfId="615" priority="1160" operator="equal">
      <formula>"No Action / Withdrawn"</formula>
    </cfRule>
    <cfRule type="cellIs" dxfId="614" priority="1161" operator="equal">
      <formula>"Withdrawn"</formula>
    </cfRule>
  </conditionalFormatting>
  <conditionalFormatting sqref="S75">
    <cfRule type="cellIs" dxfId="613" priority="1157" operator="equal">
      <formula>"Submitted Pending Approval"</formula>
    </cfRule>
    <cfRule type="cellIs" dxfId="612" priority="1158" operator="equal">
      <formula>"Approved"</formula>
    </cfRule>
  </conditionalFormatting>
  <conditionalFormatting sqref="S75">
    <cfRule type="cellIs" dxfId="611" priority="1154" operator="equal">
      <formula>"Submitted Pending Approval"</formula>
    </cfRule>
    <cfRule type="cellIs" dxfId="610" priority="1155" operator="equal">
      <formula>"No Action / Withdrawn"</formula>
    </cfRule>
    <cfRule type="cellIs" dxfId="609" priority="1156" operator="equal">
      <formula>"Identified Not Submitted"</formula>
    </cfRule>
  </conditionalFormatting>
  <conditionalFormatting sqref="S75">
    <cfRule type="cellIs" dxfId="608" priority="1152" operator="equal">
      <formula>"No Action / Withdrawn"</formula>
    </cfRule>
    <cfRule type="cellIs" dxfId="607" priority="1153" operator="equal">
      <formula>"Withdrawn"</formula>
    </cfRule>
  </conditionalFormatting>
  <conditionalFormatting sqref="S75">
    <cfRule type="cellIs" dxfId="606" priority="1150" operator="equal">
      <formula>"Submitted Pending Approval"</formula>
    </cfRule>
    <cfRule type="cellIs" dxfId="605" priority="1151" operator="equal">
      <formula>"Approved"</formula>
    </cfRule>
  </conditionalFormatting>
  <conditionalFormatting sqref="S75">
    <cfRule type="cellIs" dxfId="604" priority="1147" operator="equal">
      <formula>"Submitted Pending Approval"</formula>
    </cfRule>
    <cfRule type="cellIs" dxfId="603" priority="1148" operator="equal">
      <formula>"No Action / Withdrawn"</formula>
    </cfRule>
    <cfRule type="cellIs" dxfId="602" priority="1149" operator="equal">
      <formula>"Identified Not Submitted"</formula>
    </cfRule>
  </conditionalFormatting>
  <conditionalFormatting sqref="S75">
    <cfRule type="cellIs" dxfId="601" priority="1145" operator="equal">
      <formula>"No Action / Withdrawn"</formula>
    </cfRule>
    <cfRule type="cellIs" dxfId="600" priority="1146" operator="equal">
      <formula>"Withdrawn"</formula>
    </cfRule>
  </conditionalFormatting>
  <conditionalFormatting sqref="S29">
    <cfRule type="cellIs" dxfId="599" priority="1143" operator="equal">
      <formula>"Submitted Pending Approval"</formula>
    </cfRule>
    <cfRule type="cellIs" dxfId="598" priority="1144" operator="equal">
      <formula>"Approved"</formula>
    </cfRule>
  </conditionalFormatting>
  <conditionalFormatting sqref="S29">
    <cfRule type="cellIs" dxfId="597" priority="1140" operator="equal">
      <formula>"Submitted Pending Approval"</formula>
    </cfRule>
    <cfRule type="cellIs" dxfId="596" priority="1141" operator="equal">
      <formula>"No Action / Withdrawn"</formula>
    </cfRule>
    <cfRule type="cellIs" dxfId="595" priority="1142" operator="equal">
      <formula>"Identified Not Submitted"</formula>
    </cfRule>
  </conditionalFormatting>
  <conditionalFormatting sqref="S29">
    <cfRule type="cellIs" dxfId="594" priority="1138" operator="equal">
      <formula>"No Action / Withdrawn"</formula>
    </cfRule>
    <cfRule type="cellIs" dxfId="593" priority="1139" operator="equal">
      <formula>"Withdrawn"</formula>
    </cfRule>
  </conditionalFormatting>
  <conditionalFormatting sqref="S29">
    <cfRule type="cellIs" dxfId="592" priority="1130" operator="equal">
      <formula>"Partially Approved"</formula>
    </cfRule>
  </conditionalFormatting>
  <conditionalFormatting sqref="S29">
    <cfRule type="cellIs" dxfId="591" priority="1128" operator="equal">
      <formula>"Submitted Pending Approval"</formula>
    </cfRule>
    <cfRule type="cellIs" dxfId="590" priority="1129" operator="equal">
      <formula>"Approved"</formula>
    </cfRule>
  </conditionalFormatting>
  <conditionalFormatting sqref="S29">
    <cfRule type="cellIs" dxfId="589" priority="1125" operator="equal">
      <formula>"Submitted Pending Approval"</formula>
    </cfRule>
    <cfRule type="cellIs" dxfId="588" priority="1126" operator="equal">
      <formula>"No Action / Withdrawn"</formula>
    </cfRule>
    <cfRule type="cellIs" dxfId="587" priority="1127" operator="equal">
      <formula>"Identified Not Submitted"</formula>
    </cfRule>
  </conditionalFormatting>
  <conditionalFormatting sqref="S29">
    <cfRule type="cellIs" dxfId="586" priority="1123" operator="equal">
      <formula>"No Action / Withdrawn"</formula>
    </cfRule>
    <cfRule type="cellIs" dxfId="585" priority="1124" operator="equal">
      <formula>"Withdrawn"</formula>
    </cfRule>
  </conditionalFormatting>
  <conditionalFormatting sqref="S92">
    <cfRule type="cellIs" dxfId="584" priority="1085" operator="equal">
      <formula>"Submitted Pending Approval"</formula>
    </cfRule>
    <cfRule type="cellIs" dxfId="583" priority="1086" operator="equal">
      <formula>"Approved"</formula>
    </cfRule>
  </conditionalFormatting>
  <conditionalFormatting sqref="S92">
    <cfRule type="cellIs" dxfId="582" priority="1082" operator="equal">
      <formula>"Submitted Pending Approval"</formula>
    </cfRule>
    <cfRule type="cellIs" dxfId="581" priority="1083" operator="equal">
      <formula>"No Action / Withdrawn"</formula>
    </cfRule>
    <cfRule type="cellIs" dxfId="580" priority="1084" operator="equal">
      <formula>"Identified Not Submitted"</formula>
    </cfRule>
  </conditionalFormatting>
  <conditionalFormatting sqref="S92">
    <cfRule type="cellIs" dxfId="579" priority="1080" operator="equal">
      <formula>"No Action / Withdrawn"</formula>
    </cfRule>
    <cfRule type="cellIs" dxfId="578" priority="1081" operator="equal">
      <formula>"Withdrawn"</formula>
    </cfRule>
  </conditionalFormatting>
  <conditionalFormatting sqref="S92">
    <cfRule type="cellIs" dxfId="577" priority="1079" operator="equal">
      <formula>"Partially Approved"</formula>
    </cfRule>
  </conditionalFormatting>
  <conditionalFormatting sqref="S92">
    <cfRule type="cellIs" dxfId="576" priority="1067" operator="equal">
      <formula>"Submitted Pending Approval"</formula>
    </cfRule>
    <cfRule type="cellIs" dxfId="575" priority="1068" operator="equal">
      <formula>"No Action / Withdrawn"</formula>
    </cfRule>
    <cfRule type="cellIs" dxfId="574" priority="1069" operator="equal">
      <formula>"Identified Not Submitted"</formula>
    </cfRule>
  </conditionalFormatting>
  <conditionalFormatting sqref="S92">
    <cfRule type="cellIs" dxfId="573" priority="1065" operator="equal">
      <formula>"No Action / Withdrawn"</formula>
    </cfRule>
    <cfRule type="cellIs" dxfId="572" priority="1066" operator="equal">
      <formula>"Withdrawn"</formula>
    </cfRule>
  </conditionalFormatting>
  <conditionalFormatting sqref="S92">
    <cfRule type="cellIs" dxfId="571" priority="1070" operator="equal">
      <formula>"Submitted Pending Approval"</formula>
    </cfRule>
    <cfRule type="cellIs" dxfId="570" priority="1071" operator="equal">
      <formula>"Approved"</formula>
    </cfRule>
  </conditionalFormatting>
  <conditionalFormatting sqref="S92">
    <cfRule type="cellIs" dxfId="569" priority="1063" operator="equal">
      <formula>"Submitted Pending Approval"</formula>
    </cfRule>
    <cfRule type="cellIs" dxfId="568" priority="1064" operator="equal">
      <formula>"Approved"</formula>
    </cfRule>
  </conditionalFormatting>
  <conditionalFormatting sqref="S92">
    <cfRule type="cellIs" dxfId="567" priority="1060" operator="equal">
      <formula>"Submitted Pending Approval"</formula>
    </cfRule>
    <cfRule type="cellIs" dxfId="566" priority="1061" operator="equal">
      <formula>"No Action / Withdrawn"</formula>
    </cfRule>
    <cfRule type="cellIs" dxfId="565" priority="1062" operator="equal">
      <formula>"Identified Not Submitted"</formula>
    </cfRule>
  </conditionalFormatting>
  <conditionalFormatting sqref="S92">
    <cfRule type="cellIs" dxfId="564" priority="1058" operator="equal">
      <formula>"No Action / Withdrawn"</formula>
    </cfRule>
    <cfRule type="cellIs" dxfId="563" priority="1059" operator="equal">
      <formula>"Withdrawn"</formula>
    </cfRule>
  </conditionalFormatting>
  <conditionalFormatting sqref="S92">
    <cfRule type="cellIs" dxfId="562" priority="1056" operator="equal">
      <formula>"Submitted Pending Approval"</formula>
    </cfRule>
    <cfRule type="cellIs" dxfId="561" priority="1057" operator="equal">
      <formula>"Approved"</formula>
    </cfRule>
  </conditionalFormatting>
  <conditionalFormatting sqref="S92">
    <cfRule type="cellIs" dxfId="560" priority="1053" operator="equal">
      <formula>"Submitted Pending Approval"</formula>
    </cfRule>
    <cfRule type="cellIs" dxfId="559" priority="1054" operator="equal">
      <formula>"No Action / Withdrawn"</formula>
    </cfRule>
    <cfRule type="cellIs" dxfId="558" priority="1055" operator="equal">
      <formula>"Identified Not Submitted"</formula>
    </cfRule>
  </conditionalFormatting>
  <conditionalFormatting sqref="S92">
    <cfRule type="cellIs" dxfId="557" priority="1051" operator="equal">
      <formula>"No Action / Withdrawn"</formula>
    </cfRule>
    <cfRule type="cellIs" dxfId="556" priority="1052" operator="equal">
      <formula>"Withdrawn"</formula>
    </cfRule>
  </conditionalFormatting>
  <conditionalFormatting sqref="S237">
    <cfRule type="cellIs" dxfId="555" priority="1035" operator="equal">
      <formula>"Partially Approved"</formula>
    </cfRule>
  </conditionalFormatting>
  <conditionalFormatting sqref="S237">
    <cfRule type="cellIs" dxfId="554" priority="1041" operator="equal">
      <formula>"Submitted Pending Approval"</formula>
    </cfRule>
    <cfRule type="cellIs" dxfId="553" priority="1042" operator="equal">
      <formula>"Approved"</formula>
    </cfRule>
  </conditionalFormatting>
  <conditionalFormatting sqref="S237">
    <cfRule type="cellIs" dxfId="552" priority="1038" operator="equal">
      <formula>"Submitted Pending Approval"</formula>
    </cfRule>
    <cfRule type="cellIs" dxfId="551" priority="1039" operator="equal">
      <formula>"No Action / Withdrawn"</formula>
    </cfRule>
    <cfRule type="cellIs" dxfId="550" priority="1040" operator="equal">
      <formula>"Identified Not Submitted"</formula>
    </cfRule>
  </conditionalFormatting>
  <conditionalFormatting sqref="S237">
    <cfRule type="cellIs" dxfId="549" priority="1036" operator="equal">
      <formula>"No Action / Withdrawn"</formula>
    </cfRule>
    <cfRule type="cellIs" dxfId="548" priority="1037" operator="equal">
      <formula>"Withdrawn"</formula>
    </cfRule>
  </conditionalFormatting>
  <conditionalFormatting sqref="S240">
    <cfRule type="cellIs" dxfId="547" priority="1019" operator="equal">
      <formula>"Partially Approved"</formula>
    </cfRule>
  </conditionalFormatting>
  <conditionalFormatting sqref="S240">
    <cfRule type="cellIs" dxfId="546" priority="1025" operator="equal">
      <formula>"Submitted Pending Approval"</formula>
    </cfRule>
    <cfRule type="cellIs" dxfId="545" priority="1026" operator="equal">
      <formula>"Approved"</formula>
    </cfRule>
  </conditionalFormatting>
  <conditionalFormatting sqref="S240">
    <cfRule type="cellIs" dxfId="544" priority="1022" operator="equal">
      <formula>"Submitted Pending Approval"</formula>
    </cfRule>
    <cfRule type="cellIs" dxfId="543" priority="1023" operator="equal">
      <formula>"No Action / Withdrawn"</formula>
    </cfRule>
    <cfRule type="cellIs" dxfId="542" priority="1024" operator="equal">
      <formula>"Identified Not Submitted"</formula>
    </cfRule>
  </conditionalFormatting>
  <conditionalFormatting sqref="S240">
    <cfRule type="cellIs" dxfId="541" priority="1020" operator="equal">
      <formula>"No Action / Withdrawn"</formula>
    </cfRule>
    <cfRule type="cellIs" dxfId="540" priority="1021" operator="equal">
      <formula>"Withdrawn"</formula>
    </cfRule>
  </conditionalFormatting>
  <conditionalFormatting sqref="S199">
    <cfRule type="cellIs" dxfId="539" priority="1003" operator="equal">
      <formula>"Partially Approved"</formula>
    </cfRule>
  </conditionalFormatting>
  <conditionalFormatting sqref="S199">
    <cfRule type="cellIs" dxfId="538" priority="1009" operator="equal">
      <formula>"Submitted Pending Approval"</formula>
    </cfRule>
    <cfRule type="cellIs" dxfId="537" priority="1010" operator="equal">
      <formula>"Approved"</formula>
    </cfRule>
  </conditionalFormatting>
  <conditionalFormatting sqref="S199">
    <cfRule type="cellIs" dxfId="536" priority="1006" operator="equal">
      <formula>"Submitted Pending Approval"</formula>
    </cfRule>
    <cfRule type="cellIs" dxfId="535" priority="1007" operator="equal">
      <formula>"No Action / Withdrawn"</formula>
    </cfRule>
    <cfRule type="cellIs" dxfId="534" priority="1008" operator="equal">
      <formula>"Identified Not Submitted"</formula>
    </cfRule>
  </conditionalFormatting>
  <conditionalFormatting sqref="S199">
    <cfRule type="cellIs" dxfId="533" priority="1004" operator="equal">
      <formula>"No Action / Withdrawn"</formula>
    </cfRule>
    <cfRule type="cellIs" dxfId="532" priority="1005" operator="equal">
      <formula>"Withdrawn"</formula>
    </cfRule>
  </conditionalFormatting>
  <conditionalFormatting sqref="AF230">
    <cfRule type="expression" dxfId="531" priority="1002">
      <formula>Approved</formula>
    </cfRule>
  </conditionalFormatting>
  <conditionalFormatting sqref="AF10">
    <cfRule type="expression" dxfId="530" priority="960">
      <formula>Approved</formula>
    </cfRule>
  </conditionalFormatting>
  <conditionalFormatting sqref="AF9">
    <cfRule type="expression" dxfId="529" priority="959">
      <formula>Approved</formula>
    </cfRule>
  </conditionalFormatting>
  <conditionalFormatting sqref="S191">
    <cfRule type="cellIs" dxfId="528" priority="941" operator="equal">
      <formula>"Submitted Pending Approval"</formula>
    </cfRule>
    <cfRule type="cellIs" dxfId="527" priority="942" operator="equal">
      <formula>"Approved"</formula>
    </cfRule>
  </conditionalFormatting>
  <conditionalFormatting sqref="S191">
    <cfRule type="cellIs" dxfId="526" priority="938" operator="equal">
      <formula>"Submitted Pending Approval"</formula>
    </cfRule>
    <cfRule type="cellIs" dxfId="525" priority="939" operator="equal">
      <formula>"No Action / Withdrawn"</formula>
    </cfRule>
    <cfRule type="cellIs" dxfId="524" priority="940" operator="equal">
      <formula>"Identified Not Submitted"</formula>
    </cfRule>
  </conditionalFormatting>
  <conditionalFormatting sqref="S191">
    <cfRule type="cellIs" dxfId="523" priority="936" operator="equal">
      <formula>"No Action / Withdrawn"</formula>
    </cfRule>
    <cfRule type="cellIs" dxfId="522" priority="937" operator="equal">
      <formula>"Withdrawn"</formula>
    </cfRule>
  </conditionalFormatting>
  <conditionalFormatting sqref="S191">
    <cfRule type="cellIs" dxfId="521" priority="934" operator="equal">
      <formula>"Submitted Pending Approval"</formula>
    </cfRule>
    <cfRule type="cellIs" dxfId="520" priority="935" operator="equal">
      <formula>"Approved"</formula>
    </cfRule>
  </conditionalFormatting>
  <conditionalFormatting sqref="S191">
    <cfRule type="cellIs" dxfId="519" priority="931" operator="equal">
      <formula>"Submitted Pending Approval"</formula>
    </cfRule>
    <cfRule type="cellIs" dxfId="518" priority="932" operator="equal">
      <formula>"No Action / Withdrawn"</formula>
    </cfRule>
    <cfRule type="cellIs" dxfId="517" priority="933" operator="equal">
      <formula>"Identified Not Submitted"</formula>
    </cfRule>
  </conditionalFormatting>
  <conditionalFormatting sqref="S191">
    <cfRule type="cellIs" dxfId="516" priority="929" operator="equal">
      <formula>"No Action / Withdrawn"</formula>
    </cfRule>
    <cfRule type="cellIs" dxfId="515" priority="930" operator="equal">
      <formula>"Withdrawn"</formula>
    </cfRule>
  </conditionalFormatting>
  <conditionalFormatting sqref="S191">
    <cfRule type="cellIs" dxfId="514" priority="928" operator="equal">
      <formula>"Partially Approved"</formula>
    </cfRule>
  </conditionalFormatting>
  <conditionalFormatting sqref="S196">
    <cfRule type="cellIs" dxfId="513" priority="918" operator="equal">
      <formula>"Submitted Pending Approval"</formula>
    </cfRule>
    <cfRule type="cellIs" dxfId="512" priority="919" operator="equal">
      <formula>"Approved"</formula>
    </cfRule>
  </conditionalFormatting>
  <conditionalFormatting sqref="S196">
    <cfRule type="cellIs" dxfId="511" priority="915" operator="equal">
      <formula>"Submitted Pending Approval"</formula>
    </cfRule>
    <cfRule type="cellIs" dxfId="510" priority="916" operator="equal">
      <formula>"No Action / Withdrawn"</formula>
    </cfRule>
    <cfRule type="cellIs" dxfId="509" priority="917" operator="equal">
      <formula>"Identified Not Submitted"</formula>
    </cfRule>
  </conditionalFormatting>
  <conditionalFormatting sqref="S196">
    <cfRule type="cellIs" dxfId="508" priority="913" operator="equal">
      <formula>"No Action / Withdrawn"</formula>
    </cfRule>
    <cfRule type="cellIs" dxfId="507" priority="914" operator="equal">
      <formula>"Withdrawn"</formula>
    </cfRule>
  </conditionalFormatting>
  <conditionalFormatting sqref="S196">
    <cfRule type="cellIs" dxfId="506" priority="911" operator="equal">
      <formula>"Submitted Pending Approval"</formula>
    </cfRule>
    <cfRule type="cellIs" dxfId="505" priority="912" operator="equal">
      <formula>"Approved"</formula>
    </cfRule>
  </conditionalFormatting>
  <conditionalFormatting sqref="S196">
    <cfRule type="cellIs" dxfId="504" priority="908" operator="equal">
      <formula>"Submitted Pending Approval"</formula>
    </cfRule>
    <cfRule type="cellIs" dxfId="503" priority="909" operator="equal">
      <formula>"No Action / Withdrawn"</formula>
    </cfRule>
    <cfRule type="cellIs" dxfId="502" priority="910" operator="equal">
      <formula>"Identified Not Submitted"</formula>
    </cfRule>
  </conditionalFormatting>
  <conditionalFormatting sqref="S196">
    <cfRule type="cellIs" dxfId="501" priority="906" operator="equal">
      <formula>"No Action / Withdrawn"</formula>
    </cfRule>
    <cfRule type="cellIs" dxfId="500" priority="907" operator="equal">
      <formula>"Withdrawn"</formula>
    </cfRule>
  </conditionalFormatting>
  <conditionalFormatting sqref="S196">
    <cfRule type="cellIs" dxfId="499" priority="905" operator="equal">
      <formula>"Partially Approved"</formula>
    </cfRule>
  </conditionalFormatting>
  <conditionalFormatting sqref="S75">
    <cfRule type="cellIs" dxfId="498" priority="802" operator="equal">
      <formula>"Submitted Pending Approval"</formula>
    </cfRule>
    <cfRule type="cellIs" dxfId="497" priority="803" operator="equal">
      <formula>"Approved"</formula>
    </cfRule>
  </conditionalFormatting>
  <conditionalFormatting sqref="S75">
    <cfRule type="cellIs" dxfId="496" priority="799" operator="equal">
      <formula>"Submitted Pending Approval"</formula>
    </cfRule>
    <cfRule type="cellIs" dxfId="495" priority="800" operator="equal">
      <formula>"No Action / Withdrawn"</formula>
    </cfRule>
    <cfRule type="cellIs" dxfId="494" priority="801" operator="equal">
      <formula>"Identified Not Submitted"</formula>
    </cfRule>
  </conditionalFormatting>
  <conditionalFormatting sqref="S75">
    <cfRule type="cellIs" dxfId="493" priority="797" operator="equal">
      <formula>"No Action / Withdrawn"</formula>
    </cfRule>
    <cfRule type="cellIs" dxfId="492" priority="798" operator="equal">
      <formula>"Withdrawn"</formula>
    </cfRule>
  </conditionalFormatting>
  <conditionalFormatting sqref="S75">
    <cfRule type="cellIs" dxfId="491" priority="788" operator="equal">
      <formula>"Submitted Pending Approval"</formula>
    </cfRule>
    <cfRule type="cellIs" dxfId="490" priority="789" operator="equal">
      <formula>"Approved"</formula>
    </cfRule>
  </conditionalFormatting>
  <conditionalFormatting sqref="S75">
    <cfRule type="cellIs" dxfId="489" priority="785" operator="equal">
      <formula>"Submitted Pending Approval"</formula>
    </cfRule>
    <cfRule type="cellIs" dxfId="488" priority="786" operator="equal">
      <formula>"No Action / Withdrawn"</formula>
    </cfRule>
    <cfRule type="cellIs" dxfId="487" priority="787" operator="equal">
      <formula>"Identified Not Submitted"</formula>
    </cfRule>
  </conditionalFormatting>
  <conditionalFormatting sqref="S75">
    <cfRule type="cellIs" dxfId="486" priority="783" operator="equal">
      <formula>"No Action / Withdrawn"</formula>
    </cfRule>
    <cfRule type="cellIs" dxfId="485" priority="784" operator="equal">
      <formula>"Withdrawn"</formula>
    </cfRule>
  </conditionalFormatting>
  <conditionalFormatting sqref="S21">
    <cfRule type="cellIs" dxfId="484" priority="774" operator="equal">
      <formula>"Submitted Pending Approval"</formula>
    </cfRule>
    <cfRule type="cellIs" dxfId="483" priority="775" operator="equal">
      <formula>"Approved"</formula>
    </cfRule>
  </conditionalFormatting>
  <conditionalFormatting sqref="S21">
    <cfRule type="cellIs" dxfId="482" priority="771" operator="equal">
      <formula>"Submitted Pending Approval"</formula>
    </cfRule>
    <cfRule type="cellIs" dxfId="481" priority="772" operator="equal">
      <formula>"No Action / Withdrawn"</formula>
    </cfRule>
    <cfRule type="cellIs" dxfId="480" priority="773" operator="equal">
      <formula>"Identified Not Submitted"</formula>
    </cfRule>
  </conditionalFormatting>
  <conditionalFormatting sqref="S21">
    <cfRule type="cellIs" dxfId="479" priority="769" operator="equal">
      <formula>"No Action / Withdrawn"</formula>
    </cfRule>
    <cfRule type="cellIs" dxfId="478" priority="770" operator="equal">
      <formula>"Withdrawn"</formula>
    </cfRule>
  </conditionalFormatting>
  <conditionalFormatting sqref="AF130">
    <cfRule type="expression" dxfId="477" priority="737">
      <formula>Approved</formula>
    </cfRule>
  </conditionalFormatting>
  <conditionalFormatting sqref="S130">
    <cfRule type="cellIs" dxfId="476" priority="735" operator="equal">
      <formula>"Submitted Pending Approval"</formula>
    </cfRule>
    <cfRule type="cellIs" dxfId="475" priority="736" operator="equal">
      <formula>"Approved"</formula>
    </cfRule>
  </conditionalFormatting>
  <conditionalFormatting sqref="S130">
    <cfRule type="cellIs" dxfId="474" priority="732" operator="equal">
      <formula>"Submitted Pending Approval"</formula>
    </cfRule>
    <cfRule type="cellIs" dxfId="473" priority="733" operator="equal">
      <formula>"No Action / Withdrawn"</formula>
    </cfRule>
    <cfRule type="cellIs" dxfId="472" priority="734" operator="equal">
      <formula>"Identified Not Submitted"</formula>
    </cfRule>
  </conditionalFormatting>
  <conditionalFormatting sqref="S130">
    <cfRule type="cellIs" dxfId="471" priority="730" operator="equal">
      <formula>"No Action / Withdrawn"</formula>
    </cfRule>
    <cfRule type="cellIs" dxfId="470" priority="731" operator="equal">
      <formula>"Withdrawn"</formula>
    </cfRule>
  </conditionalFormatting>
  <conditionalFormatting sqref="S130">
    <cfRule type="cellIs" dxfId="469" priority="729" operator="equal">
      <formula>"Partially Approved"</formula>
    </cfRule>
  </conditionalFormatting>
  <conditionalFormatting sqref="S37">
    <cfRule type="cellIs" dxfId="468" priority="727" operator="equal">
      <formula>"Submitted Pending Approval"</formula>
    </cfRule>
    <cfRule type="cellIs" dxfId="467" priority="728" operator="equal">
      <formula>"Approved"</formula>
    </cfRule>
  </conditionalFormatting>
  <conditionalFormatting sqref="S37">
    <cfRule type="cellIs" dxfId="466" priority="724" operator="equal">
      <formula>"Submitted Pending Approval"</formula>
    </cfRule>
    <cfRule type="cellIs" dxfId="465" priority="725" operator="equal">
      <formula>"No Action / Withdrawn"</formula>
    </cfRule>
    <cfRule type="cellIs" dxfId="464" priority="726" operator="equal">
      <formula>"Identified Not Submitted"</formula>
    </cfRule>
  </conditionalFormatting>
  <conditionalFormatting sqref="S37">
    <cfRule type="cellIs" dxfId="463" priority="722" operator="equal">
      <formula>"No Action / Withdrawn"</formula>
    </cfRule>
    <cfRule type="cellIs" dxfId="462" priority="723" operator="equal">
      <formula>"Withdrawn"</formula>
    </cfRule>
  </conditionalFormatting>
  <conditionalFormatting sqref="S37">
    <cfRule type="cellIs" dxfId="461" priority="721" operator="equal">
      <formula>"Partially Approved"</formula>
    </cfRule>
  </conditionalFormatting>
  <conditionalFormatting sqref="S106">
    <cfRule type="cellIs" dxfId="460" priority="719" operator="equal">
      <formula>"Submitted Pending Approval"</formula>
    </cfRule>
    <cfRule type="cellIs" dxfId="459" priority="720" operator="equal">
      <formula>"Approved"</formula>
    </cfRule>
  </conditionalFormatting>
  <conditionalFormatting sqref="S106">
    <cfRule type="cellIs" dxfId="458" priority="716" operator="equal">
      <formula>"Submitted Pending Approval"</formula>
    </cfRule>
    <cfRule type="cellIs" dxfId="457" priority="717" operator="equal">
      <formula>"No Action / Withdrawn"</formula>
    </cfRule>
    <cfRule type="cellIs" dxfId="456" priority="718" operator="equal">
      <formula>"Identified Not Submitted"</formula>
    </cfRule>
  </conditionalFormatting>
  <conditionalFormatting sqref="S106">
    <cfRule type="cellIs" dxfId="455" priority="714" operator="equal">
      <formula>"No Action / Withdrawn"</formula>
    </cfRule>
    <cfRule type="cellIs" dxfId="454" priority="715" operator="equal">
      <formula>"Withdrawn"</formula>
    </cfRule>
  </conditionalFormatting>
  <conditionalFormatting sqref="S106">
    <cfRule type="cellIs" dxfId="453" priority="713" operator="equal">
      <formula>"Partially Approved"</formula>
    </cfRule>
  </conditionalFormatting>
  <conditionalFormatting sqref="S253">
    <cfRule type="cellIs" dxfId="452" priority="711" operator="equal">
      <formula>"Submitted Pending Approval"</formula>
    </cfRule>
    <cfRule type="cellIs" dxfId="451" priority="712" operator="equal">
      <formula>"Approved"</formula>
    </cfRule>
  </conditionalFormatting>
  <conditionalFormatting sqref="S253">
    <cfRule type="cellIs" dxfId="450" priority="708" operator="equal">
      <formula>"Submitted Pending Approval"</formula>
    </cfRule>
    <cfRule type="cellIs" dxfId="449" priority="709" operator="equal">
      <formula>"No Action / Withdrawn"</formula>
    </cfRule>
    <cfRule type="cellIs" dxfId="448" priority="710" operator="equal">
      <formula>"Identified Not Submitted"</formula>
    </cfRule>
  </conditionalFormatting>
  <conditionalFormatting sqref="S253">
    <cfRule type="cellIs" dxfId="447" priority="706" operator="equal">
      <formula>"No Action / Withdrawn"</formula>
    </cfRule>
    <cfRule type="cellIs" dxfId="446" priority="707" operator="equal">
      <formula>"Withdrawn"</formula>
    </cfRule>
  </conditionalFormatting>
  <conditionalFormatting sqref="S253">
    <cfRule type="cellIs" dxfId="445" priority="705" operator="equal">
      <formula>"Partially Approved"</formula>
    </cfRule>
  </conditionalFormatting>
  <conditionalFormatting sqref="S252">
    <cfRule type="cellIs" dxfId="444" priority="703" operator="equal">
      <formula>"Submitted Pending Approval"</formula>
    </cfRule>
    <cfRule type="cellIs" dxfId="443" priority="704" operator="equal">
      <formula>"Approved"</formula>
    </cfRule>
  </conditionalFormatting>
  <conditionalFormatting sqref="S252">
    <cfRule type="cellIs" dxfId="442" priority="700" operator="equal">
      <formula>"Submitted Pending Approval"</formula>
    </cfRule>
    <cfRule type="cellIs" dxfId="441" priority="701" operator="equal">
      <formula>"No Action / Withdrawn"</formula>
    </cfRule>
    <cfRule type="cellIs" dxfId="440" priority="702" operator="equal">
      <formula>"Identified Not Submitted"</formula>
    </cfRule>
  </conditionalFormatting>
  <conditionalFormatting sqref="S252">
    <cfRule type="cellIs" dxfId="439" priority="698" operator="equal">
      <formula>"No Action / Withdrawn"</formula>
    </cfRule>
    <cfRule type="cellIs" dxfId="438" priority="699" operator="equal">
      <formula>"Withdrawn"</formula>
    </cfRule>
  </conditionalFormatting>
  <conditionalFormatting sqref="S252">
    <cfRule type="cellIs" dxfId="437" priority="697" operator="equal">
      <formula>"Partially Approved"</formula>
    </cfRule>
  </conditionalFormatting>
  <conditionalFormatting sqref="S91">
    <cfRule type="cellIs" dxfId="436" priority="695" operator="equal">
      <formula>"Submitted Pending Approval"</formula>
    </cfRule>
    <cfRule type="cellIs" dxfId="435" priority="696" operator="equal">
      <formula>"Approved"</formula>
    </cfRule>
  </conditionalFormatting>
  <conditionalFormatting sqref="S91">
    <cfRule type="cellIs" dxfId="434" priority="692" operator="equal">
      <formula>"Submitted Pending Approval"</formula>
    </cfRule>
    <cfRule type="cellIs" dxfId="433" priority="693" operator="equal">
      <formula>"No Action / Withdrawn"</formula>
    </cfRule>
    <cfRule type="cellIs" dxfId="432" priority="694" operator="equal">
      <formula>"Identified Not Submitted"</formula>
    </cfRule>
  </conditionalFormatting>
  <conditionalFormatting sqref="S91">
    <cfRule type="cellIs" dxfId="431" priority="690" operator="equal">
      <formula>"No Action / Withdrawn"</formula>
    </cfRule>
    <cfRule type="cellIs" dxfId="430" priority="691" operator="equal">
      <formula>"Withdrawn"</formula>
    </cfRule>
  </conditionalFormatting>
  <conditionalFormatting sqref="S91">
    <cfRule type="cellIs" dxfId="429" priority="689" operator="equal">
      <formula>"Partially Approved"</formula>
    </cfRule>
  </conditionalFormatting>
  <conditionalFormatting sqref="S238">
    <cfRule type="cellIs" dxfId="428" priority="681" operator="equal">
      <formula>"Partially Approved"</formula>
    </cfRule>
  </conditionalFormatting>
  <conditionalFormatting sqref="S238">
    <cfRule type="cellIs" dxfId="427" priority="687" operator="equal">
      <formula>"Submitted Pending Approval"</formula>
    </cfRule>
    <cfRule type="cellIs" dxfId="426" priority="688" operator="equal">
      <formula>"Approved"</formula>
    </cfRule>
  </conditionalFormatting>
  <conditionalFormatting sqref="S238">
    <cfRule type="cellIs" dxfId="425" priority="684" operator="equal">
      <formula>"Submitted Pending Approval"</formula>
    </cfRule>
    <cfRule type="cellIs" dxfId="424" priority="685" operator="equal">
      <formula>"No Action / Withdrawn"</formula>
    </cfRule>
    <cfRule type="cellIs" dxfId="423" priority="686" operator="equal">
      <formula>"Identified Not Submitted"</formula>
    </cfRule>
  </conditionalFormatting>
  <conditionalFormatting sqref="S238">
    <cfRule type="cellIs" dxfId="422" priority="682" operator="equal">
      <formula>"No Action / Withdrawn"</formula>
    </cfRule>
    <cfRule type="cellIs" dxfId="421" priority="683" operator="equal">
      <formula>"Withdrawn"</formula>
    </cfRule>
  </conditionalFormatting>
  <conditionalFormatting sqref="S208">
    <cfRule type="cellIs" dxfId="420" priority="665" operator="equal">
      <formula>"Partially Approved"</formula>
    </cfRule>
  </conditionalFormatting>
  <conditionalFormatting sqref="S208">
    <cfRule type="cellIs" dxfId="419" priority="671" operator="equal">
      <formula>"Submitted Pending Approval"</formula>
    </cfRule>
    <cfRule type="cellIs" dxfId="418" priority="672" operator="equal">
      <formula>"Approved"</formula>
    </cfRule>
  </conditionalFormatting>
  <conditionalFormatting sqref="S208">
    <cfRule type="cellIs" dxfId="417" priority="668" operator="equal">
      <formula>"Submitted Pending Approval"</formula>
    </cfRule>
    <cfRule type="cellIs" dxfId="416" priority="669" operator="equal">
      <formula>"No Action / Withdrawn"</formula>
    </cfRule>
    <cfRule type="cellIs" dxfId="415" priority="670" operator="equal">
      <formula>"Identified Not Submitted"</formula>
    </cfRule>
  </conditionalFormatting>
  <conditionalFormatting sqref="S208">
    <cfRule type="cellIs" dxfId="414" priority="666" operator="equal">
      <formula>"No Action / Withdrawn"</formula>
    </cfRule>
    <cfRule type="cellIs" dxfId="413" priority="667" operator="equal">
      <formula>"Withdrawn"</formula>
    </cfRule>
  </conditionalFormatting>
  <conditionalFormatting sqref="S200">
    <cfRule type="cellIs" dxfId="412" priority="648" operator="equal">
      <formula>"Submitted Pending Approval"</formula>
    </cfRule>
    <cfRule type="cellIs" dxfId="411" priority="649" operator="equal">
      <formula>"Approved"</formula>
    </cfRule>
  </conditionalFormatting>
  <conditionalFormatting sqref="S200">
    <cfRule type="cellIs" dxfId="410" priority="645" operator="equal">
      <formula>"Submitted Pending Approval"</formula>
    </cfRule>
    <cfRule type="cellIs" dxfId="409" priority="646" operator="equal">
      <formula>"No Action / Withdrawn"</formula>
    </cfRule>
    <cfRule type="cellIs" dxfId="408" priority="647" operator="equal">
      <formula>"Identified Not Submitted"</formula>
    </cfRule>
  </conditionalFormatting>
  <conditionalFormatting sqref="S200">
    <cfRule type="cellIs" dxfId="407" priority="643" operator="equal">
      <formula>"No Action / Withdrawn"</formula>
    </cfRule>
    <cfRule type="cellIs" dxfId="406" priority="644" operator="equal">
      <formula>"Withdrawn"</formula>
    </cfRule>
  </conditionalFormatting>
  <conditionalFormatting sqref="S200">
    <cfRule type="cellIs" dxfId="405" priority="641" operator="equal">
      <formula>"Submitted Pending Approval"</formula>
    </cfRule>
    <cfRule type="cellIs" dxfId="404" priority="642" operator="equal">
      <formula>"Approved"</formula>
    </cfRule>
  </conditionalFormatting>
  <conditionalFormatting sqref="S200">
    <cfRule type="cellIs" dxfId="403" priority="638" operator="equal">
      <formula>"Submitted Pending Approval"</formula>
    </cfRule>
    <cfRule type="cellIs" dxfId="402" priority="639" operator="equal">
      <formula>"No Action / Withdrawn"</formula>
    </cfRule>
    <cfRule type="cellIs" dxfId="401" priority="640" operator="equal">
      <formula>"Identified Not Submitted"</formula>
    </cfRule>
  </conditionalFormatting>
  <conditionalFormatting sqref="S200">
    <cfRule type="cellIs" dxfId="400" priority="636" operator="equal">
      <formula>"No Action / Withdrawn"</formula>
    </cfRule>
    <cfRule type="cellIs" dxfId="399" priority="637" operator="equal">
      <formula>"Withdrawn"</formula>
    </cfRule>
  </conditionalFormatting>
  <conditionalFormatting sqref="S200">
    <cfRule type="cellIs" dxfId="398" priority="635" operator="equal">
      <formula>"Partially Approved"</formula>
    </cfRule>
  </conditionalFormatting>
  <conditionalFormatting sqref="S168">
    <cfRule type="cellIs" dxfId="397" priority="625" operator="equal">
      <formula>"Submitted Pending Approval"</formula>
    </cfRule>
    <cfRule type="cellIs" dxfId="396" priority="626" operator="equal">
      <formula>"Approved"</formula>
    </cfRule>
  </conditionalFormatting>
  <conditionalFormatting sqref="S168">
    <cfRule type="cellIs" dxfId="395" priority="622" operator="equal">
      <formula>"Submitted Pending Approval"</formula>
    </cfRule>
    <cfRule type="cellIs" dxfId="394" priority="623" operator="equal">
      <formula>"No Action / Withdrawn"</formula>
    </cfRule>
    <cfRule type="cellIs" dxfId="393" priority="624" operator="equal">
      <formula>"Identified Not Submitted"</formula>
    </cfRule>
  </conditionalFormatting>
  <conditionalFormatting sqref="S168">
    <cfRule type="cellIs" dxfId="392" priority="620" operator="equal">
      <formula>"No Action / Withdrawn"</formula>
    </cfRule>
    <cfRule type="cellIs" dxfId="391" priority="621" operator="equal">
      <formula>"Withdrawn"</formula>
    </cfRule>
  </conditionalFormatting>
  <conditionalFormatting sqref="S168">
    <cfRule type="cellIs" dxfId="390" priority="619" operator="equal">
      <formula>"Partially Approved"</formula>
    </cfRule>
  </conditionalFormatting>
  <conditionalFormatting sqref="S221">
    <cfRule type="cellIs" dxfId="389" priority="617" operator="equal">
      <formula>"Submitted Pending Approval"</formula>
    </cfRule>
    <cfRule type="cellIs" dxfId="388" priority="618" operator="equal">
      <formula>"Approved"</formula>
    </cfRule>
  </conditionalFormatting>
  <conditionalFormatting sqref="S221">
    <cfRule type="cellIs" dxfId="387" priority="614" operator="equal">
      <formula>"Submitted Pending Approval"</formula>
    </cfRule>
    <cfRule type="cellIs" dxfId="386" priority="615" operator="equal">
      <formula>"No Action / Withdrawn"</formula>
    </cfRule>
    <cfRule type="cellIs" dxfId="385" priority="616" operator="equal">
      <formula>"Identified Not Submitted"</formula>
    </cfRule>
  </conditionalFormatting>
  <conditionalFormatting sqref="S221">
    <cfRule type="cellIs" dxfId="384" priority="612" operator="equal">
      <formula>"No Action / Withdrawn"</formula>
    </cfRule>
    <cfRule type="cellIs" dxfId="383" priority="613" operator="equal">
      <formula>"Withdrawn"</formula>
    </cfRule>
  </conditionalFormatting>
  <conditionalFormatting sqref="S221">
    <cfRule type="cellIs" dxfId="382" priority="611" operator="equal">
      <formula>"Partially Approved"</formula>
    </cfRule>
  </conditionalFormatting>
  <conditionalFormatting sqref="S221">
    <cfRule type="cellIs" dxfId="381" priority="609" operator="equal">
      <formula>"Submitted Pending Approval"</formula>
    </cfRule>
    <cfRule type="cellIs" dxfId="380" priority="610" operator="equal">
      <formula>"Approved"</formula>
    </cfRule>
  </conditionalFormatting>
  <conditionalFormatting sqref="S221">
    <cfRule type="cellIs" dxfId="379" priority="606" operator="equal">
      <formula>"Submitted Pending Approval"</formula>
    </cfRule>
    <cfRule type="cellIs" dxfId="378" priority="607" operator="equal">
      <formula>"No Action / Withdrawn"</formula>
    </cfRule>
    <cfRule type="cellIs" dxfId="377" priority="608" operator="equal">
      <formula>"Identified Not Submitted"</formula>
    </cfRule>
  </conditionalFormatting>
  <conditionalFormatting sqref="S221">
    <cfRule type="cellIs" dxfId="376" priority="604" operator="equal">
      <formula>"No Action / Withdrawn"</formula>
    </cfRule>
    <cfRule type="cellIs" dxfId="375" priority="605" operator="equal">
      <formula>"Withdrawn"</formula>
    </cfRule>
  </conditionalFormatting>
  <conditionalFormatting sqref="S221">
    <cfRule type="cellIs" dxfId="374" priority="603" operator="equal">
      <formula>"Partially Approved"</formula>
    </cfRule>
  </conditionalFormatting>
  <conditionalFormatting sqref="AF262">
    <cfRule type="expression" dxfId="373" priority="602">
      <formula>Approved</formula>
    </cfRule>
  </conditionalFormatting>
  <conditionalFormatting sqref="AF261">
    <cfRule type="expression" dxfId="372" priority="601">
      <formula>Approved</formula>
    </cfRule>
  </conditionalFormatting>
  <conditionalFormatting sqref="AF271">
    <cfRule type="expression" dxfId="371" priority="600">
      <formula>Approved</formula>
    </cfRule>
  </conditionalFormatting>
  <conditionalFormatting sqref="AF269">
    <cfRule type="expression" dxfId="370" priority="599">
      <formula>Approved</formula>
    </cfRule>
  </conditionalFormatting>
  <conditionalFormatting sqref="S28">
    <cfRule type="cellIs" dxfId="369" priority="587" operator="equal">
      <formula>"Submitted Pending Approval"</formula>
    </cfRule>
    <cfRule type="cellIs" dxfId="368" priority="588" operator="equal">
      <formula>"No Action / Withdrawn"</formula>
    </cfRule>
    <cfRule type="cellIs" dxfId="367" priority="589" operator="equal">
      <formula>"Identified Not Submitted"</formula>
    </cfRule>
  </conditionalFormatting>
  <conditionalFormatting sqref="S28">
    <cfRule type="cellIs" dxfId="366" priority="585" operator="equal">
      <formula>"No Action / Withdrawn"</formula>
    </cfRule>
    <cfRule type="cellIs" dxfId="365" priority="586" operator="equal">
      <formula>"Withdrawn"</formula>
    </cfRule>
  </conditionalFormatting>
  <conditionalFormatting sqref="S28">
    <cfRule type="cellIs" dxfId="364" priority="590" operator="equal">
      <formula>"Submitted Pending Approval"</formula>
    </cfRule>
    <cfRule type="cellIs" dxfId="363" priority="591" operator="equal">
      <formula>"Approved"</formula>
    </cfRule>
  </conditionalFormatting>
  <conditionalFormatting sqref="S28">
    <cfRule type="cellIs" dxfId="362" priority="583" operator="equal">
      <formula>"Submitted Pending Approval"</formula>
    </cfRule>
    <cfRule type="cellIs" dxfId="361" priority="584" operator="equal">
      <formula>"Approved"</formula>
    </cfRule>
  </conditionalFormatting>
  <conditionalFormatting sqref="S28">
    <cfRule type="cellIs" dxfId="360" priority="580" operator="equal">
      <formula>"Submitted Pending Approval"</formula>
    </cfRule>
    <cfRule type="cellIs" dxfId="359" priority="581" operator="equal">
      <formula>"No Action / Withdrawn"</formula>
    </cfRule>
    <cfRule type="cellIs" dxfId="358" priority="582" operator="equal">
      <formula>"Identified Not Submitted"</formula>
    </cfRule>
  </conditionalFormatting>
  <conditionalFormatting sqref="S28">
    <cfRule type="cellIs" dxfId="357" priority="578" operator="equal">
      <formula>"No Action / Withdrawn"</formula>
    </cfRule>
    <cfRule type="cellIs" dxfId="356" priority="579" operator="equal">
      <formula>"Withdrawn"</formula>
    </cfRule>
  </conditionalFormatting>
  <conditionalFormatting sqref="S28">
    <cfRule type="cellIs" dxfId="355" priority="576" operator="equal">
      <formula>"Submitted Pending Approval"</formula>
    </cfRule>
    <cfRule type="cellIs" dxfId="354" priority="577" operator="equal">
      <formula>"Approved"</formula>
    </cfRule>
  </conditionalFormatting>
  <conditionalFormatting sqref="S28">
    <cfRule type="cellIs" dxfId="353" priority="573" operator="equal">
      <formula>"Submitted Pending Approval"</formula>
    </cfRule>
    <cfRule type="cellIs" dxfId="352" priority="574" operator="equal">
      <formula>"No Action / Withdrawn"</formula>
    </cfRule>
    <cfRule type="cellIs" dxfId="351" priority="575" operator="equal">
      <formula>"Identified Not Submitted"</formula>
    </cfRule>
  </conditionalFormatting>
  <conditionalFormatting sqref="S28">
    <cfRule type="cellIs" dxfId="350" priority="571" operator="equal">
      <formula>"No Action / Withdrawn"</formula>
    </cfRule>
    <cfRule type="cellIs" dxfId="349" priority="572" operator="equal">
      <formula>"Withdrawn"</formula>
    </cfRule>
  </conditionalFormatting>
  <conditionalFormatting sqref="AF175">
    <cfRule type="expression" dxfId="348" priority="570">
      <formula>Approved</formula>
    </cfRule>
  </conditionalFormatting>
  <conditionalFormatting sqref="AF265">
    <cfRule type="expression" dxfId="347" priority="569">
      <formula>Approved</formula>
    </cfRule>
  </conditionalFormatting>
  <conditionalFormatting sqref="AF150">
    <cfRule type="expression" dxfId="346" priority="568">
      <formula>Approved</formula>
    </cfRule>
  </conditionalFormatting>
  <conditionalFormatting sqref="S210">
    <cfRule type="cellIs" dxfId="345" priority="500" operator="equal">
      <formula>"Partially Approved"</formula>
    </cfRule>
  </conditionalFormatting>
  <conditionalFormatting sqref="S210">
    <cfRule type="cellIs" dxfId="344" priority="506" operator="equal">
      <formula>"Submitted Pending Approval"</formula>
    </cfRule>
    <cfRule type="cellIs" dxfId="343" priority="507" operator="equal">
      <formula>"Approved"</formula>
    </cfRule>
  </conditionalFormatting>
  <conditionalFormatting sqref="S210">
    <cfRule type="cellIs" dxfId="342" priority="503" operator="equal">
      <formula>"Submitted Pending Approval"</formula>
    </cfRule>
    <cfRule type="cellIs" dxfId="341" priority="504" operator="equal">
      <formula>"No Action / Withdrawn"</formula>
    </cfRule>
    <cfRule type="cellIs" dxfId="340" priority="505" operator="equal">
      <formula>"Identified Not Submitted"</formula>
    </cfRule>
  </conditionalFormatting>
  <conditionalFormatting sqref="S210">
    <cfRule type="cellIs" dxfId="339" priority="501" operator="equal">
      <formula>"No Action / Withdrawn"</formula>
    </cfRule>
    <cfRule type="cellIs" dxfId="338" priority="502" operator="equal">
      <formula>"Withdrawn"</formula>
    </cfRule>
  </conditionalFormatting>
  <conditionalFormatting sqref="S278">
    <cfRule type="cellIs" dxfId="337" priority="476" operator="equal">
      <formula>"Partially Approved"</formula>
    </cfRule>
  </conditionalFormatting>
  <conditionalFormatting sqref="S278">
    <cfRule type="cellIs" dxfId="336" priority="482" operator="equal">
      <formula>"Submitted Pending Approval"</formula>
    </cfRule>
    <cfRule type="cellIs" dxfId="335" priority="483" operator="equal">
      <formula>"Approved"</formula>
    </cfRule>
  </conditionalFormatting>
  <conditionalFormatting sqref="S278">
    <cfRule type="cellIs" dxfId="334" priority="479" operator="equal">
      <formula>"Submitted Pending Approval"</formula>
    </cfRule>
    <cfRule type="cellIs" dxfId="333" priority="480" operator="equal">
      <formula>"No Action / Withdrawn"</formula>
    </cfRule>
    <cfRule type="cellIs" dxfId="332" priority="481" operator="equal">
      <formula>"Identified Not Submitted"</formula>
    </cfRule>
  </conditionalFormatting>
  <conditionalFormatting sqref="S278">
    <cfRule type="cellIs" dxfId="331" priority="477" operator="equal">
      <formula>"No Action / Withdrawn"</formula>
    </cfRule>
    <cfRule type="cellIs" dxfId="330" priority="478" operator="equal">
      <formula>"Withdrawn"</formula>
    </cfRule>
  </conditionalFormatting>
  <conditionalFormatting sqref="S250">
    <cfRule type="cellIs" dxfId="329" priority="459" operator="equal">
      <formula>"Partially Approved"</formula>
    </cfRule>
  </conditionalFormatting>
  <conditionalFormatting sqref="S250">
    <cfRule type="cellIs" dxfId="328" priority="465" operator="equal">
      <formula>"Submitted Pending Approval"</formula>
    </cfRule>
    <cfRule type="cellIs" dxfId="327" priority="466" operator="equal">
      <formula>"Approved"</formula>
    </cfRule>
  </conditionalFormatting>
  <conditionalFormatting sqref="S250">
    <cfRule type="cellIs" dxfId="326" priority="462" operator="equal">
      <formula>"Submitted Pending Approval"</formula>
    </cfRule>
    <cfRule type="cellIs" dxfId="325" priority="463" operator="equal">
      <formula>"No Action / Withdrawn"</formula>
    </cfRule>
    <cfRule type="cellIs" dxfId="324" priority="464" operator="equal">
      <formula>"Identified Not Submitted"</formula>
    </cfRule>
  </conditionalFormatting>
  <conditionalFormatting sqref="S250">
    <cfRule type="cellIs" dxfId="323" priority="460" operator="equal">
      <formula>"No Action / Withdrawn"</formula>
    </cfRule>
    <cfRule type="cellIs" dxfId="322" priority="461" operator="equal">
      <formula>"Withdrawn"</formula>
    </cfRule>
  </conditionalFormatting>
  <conditionalFormatting sqref="S73">
    <cfRule type="cellIs" dxfId="321" priority="439" operator="equal">
      <formula>"Submitted Pending Approval"</formula>
    </cfRule>
    <cfRule type="cellIs" dxfId="320" priority="440" operator="equal">
      <formula>"Approved"</formula>
    </cfRule>
  </conditionalFormatting>
  <conditionalFormatting sqref="S73">
    <cfRule type="cellIs" dxfId="319" priority="436" operator="equal">
      <formula>"Submitted Pending Approval"</formula>
    </cfRule>
    <cfRule type="cellIs" dxfId="318" priority="437" operator="equal">
      <formula>"No Action / Withdrawn"</formula>
    </cfRule>
    <cfRule type="cellIs" dxfId="317" priority="438" operator="equal">
      <formula>"Identified Not Submitted"</formula>
    </cfRule>
  </conditionalFormatting>
  <conditionalFormatting sqref="S73">
    <cfRule type="cellIs" dxfId="316" priority="434" operator="equal">
      <formula>"No Action / Withdrawn"</formula>
    </cfRule>
    <cfRule type="cellIs" dxfId="315" priority="435" operator="equal">
      <formula>"Withdrawn"</formula>
    </cfRule>
  </conditionalFormatting>
  <conditionalFormatting sqref="S73">
    <cfRule type="cellIs" dxfId="314" priority="432" operator="equal">
      <formula>"Submitted Pending Approval"</formula>
    </cfRule>
    <cfRule type="cellIs" dxfId="313" priority="433" operator="equal">
      <formula>"Approved"</formula>
    </cfRule>
  </conditionalFormatting>
  <conditionalFormatting sqref="S73">
    <cfRule type="cellIs" dxfId="312" priority="429" operator="equal">
      <formula>"Submitted Pending Approval"</formula>
    </cfRule>
    <cfRule type="cellIs" dxfId="311" priority="430" operator="equal">
      <formula>"No Action / Withdrawn"</formula>
    </cfRule>
    <cfRule type="cellIs" dxfId="310" priority="431" operator="equal">
      <formula>"Identified Not Submitted"</formula>
    </cfRule>
  </conditionalFormatting>
  <conditionalFormatting sqref="S73">
    <cfRule type="cellIs" dxfId="309" priority="427" operator="equal">
      <formula>"No Action / Withdrawn"</formula>
    </cfRule>
    <cfRule type="cellIs" dxfId="308" priority="428" operator="equal">
      <formula>"Withdrawn"</formula>
    </cfRule>
  </conditionalFormatting>
  <conditionalFormatting sqref="S128">
    <cfRule type="cellIs" dxfId="307" priority="418" operator="equal">
      <formula>"Submitted Pending Approval"</formula>
    </cfRule>
    <cfRule type="cellIs" dxfId="306" priority="419" operator="equal">
      <formula>"Approved"</formula>
    </cfRule>
  </conditionalFormatting>
  <conditionalFormatting sqref="S128">
    <cfRule type="cellIs" dxfId="305" priority="415" operator="equal">
      <formula>"Submitted Pending Approval"</formula>
    </cfRule>
    <cfRule type="cellIs" dxfId="304" priority="416" operator="equal">
      <formula>"No Action / Withdrawn"</formula>
    </cfRule>
    <cfRule type="cellIs" dxfId="303" priority="417" operator="equal">
      <formula>"Identified Not Submitted"</formula>
    </cfRule>
  </conditionalFormatting>
  <conditionalFormatting sqref="S128">
    <cfRule type="cellIs" dxfId="302" priority="413" operator="equal">
      <formula>"No Action / Withdrawn"</formula>
    </cfRule>
    <cfRule type="cellIs" dxfId="301" priority="414" operator="equal">
      <formula>"Withdrawn"</formula>
    </cfRule>
  </conditionalFormatting>
  <conditionalFormatting sqref="S128">
    <cfRule type="cellIs" dxfId="300" priority="412" operator="equal">
      <formula>"Partially Approved"</formula>
    </cfRule>
  </conditionalFormatting>
  <conditionalFormatting sqref="AF128">
    <cfRule type="expression" dxfId="299" priority="411">
      <formula>Approved</formula>
    </cfRule>
  </conditionalFormatting>
  <conditionalFormatting sqref="AF127">
    <cfRule type="expression" dxfId="298" priority="410">
      <formula>Approved</formula>
    </cfRule>
  </conditionalFormatting>
  <conditionalFormatting sqref="S194">
    <cfRule type="cellIs" dxfId="297" priority="385" operator="equal">
      <formula>"Partially Approved"</formula>
    </cfRule>
  </conditionalFormatting>
  <conditionalFormatting sqref="S194">
    <cfRule type="cellIs" dxfId="296" priority="391" operator="equal">
      <formula>"Submitted Pending Approval"</formula>
    </cfRule>
    <cfRule type="cellIs" dxfId="295" priority="392" operator="equal">
      <formula>"Approved"</formula>
    </cfRule>
  </conditionalFormatting>
  <conditionalFormatting sqref="S194">
    <cfRule type="cellIs" dxfId="294" priority="388" operator="equal">
      <formula>"Submitted Pending Approval"</formula>
    </cfRule>
    <cfRule type="cellIs" dxfId="293" priority="389" operator="equal">
      <formula>"No Action / Withdrawn"</formula>
    </cfRule>
    <cfRule type="cellIs" dxfId="292" priority="390" operator="equal">
      <formula>"Identified Not Submitted"</formula>
    </cfRule>
  </conditionalFormatting>
  <conditionalFormatting sqref="S194">
    <cfRule type="cellIs" dxfId="291" priority="386" operator="equal">
      <formula>"No Action / Withdrawn"</formula>
    </cfRule>
    <cfRule type="cellIs" dxfId="290" priority="387" operator="equal">
      <formula>"Withdrawn"</formula>
    </cfRule>
  </conditionalFormatting>
  <conditionalFormatting sqref="AF194">
    <cfRule type="expression" dxfId="289" priority="393">
      <formula>Approved</formula>
    </cfRule>
  </conditionalFormatting>
  <conditionalFormatting sqref="S280">
    <cfRule type="cellIs" dxfId="288" priority="375" operator="equal">
      <formula>"Submitted Pending Approval"</formula>
    </cfRule>
    <cfRule type="cellIs" dxfId="287" priority="376" operator="equal">
      <formula>"Approved"</formula>
    </cfRule>
  </conditionalFormatting>
  <conditionalFormatting sqref="S280">
    <cfRule type="cellIs" dxfId="286" priority="372" operator="equal">
      <formula>"Submitted Pending Approval"</formula>
    </cfRule>
    <cfRule type="cellIs" dxfId="285" priority="373" operator="equal">
      <formula>"No Action / Withdrawn"</formula>
    </cfRule>
    <cfRule type="cellIs" dxfId="284" priority="374" operator="equal">
      <formula>"Identified Not Submitted"</formula>
    </cfRule>
  </conditionalFormatting>
  <conditionalFormatting sqref="S280">
    <cfRule type="cellIs" dxfId="283" priority="370" operator="equal">
      <formula>"No Action / Withdrawn"</formula>
    </cfRule>
    <cfRule type="cellIs" dxfId="282" priority="371" operator="equal">
      <formula>"Withdrawn"</formula>
    </cfRule>
  </conditionalFormatting>
  <conditionalFormatting sqref="S280">
    <cfRule type="cellIs" dxfId="281" priority="369" operator="equal">
      <formula>"Partially Approved"</formula>
    </cfRule>
  </conditionalFormatting>
  <conditionalFormatting sqref="S281">
    <cfRule type="cellIs" dxfId="280" priority="367" operator="equal">
      <formula>"Submitted Pending Approval"</formula>
    </cfRule>
    <cfRule type="cellIs" dxfId="279" priority="368" operator="equal">
      <formula>"Approved"</formula>
    </cfRule>
  </conditionalFormatting>
  <conditionalFormatting sqref="S281">
    <cfRule type="cellIs" dxfId="278" priority="364" operator="equal">
      <formula>"Submitted Pending Approval"</formula>
    </cfRule>
    <cfRule type="cellIs" dxfId="277" priority="365" operator="equal">
      <formula>"No Action / Withdrawn"</formula>
    </cfRule>
    <cfRule type="cellIs" dxfId="276" priority="366" operator="equal">
      <formula>"Identified Not Submitted"</formula>
    </cfRule>
  </conditionalFormatting>
  <conditionalFormatting sqref="S281">
    <cfRule type="cellIs" dxfId="275" priority="362" operator="equal">
      <formula>"No Action / Withdrawn"</formula>
    </cfRule>
    <cfRule type="cellIs" dxfId="274" priority="363" operator="equal">
      <formula>"Withdrawn"</formula>
    </cfRule>
  </conditionalFormatting>
  <conditionalFormatting sqref="S281">
    <cfRule type="cellIs" dxfId="273" priority="361" operator="equal">
      <formula>"Partially Approved"</formula>
    </cfRule>
  </conditionalFormatting>
  <conditionalFormatting sqref="S282">
    <cfRule type="cellIs" dxfId="272" priority="359" operator="equal">
      <formula>"Submitted Pending Approval"</formula>
    </cfRule>
    <cfRule type="cellIs" dxfId="271" priority="360" operator="equal">
      <formula>"Approved"</formula>
    </cfRule>
  </conditionalFormatting>
  <conditionalFormatting sqref="S282">
    <cfRule type="cellIs" dxfId="270" priority="356" operator="equal">
      <formula>"Submitted Pending Approval"</formula>
    </cfRule>
    <cfRule type="cellIs" dxfId="269" priority="357" operator="equal">
      <formula>"No Action / Withdrawn"</formula>
    </cfRule>
    <cfRule type="cellIs" dxfId="268" priority="358" operator="equal">
      <formula>"Identified Not Submitted"</formula>
    </cfRule>
  </conditionalFormatting>
  <conditionalFormatting sqref="S282">
    <cfRule type="cellIs" dxfId="267" priority="354" operator="equal">
      <formula>"No Action / Withdrawn"</formula>
    </cfRule>
    <cfRule type="cellIs" dxfId="266" priority="355" operator="equal">
      <formula>"Withdrawn"</formula>
    </cfRule>
  </conditionalFormatting>
  <conditionalFormatting sqref="S282">
    <cfRule type="cellIs" dxfId="265" priority="353" operator="equal">
      <formula>"Partially Approved"</formula>
    </cfRule>
  </conditionalFormatting>
  <conditionalFormatting sqref="S283:S285 S317:S319 S287:S315">
    <cfRule type="cellIs" dxfId="264" priority="351" operator="equal">
      <formula>"Submitted Pending Approval"</formula>
    </cfRule>
    <cfRule type="cellIs" dxfId="263" priority="352" operator="equal">
      <formula>"Approved"</formula>
    </cfRule>
  </conditionalFormatting>
  <conditionalFormatting sqref="S283:S285 S317:S319 S287:S315">
    <cfRule type="cellIs" dxfId="262" priority="348" operator="equal">
      <formula>"Submitted Pending Approval"</formula>
    </cfRule>
    <cfRule type="cellIs" dxfId="261" priority="349" operator="equal">
      <formula>"No Action / Withdrawn"</formula>
    </cfRule>
    <cfRule type="cellIs" dxfId="260" priority="350" operator="equal">
      <formula>"Identified Not Submitted"</formula>
    </cfRule>
  </conditionalFormatting>
  <conditionalFormatting sqref="S283:S285 S317:S319 S287:S315">
    <cfRule type="cellIs" dxfId="259" priority="346" operator="equal">
      <formula>"No Action / Withdrawn"</formula>
    </cfRule>
    <cfRule type="cellIs" dxfId="258" priority="347" operator="equal">
      <formula>"Withdrawn"</formula>
    </cfRule>
  </conditionalFormatting>
  <conditionalFormatting sqref="S283:S285 S317:S319 S287:S315">
    <cfRule type="cellIs" dxfId="257" priority="345" operator="equal">
      <formula>"Partially Approved"</formula>
    </cfRule>
  </conditionalFormatting>
  <conditionalFormatting sqref="AF280">
    <cfRule type="expression" dxfId="256" priority="344">
      <formula>Approved</formula>
    </cfRule>
  </conditionalFormatting>
  <conditionalFormatting sqref="AF284">
    <cfRule type="expression" dxfId="255" priority="343">
      <formula>Approved</formula>
    </cfRule>
  </conditionalFormatting>
  <conditionalFormatting sqref="AF285 AF317:AF319 AF314:AF315 AF311 AF287:AF309">
    <cfRule type="expression" dxfId="254" priority="342">
      <formula>Approved</formula>
    </cfRule>
  </conditionalFormatting>
  <conditionalFormatting sqref="S193">
    <cfRule type="cellIs" dxfId="253" priority="326" operator="equal">
      <formula>"Partially Approved"</formula>
    </cfRule>
  </conditionalFormatting>
  <conditionalFormatting sqref="S193">
    <cfRule type="cellIs" dxfId="252" priority="332" operator="equal">
      <formula>"Submitted Pending Approval"</formula>
    </cfRule>
    <cfRule type="cellIs" dxfId="251" priority="333" operator="equal">
      <formula>"Approved"</formula>
    </cfRule>
  </conditionalFormatting>
  <conditionalFormatting sqref="S193">
    <cfRule type="cellIs" dxfId="250" priority="329" operator="equal">
      <formula>"Submitted Pending Approval"</formula>
    </cfRule>
    <cfRule type="cellIs" dxfId="249" priority="330" operator="equal">
      <formula>"No Action / Withdrawn"</formula>
    </cfRule>
    <cfRule type="cellIs" dxfId="248" priority="331" operator="equal">
      <formula>"Identified Not Submitted"</formula>
    </cfRule>
  </conditionalFormatting>
  <conditionalFormatting sqref="S193">
    <cfRule type="cellIs" dxfId="247" priority="327" operator="equal">
      <formula>"No Action / Withdrawn"</formula>
    </cfRule>
    <cfRule type="cellIs" dxfId="246" priority="328" operator="equal">
      <formula>"Withdrawn"</formula>
    </cfRule>
  </conditionalFormatting>
  <conditionalFormatting sqref="S211">
    <cfRule type="cellIs" dxfId="245" priority="267" operator="equal">
      <formula>"Partially Approved"</formula>
    </cfRule>
  </conditionalFormatting>
  <conditionalFormatting sqref="S211">
    <cfRule type="cellIs" dxfId="244" priority="273" operator="equal">
      <formula>"Submitted Pending Approval"</formula>
    </cfRule>
    <cfRule type="cellIs" dxfId="243" priority="274" operator="equal">
      <formula>"Approved"</formula>
    </cfRule>
  </conditionalFormatting>
  <conditionalFormatting sqref="S211">
    <cfRule type="cellIs" dxfId="242" priority="270" operator="equal">
      <formula>"Submitted Pending Approval"</formula>
    </cfRule>
    <cfRule type="cellIs" dxfId="241" priority="271" operator="equal">
      <formula>"No Action / Withdrawn"</formula>
    </cfRule>
    <cfRule type="cellIs" dxfId="240" priority="272" operator="equal">
      <formula>"Identified Not Submitted"</formula>
    </cfRule>
  </conditionalFormatting>
  <conditionalFormatting sqref="S211">
    <cfRule type="cellIs" dxfId="239" priority="268" operator="equal">
      <formula>"No Action / Withdrawn"</formula>
    </cfRule>
    <cfRule type="cellIs" dxfId="238" priority="269" operator="equal">
      <formula>"Withdrawn"</formula>
    </cfRule>
  </conditionalFormatting>
  <conditionalFormatting sqref="AF283">
    <cfRule type="expression" dxfId="237" priority="258">
      <formula>Approved</formula>
    </cfRule>
  </conditionalFormatting>
  <conditionalFormatting sqref="S189">
    <cfRule type="cellIs" dxfId="236" priority="242" operator="equal">
      <formula>"Partially Approved"</formula>
    </cfRule>
  </conditionalFormatting>
  <conditionalFormatting sqref="S189">
    <cfRule type="cellIs" dxfId="235" priority="248" operator="equal">
      <formula>"Submitted Pending Approval"</formula>
    </cfRule>
    <cfRule type="cellIs" dxfId="234" priority="249" operator="equal">
      <formula>"Approved"</formula>
    </cfRule>
  </conditionalFormatting>
  <conditionalFormatting sqref="S189">
    <cfRule type="cellIs" dxfId="233" priority="245" operator="equal">
      <formula>"Submitted Pending Approval"</formula>
    </cfRule>
    <cfRule type="cellIs" dxfId="232" priority="246" operator="equal">
      <formula>"No Action / Withdrawn"</formula>
    </cfRule>
    <cfRule type="cellIs" dxfId="231" priority="247" operator="equal">
      <formula>"Identified Not Submitted"</formula>
    </cfRule>
  </conditionalFormatting>
  <conditionalFormatting sqref="S189">
    <cfRule type="cellIs" dxfId="230" priority="243" operator="equal">
      <formula>"No Action / Withdrawn"</formula>
    </cfRule>
    <cfRule type="cellIs" dxfId="229" priority="244" operator="equal">
      <formula>"Withdrawn"</formula>
    </cfRule>
  </conditionalFormatting>
  <conditionalFormatting sqref="S316">
    <cfRule type="cellIs" dxfId="228" priority="240" operator="equal">
      <formula>"Submitted Pending Approval"</formula>
    </cfRule>
    <cfRule type="cellIs" dxfId="227" priority="241" operator="equal">
      <formula>"Approved"</formula>
    </cfRule>
  </conditionalFormatting>
  <conditionalFormatting sqref="S316">
    <cfRule type="cellIs" dxfId="226" priority="237" operator="equal">
      <formula>"Submitted Pending Approval"</formula>
    </cfRule>
    <cfRule type="cellIs" dxfId="225" priority="238" operator="equal">
      <formula>"No Action / Withdrawn"</formula>
    </cfRule>
    <cfRule type="cellIs" dxfId="224" priority="239" operator="equal">
      <formula>"Identified Not Submitted"</formula>
    </cfRule>
  </conditionalFormatting>
  <conditionalFormatting sqref="S316">
    <cfRule type="cellIs" dxfId="223" priority="235" operator="equal">
      <formula>"No Action / Withdrawn"</formula>
    </cfRule>
    <cfRule type="cellIs" dxfId="222" priority="236" operator="equal">
      <formula>"Withdrawn"</formula>
    </cfRule>
  </conditionalFormatting>
  <conditionalFormatting sqref="S316">
    <cfRule type="cellIs" dxfId="221" priority="234" operator="equal">
      <formula>"Partially Approved"</formula>
    </cfRule>
  </conditionalFormatting>
  <conditionalFormatting sqref="AF316">
    <cfRule type="expression" dxfId="220" priority="233">
      <formula>Approved</formula>
    </cfRule>
  </conditionalFormatting>
  <conditionalFormatting sqref="S286">
    <cfRule type="cellIs" dxfId="219" priority="231" operator="equal">
      <formula>"Submitted Pending Approval"</formula>
    </cfRule>
    <cfRule type="cellIs" dxfId="218" priority="232" operator="equal">
      <formula>"Approved"</formula>
    </cfRule>
  </conditionalFormatting>
  <conditionalFormatting sqref="S286">
    <cfRule type="cellIs" dxfId="217" priority="228" operator="equal">
      <formula>"Submitted Pending Approval"</formula>
    </cfRule>
    <cfRule type="cellIs" dxfId="216" priority="229" operator="equal">
      <formula>"No Action / Withdrawn"</formula>
    </cfRule>
    <cfRule type="cellIs" dxfId="215" priority="230" operator="equal">
      <formula>"Identified Not Submitted"</formula>
    </cfRule>
  </conditionalFormatting>
  <conditionalFormatting sqref="S286">
    <cfRule type="cellIs" dxfId="214" priority="226" operator="equal">
      <formula>"No Action / Withdrawn"</formula>
    </cfRule>
    <cfRule type="cellIs" dxfId="213" priority="227" operator="equal">
      <formula>"Withdrawn"</formula>
    </cfRule>
  </conditionalFormatting>
  <conditionalFormatting sqref="S286">
    <cfRule type="cellIs" dxfId="212" priority="225" operator="equal">
      <formula>"Partially Approved"</formula>
    </cfRule>
  </conditionalFormatting>
  <conditionalFormatting sqref="AF286">
    <cfRule type="expression" dxfId="211" priority="224">
      <formula>Approved</formula>
    </cfRule>
  </conditionalFormatting>
  <conditionalFormatting sqref="AF165">
    <cfRule type="expression" dxfId="210" priority="223">
      <formula>Approved</formula>
    </cfRule>
  </conditionalFormatting>
  <conditionalFormatting sqref="S169">
    <cfRule type="cellIs" dxfId="209" priority="213" operator="equal">
      <formula>"Submitted Pending Approval"</formula>
    </cfRule>
    <cfRule type="cellIs" dxfId="208" priority="214" operator="equal">
      <formula>"Approved"</formula>
    </cfRule>
  </conditionalFormatting>
  <conditionalFormatting sqref="S169">
    <cfRule type="cellIs" dxfId="207" priority="210" operator="equal">
      <formula>"Submitted Pending Approval"</formula>
    </cfRule>
    <cfRule type="cellIs" dxfId="206" priority="211" operator="equal">
      <formula>"No Action / Withdrawn"</formula>
    </cfRule>
    <cfRule type="cellIs" dxfId="205" priority="212" operator="equal">
      <formula>"Identified Not Submitted"</formula>
    </cfRule>
  </conditionalFormatting>
  <conditionalFormatting sqref="S169">
    <cfRule type="cellIs" dxfId="204" priority="208" operator="equal">
      <formula>"No Action / Withdrawn"</formula>
    </cfRule>
    <cfRule type="cellIs" dxfId="203" priority="209" operator="equal">
      <formula>"Withdrawn"</formula>
    </cfRule>
  </conditionalFormatting>
  <conditionalFormatting sqref="S169">
    <cfRule type="cellIs" dxfId="202" priority="207" operator="equal">
      <formula>"Partially Approved"</formula>
    </cfRule>
  </conditionalFormatting>
  <conditionalFormatting sqref="S150">
    <cfRule type="cellIs" dxfId="201" priority="197" operator="equal">
      <formula>"Submitted Pending Approval"</formula>
    </cfRule>
    <cfRule type="cellIs" dxfId="200" priority="198" operator="equal">
      <formula>"Approved"</formula>
    </cfRule>
  </conditionalFormatting>
  <conditionalFormatting sqref="S150">
    <cfRule type="cellIs" dxfId="199" priority="194" operator="equal">
      <formula>"Submitted Pending Approval"</formula>
    </cfRule>
    <cfRule type="cellIs" dxfId="198" priority="195" operator="equal">
      <formula>"No Action / Withdrawn"</formula>
    </cfRule>
    <cfRule type="cellIs" dxfId="197" priority="196" operator="equal">
      <formula>"Identified Not Submitted"</formula>
    </cfRule>
  </conditionalFormatting>
  <conditionalFormatting sqref="S150">
    <cfRule type="cellIs" dxfId="196" priority="192" operator="equal">
      <formula>"No Action / Withdrawn"</formula>
    </cfRule>
    <cfRule type="cellIs" dxfId="195" priority="193" operator="equal">
      <formula>"Withdrawn"</formula>
    </cfRule>
  </conditionalFormatting>
  <conditionalFormatting sqref="S150">
    <cfRule type="cellIs" dxfId="194" priority="191" operator="equal">
      <formula>"Partially Approved"</formula>
    </cfRule>
  </conditionalFormatting>
  <conditionalFormatting sqref="S212">
    <cfRule type="cellIs" dxfId="193" priority="183" operator="equal">
      <formula>"Partially Approved"</formula>
    </cfRule>
  </conditionalFormatting>
  <conditionalFormatting sqref="S212">
    <cfRule type="cellIs" dxfId="192" priority="189" operator="equal">
      <formula>"Submitted Pending Approval"</formula>
    </cfRule>
    <cfRule type="cellIs" dxfId="191" priority="190" operator="equal">
      <formula>"Approved"</formula>
    </cfRule>
  </conditionalFormatting>
  <conditionalFormatting sqref="S212">
    <cfRule type="cellIs" dxfId="190" priority="186" operator="equal">
      <formula>"Submitted Pending Approval"</formula>
    </cfRule>
    <cfRule type="cellIs" dxfId="189" priority="187" operator="equal">
      <formula>"No Action / Withdrawn"</formula>
    </cfRule>
    <cfRule type="cellIs" dxfId="188" priority="188" operator="equal">
      <formula>"Identified Not Submitted"</formula>
    </cfRule>
  </conditionalFormatting>
  <conditionalFormatting sqref="S212">
    <cfRule type="cellIs" dxfId="187" priority="184" operator="equal">
      <formula>"No Action / Withdrawn"</formula>
    </cfRule>
    <cfRule type="cellIs" dxfId="186" priority="185" operator="equal">
      <formula>"Withdrawn"</formula>
    </cfRule>
  </conditionalFormatting>
  <conditionalFormatting sqref="S206">
    <cfRule type="cellIs" dxfId="185" priority="159" operator="equal">
      <formula>"Partially Approved"</formula>
    </cfRule>
  </conditionalFormatting>
  <conditionalFormatting sqref="S206">
    <cfRule type="cellIs" dxfId="184" priority="165" operator="equal">
      <formula>"Submitted Pending Approval"</formula>
    </cfRule>
    <cfRule type="cellIs" dxfId="183" priority="166" operator="equal">
      <formula>"Approved"</formula>
    </cfRule>
  </conditionalFormatting>
  <conditionalFormatting sqref="S206">
    <cfRule type="cellIs" dxfId="182" priority="162" operator="equal">
      <formula>"Submitted Pending Approval"</formula>
    </cfRule>
    <cfRule type="cellIs" dxfId="181" priority="163" operator="equal">
      <formula>"No Action / Withdrawn"</formula>
    </cfRule>
    <cfRule type="cellIs" dxfId="180" priority="164" operator="equal">
      <formula>"Identified Not Submitted"</formula>
    </cfRule>
  </conditionalFormatting>
  <conditionalFormatting sqref="S206">
    <cfRule type="cellIs" dxfId="179" priority="160" operator="equal">
      <formula>"No Action / Withdrawn"</formula>
    </cfRule>
    <cfRule type="cellIs" dxfId="178" priority="161" operator="equal">
      <formula>"Withdrawn"</formula>
    </cfRule>
  </conditionalFormatting>
  <conditionalFormatting sqref="S256">
    <cfRule type="cellIs" dxfId="177" priority="157" operator="equal">
      <formula>"Submitted Pending Approval"</formula>
    </cfRule>
    <cfRule type="cellIs" dxfId="176" priority="158" operator="equal">
      <formula>"Approved"</formula>
    </cfRule>
  </conditionalFormatting>
  <conditionalFormatting sqref="S256">
    <cfRule type="cellIs" dxfId="175" priority="154" operator="equal">
      <formula>"Submitted Pending Approval"</formula>
    </cfRule>
    <cfRule type="cellIs" dxfId="174" priority="155" operator="equal">
      <formula>"No Action / Withdrawn"</formula>
    </cfRule>
    <cfRule type="cellIs" dxfId="173" priority="156" operator="equal">
      <formula>"Identified Not Submitted"</formula>
    </cfRule>
  </conditionalFormatting>
  <conditionalFormatting sqref="S256">
    <cfRule type="cellIs" dxfId="172" priority="152" operator="equal">
      <formula>"No Action / Withdrawn"</formula>
    </cfRule>
    <cfRule type="cellIs" dxfId="171" priority="153" operator="equal">
      <formula>"Withdrawn"</formula>
    </cfRule>
  </conditionalFormatting>
  <conditionalFormatting sqref="S256">
    <cfRule type="cellIs" dxfId="170" priority="151" operator="equal">
      <formula>"Partially Approved"</formula>
    </cfRule>
  </conditionalFormatting>
  <conditionalFormatting sqref="AF256">
    <cfRule type="expression" dxfId="169" priority="150">
      <formula>Approved</formula>
    </cfRule>
  </conditionalFormatting>
  <conditionalFormatting sqref="S19">
    <cfRule type="cellIs" dxfId="168" priority="138" operator="equal">
      <formula>"Submitted Pending Approval"</formula>
    </cfRule>
    <cfRule type="cellIs" dxfId="167" priority="139" operator="equal">
      <formula>"No Action / Withdrawn"</formula>
    </cfRule>
    <cfRule type="cellIs" dxfId="166" priority="140" operator="equal">
      <formula>"Identified Not Submitted"</formula>
    </cfRule>
  </conditionalFormatting>
  <conditionalFormatting sqref="S19">
    <cfRule type="cellIs" dxfId="165" priority="136" operator="equal">
      <formula>"No Action / Withdrawn"</formula>
    </cfRule>
    <cfRule type="cellIs" dxfId="164" priority="137" operator="equal">
      <formula>"Withdrawn"</formula>
    </cfRule>
  </conditionalFormatting>
  <conditionalFormatting sqref="S19">
    <cfRule type="cellIs" dxfId="163" priority="141" operator="equal">
      <formula>"Submitted Pending Approval"</formula>
    </cfRule>
    <cfRule type="cellIs" dxfId="162" priority="142" operator="equal">
      <formula>"Approved"</formula>
    </cfRule>
  </conditionalFormatting>
  <conditionalFormatting sqref="S19">
    <cfRule type="cellIs" dxfId="161" priority="135" operator="equal">
      <formula>"Partially Approved"</formula>
    </cfRule>
  </conditionalFormatting>
  <conditionalFormatting sqref="AF19">
    <cfRule type="expression" dxfId="160" priority="134">
      <formula>Approved</formula>
    </cfRule>
  </conditionalFormatting>
  <conditionalFormatting sqref="S19">
    <cfRule type="cellIs" dxfId="159" priority="132" operator="equal">
      <formula>"Submitted Pending Approval"</formula>
    </cfRule>
    <cfRule type="cellIs" dxfId="158" priority="133" operator="equal">
      <formula>"Approved"</formula>
    </cfRule>
  </conditionalFormatting>
  <conditionalFormatting sqref="S19">
    <cfRule type="cellIs" dxfId="157" priority="129" operator="equal">
      <formula>"Submitted Pending Approval"</formula>
    </cfRule>
    <cfRule type="cellIs" dxfId="156" priority="130" operator="equal">
      <formula>"No Action / Withdrawn"</formula>
    </cfRule>
    <cfRule type="cellIs" dxfId="155" priority="131" operator="equal">
      <formula>"Identified Not Submitted"</formula>
    </cfRule>
  </conditionalFormatting>
  <conditionalFormatting sqref="S19">
    <cfRule type="cellIs" dxfId="154" priority="127" operator="equal">
      <formula>"No Action / Withdrawn"</formula>
    </cfRule>
    <cfRule type="cellIs" dxfId="153" priority="128" operator="equal">
      <formula>"Withdrawn"</formula>
    </cfRule>
  </conditionalFormatting>
  <conditionalFormatting sqref="S279">
    <cfRule type="cellIs" dxfId="152" priority="125" operator="equal">
      <formula>"Submitted Pending Approval"</formula>
    </cfRule>
    <cfRule type="cellIs" dxfId="151" priority="126" operator="equal">
      <formula>"Approved"</formula>
    </cfRule>
  </conditionalFormatting>
  <conditionalFormatting sqref="S279">
    <cfRule type="cellIs" dxfId="150" priority="122" operator="equal">
      <formula>"Submitted Pending Approval"</formula>
    </cfRule>
    <cfRule type="cellIs" dxfId="149" priority="123" operator="equal">
      <formula>"No Action / Withdrawn"</formula>
    </cfRule>
    <cfRule type="cellIs" dxfId="148" priority="124" operator="equal">
      <formula>"Identified Not Submitted"</formula>
    </cfRule>
  </conditionalFormatting>
  <conditionalFormatting sqref="S279">
    <cfRule type="cellIs" dxfId="147" priority="120" operator="equal">
      <formula>"No Action / Withdrawn"</formula>
    </cfRule>
    <cfRule type="cellIs" dxfId="146" priority="121" operator="equal">
      <formula>"Withdrawn"</formula>
    </cfRule>
  </conditionalFormatting>
  <conditionalFormatting sqref="S279">
    <cfRule type="cellIs" dxfId="145" priority="119" operator="equal">
      <formula>"Partially Approved"</formula>
    </cfRule>
  </conditionalFormatting>
  <conditionalFormatting sqref="AF312">
    <cfRule type="expression" dxfId="144" priority="101">
      <formula>Approved</formula>
    </cfRule>
  </conditionalFormatting>
  <conditionalFormatting sqref="AF310">
    <cfRule type="expression" dxfId="143" priority="100">
      <formula>Approved</formula>
    </cfRule>
  </conditionalFormatting>
  <conditionalFormatting sqref="AF313">
    <cfRule type="expression" dxfId="142" priority="99">
      <formula>Approved</formula>
    </cfRule>
  </conditionalFormatting>
  <conditionalFormatting sqref="AF201">
    <cfRule type="expression" dxfId="141" priority="98">
      <formula>Approved</formula>
    </cfRule>
  </conditionalFormatting>
  <conditionalFormatting sqref="S201">
    <cfRule type="cellIs" dxfId="140" priority="73" operator="equal">
      <formula>"Submitted Pending Approval"</formula>
    </cfRule>
    <cfRule type="cellIs" dxfId="139" priority="74" operator="equal">
      <formula>"Approved"</formula>
    </cfRule>
  </conditionalFormatting>
  <conditionalFormatting sqref="S201">
    <cfRule type="cellIs" dxfId="138" priority="70" operator="equal">
      <formula>"Submitted Pending Approval"</formula>
    </cfRule>
    <cfRule type="cellIs" dxfId="137" priority="71" operator="equal">
      <formula>"No Action / Withdrawn"</formula>
    </cfRule>
    <cfRule type="cellIs" dxfId="136" priority="72" operator="equal">
      <formula>"Identified Not Submitted"</formula>
    </cfRule>
  </conditionalFormatting>
  <conditionalFormatting sqref="S201">
    <cfRule type="cellIs" dxfId="135" priority="68" operator="equal">
      <formula>"No Action / Withdrawn"</formula>
    </cfRule>
    <cfRule type="cellIs" dxfId="134" priority="69" operator="equal">
      <formula>"Withdrawn"</formula>
    </cfRule>
  </conditionalFormatting>
  <conditionalFormatting sqref="S201">
    <cfRule type="cellIs" dxfId="133" priority="66" operator="equal">
      <formula>"Submitted Pending Approval"</formula>
    </cfRule>
    <cfRule type="cellIs" dxfId="132" priority="67" operator="equal">
      <formula>"Approved"</formula>
    </cfRule>
  </conditionalFormatting>
  <conditionalFormatting sqref="S201">
    <cfRule type="cellIs" dxfId="131" priority="63" operator="equal">
      <formula>"Submitted Pending Approval"</formula>
    </cfRule>
    <cfRule type="cellIs" dxfId="130" priority="64" operator="equal">
      <formula>"No Action / Withdrawn"</formula>
    </cfRule>
    <cfRule type="cellIs" dxfId="129" priority="65" operator="equal">
      <formula>"Identified Not Submitted"</formula>
    </cfRule>
  </conditionalFormatting>
  <conditionalFormatting sqref="S201">
    <cfRule type="cellIs" dxfId="128" priority="61" operator="equal">
      <formula>"No Action / Withdrawn"</formula>
    </cfRule>
    <cfRule type="cellIs" dxfId="127" priority="62" operator="equal">
      <formula>"Withdrawn"</formula>
    </cfRule>
  </conditionalFormatting>
  <conditionalFormatting sqref="S201">
    <cfRule type="cellIs" dxfId="126" priority="60" operator="equal">
      <formula>"Partially Approved"</formula>
    </cfRule>
  </conditionalFormatting>
  <conditionalFormatting sqref="S174">
    <cfRule type="cellIs" dxfId="125" priority="36" operator="equal">
      <formula>"Partially Approved"</formula>
    </cfRule>
  </conditionalFormatting>
  <conditionalFormatting sqref="S174">
    <cfRule type="cellIs" dxfId="124" priority="42" operator="equal">
      <formula>"Submitted Pending Approval"</formula>
    </cfRule>
    <cfRule type="cellIs" dxfId="123" priority="43" operator="equal">
      <formula>"Approved"</formula>
    </cfRule>
  </conditionalFormatting>
  <conditionalFormatting sqref="S174">
    <cfRule type="cellIs" dxfId="122" priority="39" operator="equal">
      <formula>"Submitted Pending Approval"</formula>
    </cfRule>
    <cfRule type="cellIs" dxfId="121" priority="40" operator="equal">
      <formula>"No Action / Withdrawn"</formula>
    </cfRule>
    <cfRule type="cellIs" dxfId="120" priority="41" operator="equal">
      <formula>"Identified Not Submitted"</formula>
    </cfRule>
  </conditionalFormatting>
  <conditionalFormatting sqref="S174">
    <cfRule type="cellIs" dxfId="119" priority="37" operator="equal">
      <formula>"No Action / Withdrawn"</formula>
    </cfRule>
    <cfRule type="cellIs" dxfId="118" priority="38" operator="equal">
      <formula>"Withdrawn"</formula>
    </cfRule>
  </conditionalFormatting>
  <conditionalFormatting sqref="G11">
    <cfRule type="timePeriod" dxfId="117" priority="9" timePeriod="lastWeek">
      <formula>AND(TODAY()-ROUNDDOWN(G11,0)&gt;=(WEEKDAY(TODAY())),TODAY()-ROUNDDOWN(G11,0)&lt;(WEEKDAY(TODAY())+7))</formula>
    </cfRule>
    <cfRule type="timePeriod" dxfId="116" priority="10" timePeriod="thisWeek">
      <formula>AND(TODAY()-ROUNDDOWN(G11,0)&lt;=WEEKDAY(TODAY())-1,ROUNDDOWN(G11,0)-TODAY()&lt;=7-WEEKDAY(TODAY()))</formula>
    </cfRule>
    <cfRule type="timePeriod" dxfId="115" priority="11" timePeriod="nextWeek">
      <formula>AND(ROUNDDOWN(G11,0)-TODAY()&gt;(7-WEEKDAY(TODAY())),ROUNDDOWN(G11,0)-TODAY()&lt;(15-WEEKDAY(TODAY())))</formula>
    </cfRule>
    <cfRule type="timePeriod" dxfId="114" priority="12" timePeriod="nextWeek">
      <formula>AND(ROUNDDOWN(G11,0)-TODAY()&gt;(7-WEEKDAY(TODAY())),ROUNDDOWN(G11,0)-TODAY()&lt;(15-WEEKDAY(TODAY())))</formula>
    </cfRule>
    <cfRule type="timePeriod" dxfId="113" priority="13" timePeriod="yesterday">
      <formula>FLOOR(G11,1)=TODAY()-1</formula>
    </cfRule>
    <cfRule type="timePeriod" dxfId="112" priority="14" timePeriod="yesterday">
      <formula>FLOOR(G11,1)=TODAY()-1</formula>
    </cfRule>
    <cfRule type="timePeriod" dxfId="111" priority="15" timePeriod="today">
      <formula>FLOOR(G11,1)=TODAY()</formula>
    </cfRule>
    <cfRule type="timePeriod" dxfId="110" priority="16" timePeriod="tomorrow">
      <formula>FLOOR(G11,1)=TODAY()+1</formula>
    </cfRule>
  </conditionalFormatting>
  <conditionalFormatting sqref="I11">
    <cfRule type="timePeriod" dxfId="109" priority="1" timePeriod="lastWeek">
      <formula>AND(TODAY()-ROUNDDOWN(I11,0)&gt;=(WEEKDAY(TODAY())),TODAY()-ROUNDDOWN(I11,0)&lt;(WEEKDAY(TODAY())+7))</formula>
    </cfRule>
    <cfRule type="timePeriod" dxfId="108" priority="2" timePeriod="thisWeek">
      <formula>AND(TODAY()-ROUNDDOWN(I11,0)&lt;=WEEKDAY(TODAY())-1,ROUNDDOWN(I11,0)-TODAY()&lt;=7-WEEKDAY(TODAY()))</formula>
    </cfRule>
    <cfRule type="timePeriod" dxfId="107" priority="3" timePeriod="nextWeek">
      <formula>AND(ROUNDDOWN(I11,0)-TODAY()&gt;(7-WEEKDAY(TODAY())),ROUNDDOWN(I11,0)-TODAY()&lt;(15-WEEKDAY(TODAY())))</formula>
    </cfRule>
    <cfRule type="timePeriod" dxfId="106" priority="4" timePeriod="nextWeek">
      <formula>AND(ROUNDDOWN(I11,0)-TODAY()&gt;(7-WEEKDAY(TODAY())),ROUNDDOWN(I11,0)-TODAY()&lt;(15-WEEKDAY(TODAY())))</formula>
    </cfRule>
    <cfRule type="timePeriod" dxfId="105" priority="5" timePeriod="yesterday">
      <formula>FLOOR(I11,1)=TODAY()-1</formula>
    </cfRule>
    <cfRule type="timePeriod" dxfId="104" priority="6" timePeriod="yesterday">
      <formula>FLOOR(I11,1)=TODAY()-1</formula>
    </cfRule>
    <cfRule type="timePeriod" dxfId="103" priority="7" timePeriod="today">
      <formula>FLOOR(I11,1)=TODAY()</formula>
    </cfRule>
    <cfRule type="timePeriod" dxfId="102" priority="8" timePeriod="tomorrow">
      <formula>FLOOR(I11,1)=TODAY()+1</formula>
    </cfRule>
  </conditionalFormatting>
  <dataValidations count="2">
    <dataValidation type="list" allowBlank="1" showInputMessage="1" showErrorMessage="1" sqref="S16 S21 S164 S161 S179:S185 S155:S156 S217:S218 S176 S215 S220:S221 S223:S225 S229:S251 S198:S199 S189 S192:S195 S202:S213 S173:S174 S254:S320" xr:uid="{00000000-0002-0000-0200-000000000000}">
      <formula1>VO_Status</formula1>
    </dataValidation>
    <dataValidation type="list" allowBlank="1" showInputMessage="1" showErrorMessage="1" sqref="T355:T357 T10:T352" xr:uid="{00000000-0002-0000-0200-000001000000}">
      <formula1>Variation_Type1</formula1>
    </dataValidation>
  </dataValidations>
  <pageMargins left="0.70866141732283472" right="0.70866141732283472" top="0.23622047244094491" bottom="0.51181102362204722" header="0.19685039370078741" footer="0.31496062992125984"/>
  <pageSetup paperSize="8" scale="16" fitToHeight="0" orientation="landscape" copies="2" r:id="rId1"/>
  <headerFooter>
    <oddFooter>&amp;L&amp;8&amp;Z&amp;F&amp;CPage &amp;P / &amp;N&amp;R&amp;D</oddFooter>
  </headerFooter>
  <drawing r:id="rId2"/>
  <legacyDrawing r:id="rId3"/>
  <controls>
    <mc:AlternateContent xmlns:mc="http://schemas.openxmlformats.org/markup-compatibility/2006">
      <mc:Choice Requires="x14">
        <control shapeId="2073" r:id="rId4" name="CommandButton2">
          <controlPr defaultSize="0" autoLine="0" r:id="rId5">
            <anchor moveWithCells="1">
              <from>
                <xdr:col>18</xdr:col>
                <xdr:colOff>0</xdr:colOff>
                <xdr:row>3</xdr:row>
                <xdr:rowOff>95250</xdr:rowOff>
              </from>
              <to>
                <xdr:col>19</xdr:col>
                <xdr:colOff>838200</xdr:colOff>
                <xdr:row>4</xdr:row>
                <xdr:rowOff>247650</xdr:rowOff>
              </to>
            </anchor>
          </controlPr>
        </control>
      </mc:Choice>
      <mc:Fallback>
        <control shapeId="2073" r:id="rId4" name="CommandButton2"/>
      </mc:Fallback>
    </mc:AlternateContent>
    <mc:AlternateContent xmlns:mc="http://schemas.openxmlformats.org/markup-compatibility/2006">
      <mc:Choice Requires="x14">
        <control shapeId="2072" r:id="rId6" name="CommandButton1">
          <controlPr defaultSize="0" autoLine="0" r:id="rId7">
            <anchor moveWithCells="1">
              <from>
                <xdr:col>18</xdr:col>
                <xdr:colOff>0</xdr:colOff>
                <xdr:row>3</xdr:row>
                <xdr:rowOff>95250</xdr:rowOff>
              </from>
              <to>
                <xdr:col>19</xdr:col>
                <xdr:colOff>800100</xdr:colOff>
                <xdr:row>4</xdr:row>
                <xdr:rowOff>247650</xdr:rowOff>
              </to>
            </anchor>
          </controlPr>
        </control>
      </mc:Choice>
      <mc:Fallback>
        <control shapeId="2072" r:id="rId6" name="CommandButto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2000000}">
          <x14:formula1>
            <xm:f>'K:\Commercial\CM01 Draft Documentation\1.0 Head Contract Notices\01 HCV &amp; EOT Register\[W01022_MAC_Combined Variation &amp; EOT Register-1.xlsx]Drop Downs'!#REF!</xm:f>
          </x14:formula1>
          <xm:sqref>S178 S170</xm:sqref>
        </x14:dataValidation>
        <x14:dataValidation type="list" allowBlank="1" showInputMessage="1" showErrorMessage="1" xr:uid="{00000000-0002-0000-0200-000003000000}">
          <x14:formula1>
            <xm:f>'K:\Commercial\CM01 Draft Documentation\1.0 Head Contract Notices\01 HCV &amp; EOT Register\[W01022_MAC_Combined Variation &amp; EOT Register-(Aug-19) 1.xlsx]Drop Downs'!#REF!</xm:f>
          </x14:formula1>
          <xm:sqref>S148</xm:sqref>
        </x14:dataValidation>
        <x14:dataValidation type="list" allowBlank="1" showInputMessage="1" showErrorMessage="1" xr:uid="{00000000-0002-0000-0200-000004000000}">
          <x14:formula1>
            <xm:f>'Drop Downs'!A$2:A$15</xm:f>
          </x14:formula1>
          <xm:sqref>S335:S340 S200:S201 S120 S105 S126 S124 S74 S112:S113 S93 S107 S99:S102 S58 S49 S136 S69:S70 S54 S47 S83 S89:S91 S115:S117 S24:S25 S34 S128 S196 S151 S157:S158 S131 S138:S141 S146:S147 S191 S10 S333</xm:sqref>
        </x14:dataValidation>
        <x14:dataValidation type="list" allowBlank="1" showInputMessage="1" showErrorMessage="1" xr:uid="{00000000-0002-0000-0200-000005000000}">
          <x14:formula1>
            <xm:f>'Drop Downs'!A$2:A$13</xm:f>
          </x14:formula1>
          <xm:sqref>S331:S332 S190 S186:S188 S73 S125 S121:S123 S118:S119 S114 S108:S111 S92 S103:S104 S94:S98 S75:S82 S71 S62:S65 S59:S60 S56:S57 S52:S53 S50 S48 S85:S88 S106 S35:S46 S22:S23 S9 S26:S33 S127 S129:S130 S197 S165:S169 S159:S160 S162:S163 S149:S150 S142:S145 S132:S135 S137 S152:S154 S175 S171:S172 S177 S11:S15 S17:S20 S327:S328 S321:S322 S222 S214 S252:S253 S219 S216 S226:S228</xm:sqref>
        </x14:dataValidation>
        <x14:dataValidation type="list" allowBlank="1" showInputMessage="1" showErrorMessage="1" xr:uid="{00000000-0002-0000-0200-000006000000}">
          <x14:formula1>
            <xm:f>'Drop Downs'!A$2:A$14</xm:f>
          </x14:formula1>
          <xm:sqref>S66:S68 S84 S51 S55 S61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FF00"/>
  </sheetPr>
  <dimension ref="A1:L12"/>
  <sheetViews>
    <sheetView zoomScale="70" zoomScaleNormal="70" workbookViewId="0">
      <pane xSplit="3" ySplit="6" topLeftCell="D7" activePane="bottomRight" state="frozen"/>
      <selection pane="topRight" activeCell="D1" sqref="D1"/>
      <selection pane="bottomLeft" activeCell="A7" sqref="A7"/>
      <selection pane="bottomRight" activeCell="C23" sqref="C23"/>
    </sheetView>
  </sheetViews>
  <sheetFormatPr defaultColWidth="8.85546875" defaultRowHeight="14.25" x14ac:dyDescent="0.2"/>
  <cols>
    <col min="1" max="1" width="12.85546875" style="17" customWidth="1"/>
    <col min="2" max="2" width="40.5703125" style="17" customWidth="1"/>
    <col min="3" max="3" width="32.28515625" style="17" customWidth="1"/>
    <col min="4" max="4" width="15.42578125" style="17" customWidth="1"/>
    <col min="5" max="5" width="14.85546875" style="17" customWidth="1"/>
    <col min="6" max="6" width="14.5703125" style="17" customWidth="1"/>
    <col min="7" max="7" width="18.28515625" style="17" customWidth="1"/>
    <col min="8" max="8" width="14.5703125" style="17" customWidth="1"/>
    <col min="9" max="9" width="19" style="17" customWidth="1"/>
    <col min="10" max="10" width="37.28515625" style="17" customWidth="1"/>
    <col min="11" max="11" width="18.28515625" style="17" customWidth="1"/>
    <col min="12" max="12" width="18.7109375" style="17" customWidth="1"/>
    <col min="13" max="16384" width="8.85546875" style="17"/>
  </cols>
  <sheetData>
    <row r="1" spans="1:12" ht="26.25" x14ac:dyDescent="0.4">
      <c r="B1" s="3" t="s">
        <v>16</v>
      </c>
      <c r="C1" s="4"/>
    </row>
    <row r="2" spans="1:12" ht="18" x14ac:dyDescent="0.25">
      <c r="B2" s="6" t="str">
        <f>Delay!C2</f>
        <v>W01022 South Flank MAC</v>
      </c>
      <c r="C2" s="11"/>
    </row>
    <row r="3" spans="1:12" ht="15.75" x14ac:dyDescent="0.25">
      <c r="B3" s="7">
        <f ca="1">TODAY()</f>
        <v>45194</v>
      </c>
      <c r="C3" s="22"/>
    </row>
    <row r="5" spans="1:12" ht="15" x14ac:dyDescent="0.2">
      <c r="A5" s="715" t="s">
        <v>18</v>
      </c>
      <c r="B5" s="715"/>
      <c r="C5" s="715"/>
      <c r="D5" s="715"/>
      <c r="E5" s="716" t="s">
        <v>19</v>
      </c>
      <c r="F5" s="716"/>
      <c r="G5" s="716"/>
      <c r="H5" s="716"/>
      <c r="I5" s="716"/>
      <c r="J5" s="716"/>
      <c r="K5" s="717" t="s">
        <v>14</v>
      </c>
      <c r="L5" s="717"/>
    </row>
    <row r="6" spans="1:12" ht="38.25" x14ac:dyDescent="0.2">
      <c r="A6" s="12" t="s">
        <v>17</v>
      </c>
      <c r="B6" s="12" t="s">
        <v>0</v>
      </c>
      <c r="C6" s="12" t="s">
        <v>1</v>
      </c>
      <c r="D6" s="12" t="s">
        <v>21</v>
      </c>
      <c r="E6" s="13" t="s">
        <v>29</v>
      </c>
      <c r="F6" s="18" t="s">
        <v>30</v>
      </c>
      <c r="G6" s="18" t="s">
        <v>51</v>
      </c>
      <c r="H6" s="18" t="s">
        <v>34</v>
      </c>
      <c r="I6" s="18" t="s">
        <v>9</v>
      </c>
      <c r="J6" s="18" t="s">
        <v>20</v>
      </c>
      <c r="K6" s="14" t="s">
        <v>52</v>
      </c>
      <c r="L6" s="14" t="s">
        <v>35</v>
      </c>
    </row>
    <row r="7" spans="1:12" x14ac:dyDescent="0.2">
      <c r="A7" s="8"/>
      <c r="B7" s="9"/>
      <c r="C7" s="9"/>
      <c r="D7" s="10"/>
      <c r="E7" s="10"/>
      <c r="F7" s="10"/>
      <c r="G7" s="19"/>
      <c r="H7" s="15"/>
      <c r="I7" s="10"/>
      <c r="J7" s="10"/>
      <c r="K7" s="16"/>
      <c r="L7" s="16"/>
    </row>
    <row r="8" spans="1:12" x14ac:dyDescent="0.2">
      <c r="A8" s="21"/>
      <c r="B8" s="20"/>
      <c r="C8" s="20"/>
      <c r="D8" s="10"/>
      <c r="E8" s="19"/>
      <c r="F8" s="19"/>
      <c r="G8" s="19"/>
      <c r="H8" s="15"/>
      <c r="I8" s="21"/>
      <c r="J8" s="23"/>
      <c r="K8" s="24"/>
      <c r="L8" s="24"/>
    </row>
    <row r="9" spans="1:12" ht="15" thickBot="1" x14ac:dyDescent="0.25">
      <c r="A9" s="21"/>
      <c r="B9" s="20"/>
      <c r="C9" s="20"/>
      <c r="D9" s="10"/>
      <c r="E9" s="19"/>
      <c r="F9" s="19"/>
      <c r="G9" s="19"/>
      <c r="H9" s="15"/>
      <c r="I9" s="21"/>
      <c r="J9" s="23"/>
      <c r="K9" s="24"/>
      <c r="L9" s="24"/>
    </row>
    <row r="10" spans="1:12" s="5" customFormat="1" ht="13.9" customHeight="1" thickBot="1" x14ac:dyDescent="0.3">
      <c r="A10" s="718" t="s">
        <v>33</v>
      </c>
      <c r="B10" s="719"/>
      <c r="C10" s="719"/>
      <c r="D10" s="719"/>
      <c r="E10" s="719"/>
      <c r="F10" s="719"/>
      <c r="G10" s="719"/>
      <c r="H10" s="719"/>
      <c r="I10" s="719"/>
      <c r="J10" s="719"/>
      <c r="K10" s="719"/>
      <c r="L10" s="719"/>
    </row>
    <row r="11" spans="1:12" ht="19.5" customHeight="1" x14ac:dyDescent="0.2"/>
    <row r="12" spans="1:12" ht="19.5" customHeight="1" x14ac:dyDescent="0.2"/>
  </sheetData>
  <mergeCells count="4">
    <mergeCell ref="A5:D5"/>
    <mergeCell ref="E5:J5"/>
    <mergeCell ref="K5:L5"/>
    <mergeCell ref="A10:L10"/>
  </mergeCells>
  <dataValidations count="1">
    <dataValidation type="list" allowBlank="1" showInputMessage="1" showErrorMessage="1" sqref="I7:I9" xr:uid="{00000000-0002-0000-0400-000000000000}">
      <formula1>Status</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C000"/>
  </sheetPr>
  <dimension ref="A1:P244"/>
  <sheetViews>
    <sheetView view="pageBreakPreview" zoomScale="85" zoomScaleNormal="100" zoomScaleSheetLayoutView="85" workbookViewId="0">
      <pane ySplit="5" topLeftCell="A171" activePane="bottomLeft" state="frozen"/>
      <selection activeCell="B28" sqref="B28"/>
      <selection pane="bottomLeft" activeCell="H160" sqref="H160"/>
    </sheetView>
  </sheetViews>
  <sheetFormatPr defaultColWidth="9.140625" defaultRowHeight="15" outlineLevelRow="1" outlineLevelCol="1" x14ac:dyDescent="0.25"/>
  <cols>
    <col min="1" max="1" width="9.140625" style="337" customWidth="1" outlineLevel="1"/>
    <col min="2" max="2" width="21.28515625" style="337" customWidth="1"/>
    <col min="3" max="4" width="14.140625" style="337" customWidth="1"/>
    <col min="5" max="6" width="14.7109375" style="354" customWidth="1"/>
    <col min="7" max="7" width="13.42578125" style="354" customWidth="1"/>
    <col min="8" max="8" width="30.140625" style="337" customWidth="1"/>
    <col min="9" max="9" width="59.85546875" style="337" customWidth="1" outlineLevel="1"/>
    <col min="10" max="10" width="18.28515625" style="354" customWidth="1"/>
    <col min="11" max="11" width="15.140625" style="355" customWidth="1"/>
    <col min="12" max="12" width="58.28515625" style="356" customWidth="1"/>
    <col min="13" max="15" width="9.140625" style="337"/>
    <col min="16" max="16" width="29.5703125" style="337" bestFit="1" customWidth="1"/>
    <col min="17" max="16384" width="9.140625" style="337"/>
  </cols>
  <sheetData>
    <row r="1" spans="1:16" s="330" customFormat="1" ht="18" x14ac:dyDescent="0.25">
      <c r="B1" s="331" t="s">
        <v>499</v>
      </c>
      <c r="C1" s="331"/>
      <c r="D1" s="331"/>
      <c r="E1" s="332"/>
      <c r="F1" s="332"/>
      <c r="G1" s="332"/>
      <c r="H1" s="333"/>
      <c r="I1" s="333"/>
      <c r="J1" s="334"/>
      <c r="K1" s="335"/>
      <c r="L1" s="336"/>
    </row>
    <row r="2" spans="1:16" s="330" customFormat="1" ht="18" x14ac:dyDescent="0.25">
      <c r="B2" s="331"/>
      <c r="C2" s="331"/>
      <c r="D2" s="331"/>
      <c r="E2" s="332"/>
      <c r="F2" s="332"/>
      <c r="G2" s="332"/>
      <c r="H2" s="333"/>
      <c r="I2" s="333"/>
      <c r="J2" s="334"/>
      <c r="K2" s="335"/>
      <c r="L2" s="336"/>
    </row>
    <row r="3" spans="1:16" s="330" customFormat="1" ht="18" x14ac:dyDescent="0.25">
      <c r="B3" s="331"/>
      <c r="C3" s="331"/>
      <c r="D3" s="331"/>
      <c r="E3" s="332"/>
      <c r="F3" s="332"/>
      <c r="G3" s="332"/>
      <c r="H3" s="333"/>
      <c r="I3" s="333"/>
      <c r="J3" s="334"/>
      <c r="K3" s="335"/>
      <c r="L3" s="336"/>
    </row>
    <row r="4" spans="1:16" ht="15.75" thickBot="1" x14ac:dyDescent="0.3">
      <c r="B4" s="338"/>
      <c r="C4" s="338"/>
      <c r="D4" s="338"/>
      <c r="E4" s="339"/>
      <c r="F4" s="340"/>
      <c r="G4" s="340"/>
      <c r="H4" s="341"/>
      <c r="I4" s="341"/>
      <c r="J4" s="342"/>
      <c r="K4" s="335"/>
      <c r="L4" s="336"/>
    </row>
    <row r="5" spans="1:16" s="346" customFormat="1" ht="34.5" thickBot="1" x14ac:dyDescent="0.3">
      <c r="A5" s="343" t="s">
        <v>882</v>
      </c>
      <c r="B5" s="344" t="s">
        <v>100</v>
      </c>
      <c r="C5" s="343" t="s">
        <v>115</v>
      </c>
      <c r="D5" s="343" t="s">
        <v>343</v>
      </c>
      <c r="E5" s="343" t="s">
        <v>119</v>
      </c>
      <c r="F5" s="343" t="s">
        <v>120</v>
      </c>
      <c r="G5" s="343" t="s">
        <v>500</v>
      </c>
      <c r="H5" s="343" t="s">
        <v>107</v>
      </c>
      <c r="I5" s="343" t="s">
        <v>108</v>
      </c>
      <c r="J5" s="345" t="s">
        <v>101</v>
      </c>
      <c r="K5" s="343" t="s">
        <v>102</v>
      </c>
      <c r="L5" s="343" t="s">
        <v>106</v>
      </c>
      <c r="N5" s="346" t="s">
        <v>501</v>
      </c>
      <c r="P5" s="346" t="s">
        <v>26</v>
      </c>
    </row>
    <row r="6" spans="1:16" s="330" customFormat="1" ht="45" x14ac:dyDescent="0.25">
      <c r="A6" s="347" t="str">
        <f>'Variation Register'!A11</f>
        <v>HCV-001</v>
      </c>
      <c r="B6" s="347" t="str">
        <f>+'Variation Register'!T11</f>
        <v>Company Variation Direction</v>
      </c>
      <c r="C6" s="347" t="str">
        <f>+'Variation Register'!B11</f>
        <v>VD-02</v>
      </c>
      <c r="D6" s="347">
        <f>'Variation Register'!C11</f>
        <v>0</v>
      </c>
      <c r="E6" s="348" t="str">
        <f>'Variation Register'!J11</f>
        <v>9641-C-83588-CFC-0006 &amp;
9641-C-83588-CFC-0006</v>
      </c>
      <c r="F6" s="348" t="str">
        <f>'Variation Register'!D11</f>
        <v>9641-C-83588-CTC-0002</v>
      </c>
      <c r="G6" s="349">
        <f>'Variation Register'!AC11</f>
        <v>43258</v>
      </c>
      <c r="H6" s="350" t="str">
        <f>'Variation Register'!U11</f>
        <v>Bulk Earthworks and Concrete  - MAC
Variation Direction 1</v>
      </c>
      <c r="I6" s="350" t="str">
        <f>'Variation Register'!V11</f>
        <v>$0 Adjustment to Contract Price. 
Undertake Early Works up to the value under the Contract of $7m. Early Works maximum value until Condition Precedent is satisfied or further Variation Direction is issued by 05/07/2018</v>
      </c>
      <c r="J6" s="351">
        <f>'Variation Register'!AF11</f>
        <v>0</v>
      </c>
      <c r="K6" s="352" t="e">
        <f>'Variation Register'!#REF!</f>
        <v>#REF!</v>
      </c>
      <c r="L6" s="353" t="s">
        <v>74</v>
      </c>
    </row>
    <row r="7" spans="1:16" s="330" customFormat="1" ht="33.75" x14ac:dyDescent="0.25">
      <c r="A7" s="347" t="str">
        <f>'Variation Register'!A12</f>
        <v>HCV-002</v>
      </c>
      <c r="B7" s="347" t="str">
        <f>+'Variation Register'!T12</f>
        <v>Company Site Instruction</v>
      </c>
      <c r="C7" s="347" t="str">
        <f>+'Variation Register'!B12</f>
        <v>VD-04</v>
      </c>
      <c r="D7" s="347" t="str">
        <f>'Variation Register'!C12</f>
        <v>003</v>
      </c>
      <c r="E7" s="348" t="str">
        <f>'Variation Register'!J12</f>
        <v>Aconex</v>
      </c>
      <c r="F7" s="348" t="str">
        <f>'Variation Register'!D12</f>
        <v>9641-C-83588-CTC-00090</v>
      </c>
      <c r="G7" s="349" t="str">
        <f>'Variation Register'!AC12</f>
        <v>SI003</v>
      </c>
      <c r="H7" s="350" t="str">
        <f>'Variation Register'!U12</f>
        <v>Wet Area Rail Outgo Formation CH 2100 - 2400</v>
      </c>
      <c r="I7" s="350" t="str">
        <f>'Variation Register'!V12</f>
        <v xml:space="preserve">Company has requested a quotation for Wet Area Rail Outgo Formation CH 2100 - 2400. Scope has been amended to include minor earthworks as described in SI3. Additional pumping activities captured under new SI(TBA) </v>
      </c>
      <c r="J7" s="351">
        <f>'Variation Register'!AF12</f>
        <v>2867.5400000000004</v>
      </c>
      <c r="K7" s="352" t="e">
        <f>'Variation Register'!#REF!</f>
        <v>#REF!</v>
      </c>
      <c r="L7" s="353" t="s">
        <v>74</v>
      </c>
      <c r="P7" s="346"/>
    </row>
    <row r="8" spans="1:16" s="330" customFormat="1" ht="22.5" x14ac:dyDescent="0.25">
      <c r="A8" s="347" t="str">
        <f>'Variation Register'!A13</f>
        <v>HCV-003</v>
      </c>
      <c r="B8" s="347" t="str">
        <f>+'Variation Register'!T13</f>
        <v>Company Site Instruction</v>
      </c>
      <c r="C8" s="347" t="str">
        <f>+'Variation Register'!B13</f>
        <v>VD-04</v>
      </c>
      <c r="D8" s="347" t="str">
        <f>'Variation Register'!C13</f>
        <v>002</v>
      </c>
      <c r="E8" s="348" t="str">
        <f>'Variation Register'!J13</f>
        <v>Aconex</v>
      </c>
      <c r="F8" s="348" t="str">
        <f>'Variation Register'!D13</f>
        <v>9641-C-83588-CTC-00075</v>
      </c>
      <c r="G8" s="349" t="str">
        <f>'Variation Register'!AC13</f>
        <v>SI002</v>
      </c>
      <c r="H8" s="350" t="str">
        <f>'Variation Register'!U13</f>
        <v>Clear &amp; Grub Sleeper Laydown area</v>
      </c>
      <c r="I8" s="350" t="str">
        <f>'Variation Register'!V13</f>
        <v>Company has requested a quotation for clear and grub of Sleeper Laydown Area. Scope has been changed by Company from original request.</v>
      </c>
      <c r="J8" s="351">
        <f>'Variation Register'!AF13</f>
        <v>5380.89</v>
      </c>
      <c r="K8" s="352" t="e">
        <f>'Variation Register'!#REF!</f>
        <v>#REF!</v>
      </c>
      <c r="L8" s="353" t="s">
        <v>74</v>
      </c>
      <c r="P8" s="346"/>
    </row>
    <row r="9" spans="1:16" s="330" customFormat="1" ht="45" x14ac:dyDescent="0.25">
      <c r="A9" s="347" t="str">
        <f>'Variation Register'!A14</f>
        <v>HCV-004</v>
      </c>
      <c r="B9" s="347" t="str">
        <f>+'Variation Register'!T14</f>
        <v>Variation (Other than a Company Variation Direction)</v>
      </c>
      <c r="C9" s="347" t="str">
        <f>+'Variation Register'!B14</f>
        <v>VD-04</v>
      </c>
      <c r="D9" s="347">
        <f>'Variation Register'!C14</f>
        <v>0</v>
      </c>
      <c r="E9" s="348" t="str">
        <f>'Variation Register'!J14</f>
        <v>9641-C-83588_CFC-0035
9641-C-83588_CFC-0042</v>
      </c>
      <c r="F9" s="348" t="str">
        <f>'Variation Register'!D14</f>
        <v>TBA</v>
      </c>
      <c r="G9" s="349">
        <f>'Variation Register'!AC14</f>
        <v>43301</v>
      </c>
      <c r="H9" s="350" t="str">
        <f>'Variation Register'!U14</f>
        <v>Temporary piping &amp; fittings to TK 12</v>
      </c>
      <c r="I9" s="350" t="str">
        <f>'Variation Register'!V14</f>
        <v>Extra over works associated with temporary piping to connecting TK 12 to TK 301.</v>
      </c>
      <c r="J9" s="351">
        <f>'Variation Register'!AF14</f>
        <v>58533.75</v>
      </c>
      <c r="K9" s="352" t="e">
        <f>'Variation Register'!#REF!</f>
        <v>#REF!</v>
      </c>
      <c r="L9" s="353" t="s">
        <v>74</v>
      </c>
    </row>
    <row r="10" spans="1:16" s="330" customFormat="1" ht="22.5" x14ac:dyDescent="0.25">
      <c r="A10" s="347" t="str">
        <f>'Variation Register'!A15</f>
        <v>HCV-005</v>
      </c>
      <c r="B10" s="347" t="str">
        <f>+'Variation Register'!T15</f>
        <v>Company Site Instruction</v>
      </c>
      <c r="C10" s="347" t="str">
        <f>+'Variation Register'!B15</f>
        <v>VD-04</v>
      </c>
      <c r="D10" s="347" t="str">
        <f>'Variation Register'!C15</f>
        <v>001</v>
      </c>
      <c r="E10" s="348" t="str">
        <f>'Variation Register'!J15</f>
        <v>Aconex</v>
      </c>
      <c r="F10" s="348" t="str">
        <f>'Variation Register'!D15</f>
        <v>9641-C-83588-CTC-00049</v>
      </c>
      <c r="G10" s="349" t="str">
        <f>'Variation Register'!AC15</f>
        <v>SI001</v>
      </c>
      <c r="H10" s="350" t="str">
        <f>'Variation Register'!U15</f>
        <v>Carpark for VIP</v>
      </c>
      <c r="I10" s="350" t="str">
        <f>'Variation Register'!V15</f>
        <v>VIP Carpark for ground breaking ceremony</v>
      </c>
      <c r="J10" s="351">
        <f>'Variation Register'!AF15</f>
        <v>16503</v>
      </c>
      <c r="K10" s="352" t="e">
        <f>'Variation Register'!#REF!</f>
        <v>#REF!</v>
      </c>
      <c r="L10" s="353" t="s">
        <v>74</v>
      </c>
    </row>
    <row r="11" spans="1:16" s="330" customFormat="1" ht="45" x14ac:dyDescent="0.25">
      <c r="A11" s="347" t="str">
        <f>'Variation Register'!A16</f>
        <v>HCV-006</v>
      </c>
      <c r="B11" s="347" t="str">
        <f>+'Variation Register'!T16</f>
        <v>Variation (Other than a Company Variation Direction)</v>
      </c>
      <c r="C11" s="347" t="str">
        <f>+'Variation Register'!B16</f>
        <v>TBA</v>
      </c>
      <c r="D11" s="347">
        <f>'Variation Register'!C16</f>
        <v>0</v>
      </c>
      <c r="E11" s="348" t="str">
        <f>'Variation Register'!J16</f>
        <v>9641-C-83588_CFC-0040
9641-C-83588-CFC-0375</v>
      </c>
      <c r="F11" s="348" t="str">
        <f>'Variation Register'!D16</f>
        <v>9641-C-83588-CTC-0110
9641-C-83588-CTC-0478</v>
      </c>
      <c r="G11" s="349">
        <f>'Variation Register'!AC16</f>
        <v>43308</v>
      </c>
      <c r="H11" s="350" t="str">
        <f>'Variation Register'!U16</f>
        <v>Noise Assessment Testing Requirements</v>
      </c>
      <c r="I11" s="350" t="str">
        <f>'Variation Register'!V16</f>
        <v>Noise Assessment Testing Requirements set out in SPEC-000-M-00106 in Revision 4 Documents List</v>
      </c>
      <c r="J11" s="351">
        <f>'Variation Register'!AF16</f>
        <v>0</v>
      </c>
      <c r="K11" s="352" t="e">
        <f>'Variation Register'!#REF!</f>
        <v>#REF!</v>
      </c>
      <c r="L11" s="353" t="s">
        <v>74</v>
      </c>
    </row>
    <row r="12" spans="1:16" s="330" customFormat="1" ht="22.5" x14ac:dyDescent="0.25">
      <c r="A12" s="347" t="str">
        <f>'Variation Register'!A17</f>
        <v>HCV-007</v>
      </c>
      <c r="B12" s="347" t="str">
        <f>+'Variation Register'!T17</f>
        <v>Company Site Instruction</v>
      </c>
      <c r="C12" s="347" t="str">
        <f>+'Variation Register'!B17</f>
        <v>VD-04</v>
      </c>
      <c r="D12" s="347" t="str">
        <f>'Variation Register'!C17</f>
        <v>004</v>
      </c>
      <c r="E12" s="348" t="str">
        <f>'Variation Register'!J17</f>
        <v>Aconex</v>
      </c>
      <c r="F12" s="348" t="str">
        <f>'Variation Register'!D17</f>
        <v>9641-C-83588-CTC-00091</v>
      </c>
      <c r="G12" s="349" t="str">
        <f>'Variation Register'!AC17</f>
        <v>SI004</v>
      </c>
      <c r="H12" s="350" t="str">
        <f>'Variation Register'!U17</f>
        <v>Install OPS Haul Road Windrow</v>
      </c>
      <c r="I12" s="350" t="str">
        <f>'Variation Register'!V17</f>
        <v>Management of Traffic and Install OPS haul road windrow</v>
      </c>
      <c r="J12" s="351">
        <f>'Variation Register'!AF17</f>
        <v>1375.71</v>
      </c>
      <c r="K12" s="352" t="e">
        <f>'Variation Register'!#REF!</f>
        <v>#REF!</v>
      </c>
      <c r="L12" s="353" t="s">
        <v>74</v>
      </c>
    </row>
    <row r="13" spans="1:16" s="330" customFormat="1" ht="22.5" x14ac:dyDescent="0.25">
      <c r="A13" s="347" t="str">
        <f>'Variation Register'!A18</f>
        <v>HCV-008</v>
      </c>
      <c r="B13" s="347" t="str">
        <f>+'Variation Register'!T18</f>
        <v>Variation (Other than a Company Variation Direction)</v>
      </c>
      <c r="C13" s="347" t="str">
        <f>+'Variation Register'!B18</f>
        <v>VD-04</v>
      </c>
      <c r="D13" s="347" t="str">
        <f>'Variation Register'!C18</f>
        <v>005 &amp; 007</v>
      </c>
      <c r="E13" s="348" t="str">
        <f>'Variation Register'!J18</f>
        <v>9641-C-83588-CFC-0051</v>
      </c>
      <c r="F13" s="348" t="str">
        <f>'Variation Register'!D18</f>
        <v>BHPSFP-RESTEHQ-002869</v>
      </c>
      <c r="G13" s="349">
        <f>'Variation Register'!AC18</f>
        <v>43322</v>
      </c>
      <c r="H13" s="350" t="str">
        <f>'Variation Register'!U18</f>
        <v>SI-005 Fabricate RCB Culvert Moulds</v>
      </c>
      <c r="I13" s="350" t="str">
        <f>'Variation Register'!V18</f>
        <v>Advance Issue - IFC drawings transmitted. Drawing detail indicates changes to culvert detail, from the Contract Date Design</v>
      </c>
      <c r="J13" s="351">
        <f>'Variation Register'!AF18</f>
        <v>111081</v>
      </c>
      <c r="K13" s="352" t="e">
        <f>'Variation Register'!#REF!</f>
        <v>#REF!</v>
      </c>
      <c r="L13" s="353" t="s">
        <v>74</v>
      </c>
    </row>
    <row r="14" spans="1:16" s="330" customFormat="1" ht="22.5" outlineLevel="1" x14ac:dyDescent="0.25">
      <c r="A14" s="347" t="str">
        <f>'Variation Register'!A19</f>
        <v>HCV-008a</v>
      </c>
      <c r="B14" s="347" t="str">
        <f>+'Variation Register'!T19</f>
        <v>Contract Adjustment (SOR Qty Change)</v>
      </c>
      <c r="C14" s="347" t="str">
        <f>+'Variation Register'!B19</f>
        <v>VD-04</v>
      </c>
      <c r="D14" s="347" t="str">
        <f>'Variation Register'!C19</f>
        <v>005 &amp; 007</v>
      </c>
      <c r="E14" s="348" t="str">
        <f>'Variation Register'!J19</f>
        <v>9641-C-83588-CFC-0051</v>
      </c>
      <c r="F14" s="348" t="str">
        <f>'Variation Register'!D19</f>
        <v>BHPSFP-RESTEHQ-002869</v>
      </c>
      <c r="G14" s="349">
        <f>'Variation Register'!AC19</f>
        <v>43322</v>
      </c>
      <c r="H14" s="350" t="str">
        <f>'Variation Register'!U19</f>
        <v>Box culverts</v>
      </c>
      <c r="I14" s="350" t="str">
        <f>'Variation Register'!V19</f>
        <v>Advance Issue - IFC drawings transmitted. Drawing detail indicates changes to culvert detail, from the Contract Date Design</v>
      </c>
      <c r="J14" s="351">
        <f>'Variation Register'!AF19</f>
        <v>1097235.24</v>
      </c>
      <c r="K14" s="352" t="e">
        <f>'Variation Register'!#REF!</f>
        <v>#REF!</v>
      </c>
      <c r="L14" s="353" t="s">
        <v>74</v>
      </c>
      <c r="P14" s="346"/>
    </row>
    <row r="15" spans="1:16" s="330" customFormat="1" ht="33.75" outlineLevel="1" x14ac:dyDescent="0.25">
      <c r="A15" s="347" t="str">
        <f>'Variation Register'!A20</f>
        <v>HCV-009</v>
      </c>
      <c r="B15" s="347" t="str">
        <f>+'Variation Register'!T20</f>
        <v>Contract Adjustment (SOR Qty Change)</v>
      </c>
      <c r="C15" s="347" t="str">
        <f>+'Variation Register'!B20</f>
        <v>VD-05</v>
      </c>
      <c r="D15" s="347">
        <f>'Variation Register'!C20</f>
        <v>0</v>
      </c>
      <c r="E15" s="348" t="str">
        <f>'Variation Register'!J20</f>
        <v>9641-C-83588-CFC-0063</v>
      </c>
      <c r="F15" s="348" t="str">
        <f>'Variation Register'!D20</f>
        <v>TBA</v>
      </c>
      <c r="G15" s="349">
        <f>'Variation Register'!AC20</f>
        <v>43333</v>
      </c>
      <c r="H15" s="350" t="str">
        <f>'Variation Register'!U20</f>
        <v>CSP Culverts</v>
      </c>
      <c r="I15" s="350" t="str">
        <f>'Variation Register'!V20</f>
        <v>Changes to CSP Culverts between Contract Date Design and IFC drawings. Scope of Work variations include quantity, length, depth, CSP material thickness for additional works during shutdown activities (HCV-009a)</v>
      </c>
      <c r="J15" s="351">
        <f>'Variation Register'!AF20</f>
        <v>711632.8</v>
      </c>
      <c r="K15" s="352" t="e">
        <f>'Variation Register'!#REF!</f>
        <v>#REF!</v>
      </c>
      <c r="L15" s="353" t="s">
        <v>74</v>
      </c>
      <c r="P15" s="346"/>
    </row>
    <row r="16" spans="1:16" s="330" customFormat="1" ht="33.75" outlineLevel="1" x14ac:dyDescent="0.25">
      <c r="A16" s="347" t="str">
        <f>'Variation Register'!A21</f>
        <v>HCV-009a</v>
      </c>
      <c r="B16" s="347" t="str">
        <f>+'Variation Register'!T21</f>
        <v>Variation (Other than a Company Variation Direction)</v>
      </c>
      <c r="C16" s="347" t="str">
        <f>+'Variation Register'!B21</f>
        <v>TBA</v>
      </c>
      <c r="D16" s="347">
        <f>'Variation Register'!C21</f>
        <v>0</v>
      </c>
      <c r="E16" s="348" t="str">
        <f>'Variation Register'!J21</f>
        <v>9641-C-83588-CFC-0063</v>
      </c>
      <c r="F16" s="348" t="str">
        <f>'Variation Register'!D21</f>
        <v>TBA</v>
      </c>
      <c r="G16" s="349">
        <f>'Variation Register'!AC21</f>
        <v>43333</v>
      </c>
      <c r="H16" s="350" t="str">
        <f>'Variation Register'!U21</f>
        <v>CSP Culverts</v>
      </c>
      <c r="I16" s="350" t="str">
        <f>'Variation Register'!V21</f>
        <v>Changes to CSP Culverts between Contract Date Design and IFC drawings. Scope of Work for MAC-C56 &amp; C58. Final agreement will be based on evident install CSF material and quantity</v>
      </c>
      <c r="J16" s="351">
        <f>'Variation Register'!AF21</f>
        <v>0</v>
      </c>
      <c r="K16" s="352" t="e">
        <f>'Variation Register'!#REF!</f>
        <v>#REF!</v>
      </c>
      <c r="L16" s="353" t="s">
        <v>74</v>
      </c>
      <c r="P16" s="346"/>
    </row>
    <row r="17" spans="1:16" s="330" customFormat="1" ht="33.75" outlineLevel="1" x14ac:dyDescent="0.25">
      <c r="A17" s="347" t="str">
        <f>'Variation Register'!A22</f>
        <v>HCV-009a</v>
      </c>
      <c r="B17" s="347" t="str">
        <f>+'Variation Register'!T22</f>
        <v>Variation (Other than a Company Variation Direction)</v>
      </c>
      <c r="C17" s="347" t="str">
        <f>+'Variation Register'!B22</f>
        <v>TBA</v>
      </c>
      <c r="D17" s="347">
        <f>'Variation Register'!C22</f>
        <v>0</v>
      </c>
      <c r="E17" s="348" t="str">
        <f>'Variation Register'!J22</f>
        <v>9641-C-83588-CFC-0084</v>
      </c>
      <c r="F17" s="348" t="str">
        <f>'Variation Register'!D22</f>
        <v>TBA</v>
      </c>
      <c r="G17" s="349">
        <f>'Variation Register'!AC22</f>
        <v>43362</v>
      </c>
      <c r="H17" s="350" t="str">
        <f>'Variation Register'!U22</f>
        <v>CSP Culverts</v>
      </c>
      <c r="I17" s="350" t="str">
        <f>'Variation Register'!V22</f>
        <v>Changes to CSP Culverts between Contract Date Design and IFC drawings. Scope of Work variations include quantity, length, depth, CSP material thickness and additional works during shutdown activities</v>
      </c>
      <c r="J17" s="351">
        <f>'Variation Register'!AF22</f>
        <v>0</v>
      </c>
      <c r="K17" s="352" t="e">
        <f>'Variation Register'!#REF!</f>
        <v>#REF!</v>
      </c>
      <c r="L17" s="353" t="s">
        <v>74</v>
      </c>
      <c r="P17" s="346"/>
    </row>
    <row r="18" spans="1:16" s="330" customFormat="1" ht="67.5" outlineLevel="1" x14ac:dyDescent="0.25">
      <c r="A18" s="347" t="str">
        <f>'Variation Register'!A23</f>
        <v>HCV-010 (a)(b)</v>
      </c>
      <c r="B18" s="347" t="str">
        <f>+'Variation Register'!T23</f>
        <v>Contract Adjustment (SOR Qty Change)</v>
      </c>
      <c r="C18" s="347" t="str">
        <f>+'Variation Register'!B23</f>
        <v>VD-06</v>
      </c>
      <c r="D18" s="347">
        <f>'Variation Register'!C23</f>
        <v>0</v>
      </c>
      <c r="E18" s="348" t="str">
        <f>'Variation Register'!J23</f>
        <v>9641-C-83588-CFC-0055
9641-C-83588-CFC-0287</v>
      </c>
      <c r="F18" s="348" t="str">
        <f>'Variation Register'!D23</f>
        <v xml:space="preserve">BHPSFP-MEMO-01547
9641-C-83588-CTC-0159
9641-C-83588-CTC-0425 </v>
      </c>
      <c r="G18" s="349">
        <f>'Variation Register'!AC23</f>
        <v>43327</v>
      </c>
      <c r="H18" s="350" t="str">
        <f>'Variation Register'!U23</f>
        <v>Coarse Ore Stockpile – Reinforcement 
Raft Foundation</v>
      </c>
      <c r="I18" s="350" t="str">
        <f>'Variation Register'!V23</f>
        <v>COS advance issue IFC drawings (upon review by Contractor) indicate changes to reinforcement quantities</v>
      </c>
      <c r="J18" s="351">
        <f>'Variation Register'!AF23</f>
        <v>916890.9</v>
      </c>
      <c r="K18" s="352" t="e">
        <f>'Variation Register'!#REF!</f>
        <v>#REF!</v>
      </c>
      <c r="L18" s="353" t="s">
        <v>74</v>
      </c>
      <c r="P18" s="346"/>
    </row>
    <row r="19" spans="1:16" s="330" customFormat="1" ht="22.5" outlineLevel="1" x14ac:dyDescent="0.25">
      <c r="A19" s="347" t="str">
        <f>'Variation Register'!A24</f>
        <v>HCV-010c</v>
      </c>
      <c r="B19" s="347" t="str">
        <f>+'Variation Register'!T24</f>
        <v>Variation (Other than a Company Variation Direction)</v>
      </c>
      <c r="C19" s="347" t="str">
        <f>+'Variation Register'!B24</f>
        <v>VD-06</v>
      </c>
      <c r="D19" s="347">
        <f>'Variation Register'!C24</f>
        <v>0</v>
      </c>
      <c r="E19" s="348" t="str">
        <f>'Variation Register'!J24</f>
        <v>9641-C-83588-CFC-0356</v>
      </c>
      <c r="F19" s="348">
        <f>'Variation Register'!D24</f>
        <v>0</v>
      </c>
      <c r="G19" s="349">
        <f>'Variation Register'!AC24</f>
        <v>43327</v>
      </c>
      <c r="H19" s="350" t="str">
        <f>'Variation Register'!U24</f>
        <v>Coarse Ore Stockpile – Reinforcement
Vault Walls</v>
      </c>
      <c r="I19" s="350" t="str">
        <f>'Variation Register'!V24</f>
        <v>COS advance issue IFC drawings (upon review by Contractor) indicate changes to reinforcement quantities</v>
      </c>
      <c r="J19" s="351">
        <f>'Variation Register'!AF24</f>
        <v>419043.45999999996</v>
      </c>
      <c r="K19" s="352" t="e">
        <f>'Variation Register'!#REF!</f>
        <v>#REF!</v>
      </c>
      <c r="L19" s="353" t="s">
        <v>74</v>
      </c>
      <c r="P19" s="346"/>
    </row>
    <row r="20" spans="1:16" s="330" customFormat="1" ht="22.5" outlineLevel="1" x14ac:dyDescent="0.25">
      <c r="A20" s="347" t="str">
        <f>'Variation Register'!A25</f>
        <v>HCV-010d</v>
      </c>
      <c r="B20" s="347" t="str">
        <f>+'Variation Register'!T25</f>
        <v>Variation (Other than a Company Variation Direction)</v>
      </c>
      <c r="C20" s="347" t="str">
        <f>+'Variation Register'!B25</f>
        <v>VD-06</v>
      </c>
      <c r="D20" s="347">
        <f>'Variation Register'!C25</f>
        <v>0</v>
      </c>
      <c r="E20" s="348" t="str">
        <f>'Variation Register'!J25</f>
        <v>9641-C-83588-CFC-0395</v>
      </c>
      <c r="F20" s="348">
        <f>'Variation Register'!D25</f>
        <v>0</v>
      </c>
      <c r="G20" s="349">
        <f>'Variation Register'!AC25</f>
        <v>43327</v>
      </c>
      <c r="H20" s="350" t="str">
        <f>'Variation Register'!U25</f>
        <v>Coarse Ore Stockpile – Reinforcement
Mezzanine</v>
      </c>
      <c r="I20" s="350" t="str">
        <f>'Variation Register'!V25</f>
        <v>COS advance issue IFC drawings (upon review by Contractor) indicate changes to reinforcement quantities</v>
      </c>
      <c r="J20" s="351">
        <f>'Variation Register'!AF25</f>
        <v>440325.81000000006</v>
      </c>
      <c r="K20" s="352" t="e">
        <f>'Variation Register'!#REF!</f>
        <v>#REF!</v>
      </c>
      <c r="L20" s="353" t="s">
        <v>74</v>
      </c>
      <c r="P20" s="346"/>
    </row>
    <row r="21" spans="1:16" s="330" customFormat="1" ht="22.5" outlineLevel="1" x14ac:dyDescent="0.25">
      <c r="A21" s="347" t="str">
        <f>'Variation Register'!A26</f>
        <v>HCV-012</v>
      </c>
      <c r="B21" s="347" t="str">
        <f>+'Variation Register'!T26</f>
        <v>Company Site Instruction</v>
      </c>
      <c r="C21" s="347" t="str">
        <f>+'Variation Register'!B26</f>
        <v>VD-06</v>
      </c>
      <c r="D21" s="347" t="str">
        <f>'Variation Register'!C26</f>
        <v>010</v>
      </c>
      <c r="E21" s="348" t="str">
        <f>'Variation Register'!J26</f>
        <v>9641-C-83588-CFC-0335</v>
      </c>
      <c r="F21" s="348" t="str">
        <f>'Variation Register'!D26</f>
        <v>9641-C-83588-CTC-0049</v>
      </c>
      <c r="G21" s="349" t="str">
        <f>'Variation Register'!AC26</f>
        <v>SI010</v>
      </c>
      <c r="H21" s="350" t="str">
        <f>'Variation Register'!U26</f>
        <v>Liquid Waste Disposal</v>
      </c>
      <c r="I21" s="350" t="str">
        <f>'Variation Register'!V26</f>
        <v>Liquid Waste to Mulla Mulla</v>
      </c>
      <c r="J21" s="351">
        <f>'Variation Register'!AF26</f>
        <v>75167.839999999997</v>
      </c>
      <c r="K21" s="352" t="e">
        <f>'Variation Register'!#REF!</f>
        <v>#REF!</v>
      </c>
      <c r="L21" s="353" t="s">
        <v>74</v>
      </c>
      <c r="P21" s="346"/>
    </row>
    <row r="22" spans="1:16" s="330" customFormat="1" ht="22.5" outlineLevel="1" x14ac:dyDescent="0.25">
      <c r="A22" s="347" t="str">
        <f>'Variation Register'!A27</f>
        <v>HCV-012a</v>
      </c>
      <c r="B22" s="347" t="str">
        <f>+'Variation Register'!T27</f>
        <v>Company Site Instruction</v>
      </c>
      <c r="C22" s="347" t="str">
        <f>+'Variation Register'!B27</f>
        <v>VD-06</v>
      </c>
      <c r="D22" s="347" t="str">
        <f>'Variation Register'!C27</f>
        <v>010</v>
      </c>
      <c r="E22" s="348" t="str">
        <f>'Variation Register'!J27</f>
        <v>9641-C-83588-CFC-0335</v>
      </c>
      <c r="F22" s="348" t="str">
        <f>'Variation Register'!D27</f>
        <v>9641-C-83588-CTC-0049</v>
      </c>
      <c r="G22" s="349" t="str">
        <f>'Variation Register'!AC27</f>
        <v>SI010</v>
      </c>
      <c r="H22" s="350" t="str">
        <f>'Variation Register'!U27</f>
        <v>Liquid Waste Disposal - 6 month look ahead Updated TO 22/12/19</v>
      </c>
      <c r="I22" s="350" t="str">
        <f>'Variation Register'!V27</f>
        <v xml:space="preserve">Liquid Waste to Mulla Mulla </v>
      </c>
      <c r="J22" s="351">
        <f>'Variation Register'!AF27</f>
        <v>207266.07</v>
      </c>
      <c r="K22" s="352" t="e">
        <f>'Variation Register'!#REF!</f>
        <v>#REF!</v>
      </c>
      <c r="L22" s="353" t="s">
        <v>74</v>
      </c>
      <c r="P22" s="346"/>
    </row>
    <row r="23" spans="1:16" s="330" customFormat="1" ht="22.5" outlineLevel="1" x14ac:dyDescent="0.25">
      <c r="A23" s="347" t="str">
        <f>'Variation Register'!A28</f>
        <v>HCV-012b</v>
      </c>
      <c r="B23" s="347" t="str">
        <f>+'Variation Register'!T28</f>
        <v>Company Site Instruction</v>
      </c>
      <c r="C23" s="347">
        <f>+'Variation Register'!B28</f>
        <v>0</v>
      </c>
      <c r="D23" s="347">
        <f>'Variation Register'!C28</f>
        <v>0</v>
      </c>
      <c r="E23" s="348" t="str">
        <f>'Variation Register'!J28</f>
        <v>9641-C-83588-CFC-0720</v>
      </c>
      <c r="F23" s="348">
        <f>'Variation Register'!D28</f>
        <v>0</v>
      </c>
      <c r="G23" s="349">
        <f>'Variation Register'!AC28</f>
        <v>43863</v>
      </c>
      <c r="H23" s="350" t="str">
        <f>'Variation Register'!U28</f>
        <v>Liquid Waste Disposal</v>
      </c>
      <c r="I23" s="350" t="str">
        <f>'Variation Register'!V28</f>
        <v xml:space="preserve">Liquid Waste to Mulla Mulla </v>
      </c>
      <c r="J23" s="351">
        <f>'Variation Register'!AF28</f>
        <v>10505.49</v>
      </c>
      <c r="K23" s="352" t="e">
        <f>'Variation Register'!#REF!</f>
        <v>#REF!</v>
      </c>
      <c r="L23" s="353" t="s">
        <v>74</v>
      </c>
      <c r="M23" s="330" t="s">
        <v>502</v>
      </c>
      <c r="P23" s="346"/>
    </row>
    <row r="24" spans="1:16" s="330" customFormat="1" ht="22.5" outlineLevel="1" x14ac:dyDescent="0.25">
      <c r="A24" s="347" t="str">
        <f>'Variation Register'!A29</f>
        <v>HCV-011</v>
      </c>
      <c r="B24" s="347" t="str">
        <f>+'Variation Register'!T29</f>
        <v>Contract Adjustment (SOR Qty Change)</v>
      </c>
      <c r="C24" s="347" t="str">
        <f>+'Variation Register'!B29</f>
        <v>TBA</v>
      </c>
      <c r="D24" s="347">
        <f>'Variation Register'!C29</f>
        <v>0</v>
      </c>
      <c r="E24" s="348" t="str">
        <f>'Variation Register'!J29</f>
        <v>9641-C-83588-CFC-0516</v>
      </c>
      <c r="F24" s="348" t="str">
        <f>'Variation Register'!D29</f>
        <v>9641-C-83588-CTC-0607</v>
      </c>
      <c r="G24" s="349">
        <f>'Variation Register'!AC29</f>
        <v>43343</v>
      </c>
      <c r="H24" s="350" t="str">
        <f>'Variation Register'!U29</f>
        <v>Transfer Station 476 - Sheet Piling</v>
      </c>
      <c r="I24" s="350" t="str">
        <f>'Variation Register'!V29</f>
        <v>Company's Technical Material (design transmittals) indicate sheet piling requirements at TS476 which were not part of the Contract Date Design</v>
      </c>
      <c r="J24" s="351">
        <f>'Variation Register'!AF29</f>
        <v>1424342.541829</v>
      </c>
      <c r="K24" s="352" t="e">
        <f>'Variation Register'!#REF!</f>
        <v>#REF!</v>
      </c>
      <c r="L24" s="353" t="s">
        <v>74</v>
      </c>
      <c r="P24" s="346"/>
    </row>
    <row r="25" spans="1:16" s="330" customFormat="1" ht="56.25" outlineLevel="1" x14ac:dyDescent="0.25">
      <c r="A25" s="347" t="str">
        <f>'Variation Register'!A30</f>
        <v>HCV-013</v>
      </c>
      <c r="B25" s="347" t="str">
        <f>+'Variation Register'!T30</f>
        <v>Company Site Instruction</v>
      </c>
      <c r="C25" s="347" t="str">
        <f>+'Variation Register'!B30</f>
        <v>VD-06</v>
      </c>
      <c r="D25" s="347">
        <f>'Variation Register'!C30</f>
        <v>8</v>
      </c>
      <c r="E25" s="348" t="str">
        <f>'Variation Register'!J30</f>
        <v>Email (D.Cabassi to S.Schalk 04/09/2018)
9641-C-83588-CFC-0333</v>
      </c>
      <c r="F25" s="348">
        <f>'Variation Register'!D30</f>
        <v>0</v>
      </c>
      <c r="G25" s="349">
        <f>'Variation Register'!AC30</f>
        <v>43347</v>
      </c>
      <c r="H25" s="350" t="str">
        <f>'Variation Register'!U30</f>
        <v>Wet Area Rail Outgo Formation CH 2100 - 2400. Pumpout of Company dewatering</v>
      </c>
      <c r="I25" s="350" t="str">
        <f>'Variation Register'!V30</f>
        <v>Company's Operations team will be dispersing dewatering into Contractor's work area. Work involves installation and operation of 6 inch pump to remove water</v>
      </c>
      <c r="J25" s="351">
        <f>'Variation Register'!AF30</f>
        <v>88241.73</v>
      </c>
      <c r="K25" s="352" t="e">
        <f>'Variation Register'!#REF!</f>
        <v>#REF!</v>
      </c>
      <c r="L25" s="353" t="s">
        <v>74</v>
      </c>
      <c r="M25" s="330" t="s">
        <v>502</v>
      </c>
      <c r="P25" s="346"/>
    </row>
    <row r="26" spans="1:16" s="330" customFormat="1" ht="22.5" outlineLevel="1" x14ac:dyDescent="0.25">
      <c r="A26" s="347" t="str">
        <f>'Variation Register'!A31</f>
        <v>HCV-013</v>
      </c>
      <c r="B26" s="347" t="str">
        <f>+'Variation Register'!T31</f>
        <v>Company Site Instruction</v>
      </c>
      <c r="C26" s="347" t="str">
        <f>+'Variation Register'!B31</f>
        <v>TBA</v>
      </c>
      <c r="D26" s="347" t="str">
        <f>'Variation Register'!C31</f>
        <v>017</v>
      </c>
      <c r="E26" s="348" t="str">
        <f>'Variation Register'!J31</f>
        <v>Covered under HCV-012 / SI-008</v>
      </c>
      <c r="F26" s="348" t="str">
        <f>'Variation Register'!D31</f>
        <v>Covered under HCV-012</v>
      </c>
      <c r="G26" s="349" t="str">
        <f>'Variation Register'!AC31</f>
        <v>SI017</v>
      </c>
      <c r="H26" s="350" t="str">
        <f>'Variation Register'!U31</f>
        <v>Pumping Excess Water</v>
      </c>
      <c r="I26" s="350" t="str">
        <f>'Variation Register'!V31</f>
        <v>Dewatering Pump Standby</v>
      </c>
      <c r="J26" s="351">
        <f>'Variation Register'!AF31</f>
        <v>0</v>
      </c>
      <c r="K26" s="352" t="e">
        <f>'Variation Register'!#REF!</f>
        <v>#REF!</v>
      </c>
      <c r="L26" s="353" t="s">
        <v>74</v>
      </c>
      <c r="P26" s="346"/>
    </row>
    <row r="27" spans="1:16" s="330" customFormat="1" ht="45" outlineLevel="1" x14ac:dyDescent="0.25">
      <c r="A27" s="347" t="str">
        <f>'Variation Register'!A32</f>
        <v>HCV-014</v>
      </c>
      <c r="B27" s="347" t="str">
        <f>+'Variation Register'!T32</f>
        <v>Variation (Other than a Company Variation Direction)</v>
      </c>
      <c r="C27" s="347" t="str">
        <f>+'Variation Register'!B32</f>
        <v>VD-06</v>
      </c>
      <c r="D27" s="347" t="str">
        <f>'Variation Register'!C32</f>
        <v>TBA</v>
      </c>
      <c r="E27" s="348" t="str">
        <f>'Variation Register'!J32</f>
        <v>9641-C-83588-CFC-0071
9641-C-83588-CFC-0139</v>
      </c>
      <c r="F27" s="348" t="str">
        <f>'Variation Register'!D32</f>
        <v>9641-C-83588-CTC-0202
9641-C-83588-CTC-0410</v>
      </c>
      <c r="G27" s="349">
        <f>'Variation Register'!AC32</f>
        <v>43223</v>
      </c>
      <c r="H27" s="350" t="str">
        <f>'Variation Register'!U32</f>
        <v>Existing Services</v>
      </c>
      <c r="I27" s="350" t="str">
        <f>'Variation Register'!V32</f>
        <v>Company's CSD's indicate additional Services to those identified in the Contract Date Design. Also, errors in the CSD has caused Contractor to undertake additional works</v>
      </c>
      <c r="J27" s="351">
        <f>'Variation Register'!AF32</f>
        <v>385718.96</v>
      </c>
      <c r="K27" s="352" t="e">
        <f>'Variation Register'!#REF!</f>
        <v>#REF!</v>
      </c>
      <c r="L27" s="353" t="s">
        <v>74</v>
      </c>
      <c r="P27" s="346"/>
    </row>
    <row r="28" spans="1:16" s="330" customFormat="1" ht="22.5" outlineLevel="1" x14ac:dyDescent="0.25">
      <c r="A28" s="347" t="str">
        <f>'Variation Register'!A33</f>
        <v>LC-001</v>
      </c>
      <c r="B28" s="347" t="str">
        <f>+'Variation Register'!T33</f>
        <v>Variation (Other than a Company Variation Direction)</v>
      </c>
      <c r="C28" s="347" t="str">
        <f>+'Variation Register'!B33</f>
        <v>VD-06</v>
      </c>
      <c r="D28" s="347" t="str">
        <f>'Variation Register'!C33</f>
        <v>TBA</v>
      </c>
      <c r="E28" s="348" t="str">
        <f>'Variation Register'!J33</f>
        <v>9641-C-83588-CFC-0072</v>
      </c>
      <c r="F28" s="348">
        <f>'Variation Register'!D33</f>
        <v>0</v>
      </c>
      <c r="G28" s="349">
        <f>'Variation Register'!AC33</f>
        <v>43349</v>
      </c>
      <c r="H28" s="350" t="str">
        <f>'Variation Register'!U33</f>
        <v>Conditions encountered during locate and verify Existing Services</v>
      </c>
      <c r="I28" s="350" t="str">
        <f>'Variation Register'!V33</f>
        <v>Contractor has encountered subsurface cement stabilised fill material when trying to locate existing services, prior to earthworks</v>
      </c>
      <c r="J28" s="351">
        <f>'Variation Register'!AF33</f>
        <v>0</v>
      </c>
      <c r="K28" s="352" t="e">
        <f>'Variation Register'!#REF!</f>
        <v>#REF!</v>
      </c>
      <c r="L28" s="353" t="s">
        <v>74</v>
      </c>
      <c r="P28" s="346"/>
    </row>
    <row r="29" spans="1:16" s="330" customFormat="1" ht="33.75" outlineLevel="1" x14ac:dyDescent="0.25">
      <c r="A29" s="347" t="str">
        <f>'Variation Register'!A34</f>
        <v>HCV-017</v>
      </c>
      <c r="B29" s="347" t="str">
        <f>+'Variation Register'!T34</f>
        <v>Variation (Other than a Company Variation Direction)</v>
      </c>
      <c r="C29" s="347" t="str">
        <f>+'Variation Register'!B34</f>
        <v>TBA</v>
      </c>
      <c r="D29" s="347">
        <f>'Variation Register'!C34</f>
        <v>0</v>
      </c>
      <c r="E29" s="348" t="str">
        <f>'Variation Register'!J34</f>
        <v>9641-C-83588-CFC-0079</v>
      </c>
      <c r="F29" s="348" t="str">
        <f>'Variation Register'!D34</f>
        <v>9641-C-83588-CTC-0412</v>
      </c>
      <c r="G29" s="349">
        <f>'Variation Register'!AC34</f>
        <v>43355</v>
      </c>
      <c r="H29" s="350" t="str">
        <f>'Variation Register'!U34</f>
        <v>Design changes in Stacker 04, Reclaimer 02 and Transfer Station 472 Drawings issued for construction purposes</v>
      </c>
      <c r="I29" s="350" t="str">
        <f>'Variation Register'!V34</f>
        <v>Advance issue IFC drawings (upon review by Contractor) indicate changes to Work relating to steel reinforcement</v>
      </c>
      <c r="J29" s="351">
        <f>'Variation Register'!AF34</f>
        <v>0</v>
      </c>
      <c r="K29" s="352" t="e">
        <f>'Variation Register'!#REF!</f>
        <v>#REF!</v>
      </c>
      <c r="L29" s="353" t="s">
        <v>74</v>
      </c>
      <c r="P29" s="346"/>
    </row>
    <row r="30" spans="1:16" s="330" customFormat="1" ht="22.5" outlineLevel="1" x14ac:dyDescent="0.25">
      <c r="A30" s="347" t="str">
        <f>'Variation Register'!A35</f>
        <v>HCV-018</v>
      </c>
      <c r="B30" s="347" t="str">
        <f>+'Variation Register'!T35</f>
        <v>Variation (Other than a Company Variation Direction)</v>
      </c>
      <c r="C30" s="347" t="str">
        <f>+'Variation Register'!B35</f>
        <v>VD-08 &amp; VD-10</v>
      </c>
      <c r="D30" s="347">
        <f>'Variation Register'!C35</f>
        <v>0</v>
      </c>
      <c r="E30" s="348" t="str">
        <f>'Variation Register'!J35</f>
        <v>9641-C-83588-CFC-0340</v>
      </c>
      <c r="F30" s="348" t="str">
        <f>'Variation Register'!D35</f>
        <v>9641-C-83588-CTC-0487</v>
      </c>
      <c r="G30" s="349">
        <f>'Variation Register'!AC35</f>
        <v>43363</v>
      </c>
      <c r="H30" s="350" t="str">
        <f>'Variation Register'!U35</f>
        <v>Company Site Inductions</v>
      </c>
      <c r="I30" s="350" t="str">
        <f>'Variation Register'!V35</f>
        <v>Company requires Contractor's personnel to complete onsite inductions in addition to Contract specified pre-mobilisation requirements</v>
      </c>
      <c r="J30" s="351">
        <f>'Variation Register'!AF35</f>
        <v>673152.91</v>
      </c>
      <c r="K30" s="352" t="e">
        <f>'Variation Register'!#REF!</f>
        <v>#REF!</v>
      </c>
      <c r="L30" s="353" t="s">
        <v>74</v>
      </c>
      <c r="P30" s="346"/>
    </row>
    <row r="31" spans="1:16" ht="22.5" x14ac:dyDescent="0.25">
      <c r="A31" s="347" t="str">
        <f>'Variation Register'!A36</f>
        <v>HCV-018.1</v>
      </c>
      <c r="B31" s="347" t="str">
        <f>+'Variation Register'!T36</f>
        <v>Variation (Other than a Company Variation Direction)</v>
      </c>
      <c r="C31" s="347" t="str">
        <f>+'Variation Register'!B36</f>
        <v>VD-08 &amp; VD-10</v>
      </c>
      <c r="D31" s="347">
        <f>'Variation Register'!C36</f>
        <v>0</v>
      </c>
      <c r="E31" s="348" t="str">
        <f>'Variation Register'!J36</f>
        <v>9641-C-83588-CFC-0340</v>
      </c>
      <c r="F31" s="348" t="str">
        <f>'Variation Register'!D36</f>
        <v>9641-C-83588-CTC-0487</v>
      </c>
      <c r="G31" s="349">
        <f>'Variation Register'!AC36</f>
        <v>43363</v>
      </c>
      <c r="H31" s="350" t="str">
        <f>'Variation Register'!U36</f>
        <v>Company Site Inductions</v>
      </c>
      <c r="I31" s="350" t="str">
        <f>'Variation Register'!V36</f>
        <v>Company requires Contractor's personnel to complete onsite inductions in addition to Contract specified pre-mobilisation requirements</v>
      </c>
      <c r="J31" s="351">
        <f>'Variation Register'!AF36</f>
        <v>142783.79999999999</v>
      </c>
      <c r="K31" s="352" t="e">
        <f>'Variation Register'!#REF!</f>
        <v>#REF!</v>
      </c>
      <c r="L31" s="353" t="s">
        <v>74</v>
      </c>
    </row>
    <row r="32" spans="1:16" ht="45" x14ac:dyDescent="0.25">
      <c r="A32" s="347" t="str">
        <f>'Variation Register'!A38</f>
        <v>HCV-020</v>
      </c>
      <c r="B32" s="347" t="str">
        <f>+'Variation Register'!T38</f>
        <v>Company Site Instruction</v>
      </c>
      <c r="C32" s="347" t="str">
        <f>+'Variation Register'!B38</f>
        <v>VD-05</v>
      </c>
      <c r="D32" s="347" t="str">
        <f>'Variation Register'!C38</f>
        <v>009</v>
      </c>
      <c r="E32" s="348" t="str">
        <f>'Variation Register'!J38</f>
        <v>9641-C-83588-CFC-0095 
9641-C-83588-CFC-0144</v>
      </c>
      <c r="F32" s="348" t="str">
        <f>'Variation Register'!D38</f>
        <v>SI 009</v>
      </c>
      <c r="G32" s="349">
        <f>'Variation Register'!AC38</f>
        <v>43374</v>
      </c>
      <c r="H32" s="350" t="str">
        <f>'Variation Register'!U38</f>
        <v>Southern Diversion Drain</v>
      </c>
      <c r="I32" s="350" t="str">
        <f>'Variation Register'!V38</f>
        <v>Extend earthworks approx. 150m beyond battery limits for Southern Diversion Drain in MS4</v>
      </c>
      <c r="J32" s="351">
        <f>'Variation Register'!AF38</f>
        <v>382578</v>
      </c>
      <c r="K32" s="352" t="e">
        <f>'Variation Register'!#REF!</f>
        <v>#REF!</v>
      </c>
      <c r="L32" s="353" t="s">
        <v>74</v>
      </c>
    </row>
    <row r="33" spans="1:13" ht="22.5" x14ac:dyDescent="0.25">
      <c r="A33" s="347" t="str">
        <f>'Variation Register'!A39</f>
        <v>HCV-021</v>
      </c>
      <c r="B33" s="347" t="str">
        <f>+'Variation Register'!T39</f>
        <v>Company Site Instruction</v>
      </c>
      <c r="C33" s="347" t="str">
        <f>+'Variation Register'!B39</f>
        <v>VD-05</v>
      </c>
      <c r="D33" s="347" t="str">
        <f>'Variation Register'!C39</f>
        <v>006</v>
      </c>
      <c r="E33" s="348" t="str">
        <f>'Variation Register'!J39</f>
        <v>9641-C-83588-CFC-0111</v>
      </c>
      <c r="F33" s="348" t="str">
        <f>'Variation Register'!D39</f>
        <v>9641-C-83588-CTC-0152</v>
      </c>
      <c r="G33" s="349">
        <f>'Variation Register'!AC39</f>
        <v>43378</v>
      </c>
      <c r="H33" s="350" t="str">
        <f>'Variation Register'!U39</f>
        <v>Sign Board Batteries</v>
      </c>
      <c r="I33" s="350" t="str">
        <f>'Variation Register'!V39</f>
        <v>Company requested Contractor to provide replacement batteries to 8 no. sign boards</v>
      </c>
      <c r="J33" s="351">
        <f>'Variation Register'!AF39</f>
        <v>3192</v>
      </c>
      <c r="K33" s="352" t="e">
        <f>'Variation Register'!#REF!</f>
        <v>#REF!</v>
      </c>
      <c r="L33" s="353" t="s">
        <v>74</v>
      </c>
    </row>
    <row r="34" spans="1:13" ht="45" x14ac:dyDescent="0.25">
      <c r="A34" s="347" t="str">
        <f>'Variation Register'!A40</f>
        <v>HCV-022</v>
      </c>
      <c r="B34" s="347" t="str">
        <f>+'Variation Register'!T40</f>
        <v>Variation (Other than a Company Variation Direction)</v>
      </c>
      <c r="C34" s="347" t="str">
        <f>+'Variation Register'!B40</f>
        <v>VD-06</v>
      </c>
      <c r="D34" s="347">
        <f>'Variation Register'!C40</f>
        <v>45</v>
      </c>
      <c r="E34" s="348" t="str">
        <f>'Variation Register'!J40</f>
        <v>9641-C-83588-CFC-0100
9641-C-83588-CFC-0238</v>
      </c>
      <c r="F34" s="348" t="str">
        <f>'Variation Register'!D40</f>
        <v>9641-C-83588-CTC-0343
9641-C-83588-CTC-0363</v>
      </c>
      <c r="G34" s="349">
        <f>'Variation Register'!AC40</f>
        <v>43378</v>
      </c>
      <c r="H34" s="350" t="str">
        <f>'Variation Register'!U40</f>
        <v>Passing Valve Preventing Preparation of TK12 to TK301 Tie-in</v>
      </c>
      <c r="I34" s="350" t="str">
        <f>'Variation Register'!V40</f>
        <v>Passing valve is preventing Contractor from pressurising piping. The passing valve is a change to the Contract Scope of Work</v>
      </c>
      <c r="J34" s="351">
        <f>'Variation Register'!AF40</f>
        <v>24368.99</v>
      </c>
      <c r="K34" s="352" t="e">
        <f>'Variation Register'!#REF!</f>
        <v>#REF!</v>
      </c>
      <c r="L34" s="353" t="s">
        <v>74</v>
      </c>
    </row>
    <row r="35" spans="1:13" ht="22.5" x14ac:dyDescent="0.25">
      <c r="A35" s="347" t="str">
        <f>'Variation Register'!A41</f>
        <v>HCV-023</v>
      </c>
      <c r="B35" s="347" t="str">
        <f>+'Variation Register'!T41</f>
        <v>Company Site Instruction</v>
      </c>
      <c r="C35" s="347" t="str">
        <f>+'Variation Register'!B41</f>
        <v>VD-05</v>
      </c>
      <c r="D35" s="347" t="str">
        <f>'Variation Register'!C41</f>
        <v>011</v>
      </c>
      <c r="E35" s="348" t="str">
        <f>'Variation Register'!J41</f>
        <v>9641-C-83588-CFC-0214</v>
      </c>
      <c r="F35" s="348" t="str">
        <f>'Variation Register'!D41</f>
        <v>9641-C-83588-CTC-0171</v>
      </c>
      <c r="G35" s="349" t="str">
        <f>'Variation Register'!AC41</f>
        <v>SI - 011</v>
      </c>
      <c r="H35" s="350" t="str">
        <f>'Variation Register'!U41</f>
        <v>Remove Bio-max Tanks</v>
      </c>
      <c r="I35" s="350" t="str">
        <f>'Variation Register'!V41</f>
        <v>Remove Bio-max Tanks</v>
      </c>
      <c r="J35" s="351">
        <f>'Variation Register'!AF41</f>
        <v>19307.669999999998</v>
      </c>
      <c r="K35" s="352" t="e">
        <f>'Variation Register'!#REF!</f>
        <v>#REF!</v>
      </c>
      <c r="L35" s="353" t="s">
        <v>74</v>
      </c>
    </row>
    <row r="36" spans="1:13" ht="67.5" x14ac:dyDescent="0.25">
      <c r="A36" s="347" t="str">
        <f>'Variation Register'!A42</f>
        <v>LC-002</v>
      </c>
      <c r="B36" s="347" t="str">
        <f>+'Variation Register'!T42</f>
        <v>Contract Adjustment (SOR Qty Change)</v>
      </c>
      <c r="C36" s="347" t="str">
        <f>+'Variation Register'!B42</f>
        <v>TBA</v>
      </c>
      <c r="D36" s="347">
        <f>'Variation Register'!C42</f>
        <v>0</v>
      </c>
      <c r="E36" s="348" t="str">
        <f>'Variation Register'!J42</f>
        <v>9641-C-83588-CFC-0110
9641-C-83588-CFC-0173
9641-C-83588-CFC-0354</v>
      </c>
      <c r="F36" s="348" t="str">
        <f>'Variation Register'!D42</f>
        <v>9641-C-83588-CTC-0239
9641-C-83588-CTC-0379</v>
      </c>
      <c r="G36" s="349">
        <f>'Variation Register'!AC42</f>
        <v>43392</v>
      </c>
      <c r="H36" s="350" t="str">
        <f>'Variation Register'!U42</f>
        <v>Conditions Encountered in Relation to the Location and Extent of Rock</v>
      </c>
      <c r="I36" s="350" t="str">
        <f>'Variation Register'!V42</f>
        <v>Rock Excavation MS1 &amp; MS2</v>
      </c>
      <c r="J36" s="351">
        <f>'Variation Register'!AF42</f>
        <v>4473127.6900000004</v>
      </c>
      <c r="K36" s="352" t="e">
        <f>'Variation Register'!#REF!</f>
        <v>#REF!</v>
      </c>
      <c r="L36" s="353" t="s">
        <v>74</v>
      </c>
    </row>
    <row r="37" spans="1:13" ht="45" x14ac:dyDescent="0.25">
      <c r="A37" s="347" t="str">
        <f>'Variation Register'!A43</f>
        <v>HCV-024</v>
      </c>
      <c r="B37" s="347" t="str">
        <f>+'Variation Register'!T43</f>
        <v>Company Site Instruction</v>
      </c>
      <c r="C37" s="347" t="str">
        <f>+'Variation Register'!B43</f>
        <v>VD-05</v>
      </c>
      <c r="D37" s="347" t="str">
        <f>'Variation Register'!C43</f>
        <v>012</v>
      </c>
      <c r="E37" s="348" t="str">
        <f>'Variation Register'!J43</f>
        <v>9641-C-83588-CFC-0118
9641-C-83588-CFC-0214</v>
      </c>
      <c r="F37" s="348" t="str">
        <f>'Variation Register'!D43</f>
        <v>9641-C-83588-CTC-0174</v>
      </c>
      <c r="G37" s="349" t="str">
        <f>'Variation Register'!AC43</f>
        <v>SI 012</v>
      </c>
      <c r="H37" s="350" t="str">
        <f>'Variation Register'!U43</f>
        <v>Rail Contractors Laydown - Office Footprint Area</v>
      </c>
      <c r="I37" s="350" t="str">
        <f>'Variation Register'!V43</f>
        <v>Rail Contractors Laydown - Office Footprint Area</v>
      </c>
      <c r="J37" s="351">
        <f>'Variation Register'!AF43</f>
        <v>22164.880000000001</v>
      </c>
      <c r="K37" s="352" t="e">
        <f>'Variation Register'!#REF!</f>
        <v>#REF!</v>
      </c>
      <c r="L37" s="353" t="s">
        <v>74</v>
      </c>
    </row>
    <row r="38" spans="1:13" ht="22.5" x14ac:dyDescent="0.25">
      <c r="A38" s="347" t="str">
        <f>'Variation Register'!A45</f>
        <v>HCV-026</v>
      </c>
      <c r="B38" s="347" t="str">
        <f>+'Variation Register'!T45</f>
        <v>Company Site Instruction</v>
      </c>
      <c r="C38" s="347" t="str">
        <f>+'Variation Register'!B45</f>
        <v>VD-05</v>
      </c>
      <c r="D38" s="347" t="str">
        <f>'Variation Register'!C45</f>
        <v>013</v>
      </c>
      <c r="E38" s="348">
        <f>'Variation Register'!J45</f>
        <v>0</v>
      </c>
      <c r="F38" s="348" t="str">
        <f>'Variation Register'!D45</f>
        <v>9641-C-83588-CTC-0175</v>
      </c>
      <c r="G38" s="349" t="str">
        <f>'Variation Register'!AC45</f>
        <v>SI 013</v>
      </c>
      <c r="H38" s="350" t="str">
        <f>'Variation Register'!U45</f>
        <v>Relocate Miscellaneous Operations Equipment</v>
      </c>
      <c r="I38" s="350" t="str">
        <f>'Variation Register'!V45</f>
        <v>Relocate Miscellaneous Operations Equipment</v>
      </c>
      <c r="J38" s="351">
        <f>'Variation Register'!AF45</f>
        <v>14257.47</v>
      </c>
      <c r="K38" s="352" t="e">
        <f>'Variation Register'!#REF!</f>
        <v>#REF!</v>
      </c>
      <c r="L38" s="353" t="s">
        <v>74</v>
      </c>
    </row>
    <row r="39" spans="1:13" ht="22.5" x14ac:dyDescent="0.25">
      <c r="A39" s="347" t="str">
        <f>'Variation Register'!A46</f>
        <v>HCV-027</v>
      </c>
      <c r="B39" s="347" t="str">
        <f>+'Variation Register'!T46</f>
        <v>Company Site Instruction</v>
      </c>
      <c r="C39" s="347" t="str">
        <f>+'Variation Register'!B46</f>
        <v>VD-05</v>
      </c>
      <c r="D39" s="347" t="str">
        <f>'Variation Register'!C46</f>
        <v>014</v>
      </c>
      <c r="E39" s="348" t="str">
        <f>'Variation Register'!J46</f>
        <v>9641-C-83588-CFC-0214</v>
      </c>
      <c r="F39" s="348" t="str">
        <f>'Variation Register'!D46</f>
        <v>9641-C-83588-CTC-0184</v>
      </c>
      <c r="G39" s="349" t="str">
        <f>'Variation Register'!AC46</f>
        <v>SI 014</v>
      </c>
      <c r="H39" s="350" t="str">
        <f>'Variation Register'!U46</f>
        <v>Relocate Company equipment obstructing SME Haul Road design footprint</v>
      </c>
      <c r="I39" s="350" t="str">
        <f>'Variation Register'!V46</f>
        <v>Relocate Company equipment obstructing SME Haul Road design footprint</v>
      </c>
      <c r="J39" s="351">
        <f>'Variation Register'!AF46</f>
        <v>7097.3</v>
      </c>
      <c r="K39" s="352" t="e">
        <f>'Variation Register'!#REF!</f>
        <v>#REF!</v>
      </c>
      <c r="L39" s="353" t="s">
        <v>74</v>
      </c>
    </row>
    <row r="40" spans="1:13" ht="22.5" x14ac:dyDescent="0.25">
      <c r="A40" s="347" t="str">
        <f>'Variation Register'!A47</f>
        <v>HCV-028</v>
      </c>
      <c r="B40" s="347" t="str">
        <f>+'Variation Register'!T47</f>
        <v>Variation (Other than a Company Variation Direction)</v>
      </c>
      <c r="C40" s="347" t="str">
        <f>+'Variation Register'!B47</f>
        <v>TBA</v>
      </c>
      <c r="D40" s="347">
        <f>'Variation Register'!C47</f>
        <v>0</v>
      </c>
      <c r="E40" s="348" t="str">
        <f>'Variation Register'!J47</f>
        <v>9641-C-83588-CFC-0127</v>
      </c>
      <c r="F40" s="348" t="str">
        <f>'Variation Register'!D47</f>
        <v>9641-C-83588-CTC-0412</v>
      </c>
      <c r="G40" s="349">
        <f>'Variation Register'!AC47</f>
        <v>43397</v>
      </c>
      <c r="H40" s="350" t="str">
        <f>'Variation Register'!U47</f>
        <v>Design Changes in Reclaimer RC02</v>
      </c>
      <c r="I40" s="350" t="str">
        <f>'Variation Register'!V47</f>
        <v>Advance issue IFC drawings (upon review by Contractor) indicate changes to Work relating to sole plates, rubber pads, grout pads and additional rail anchors</v>
      </c>
      <c r="J40" s="351">
        <f>'Variation Register'!AF47</f>
        <v>0</v>
      </c>
      <c r="K40" s="352" t="e">
        <f>'Variation Register'!#REF!</f>
        <v>#REF!</v>
      </c>
      <c r="L40" s="353" t="s">
        <v>74</v>
      </c>
    </row>
    <row r="41" spans="1:13" ht="22.5" x14ac:dyDescent="0.25">
      <c r="A41" s="347" t="str">
        <f>'Variation Register'!A48</f>
        <v>HCV-029</v>
      </c>
      <c r="B41" s="347" t="str">
        <f>+'Variation Register'!T48</f>
        <v>Variation (Other than a Company Variation Direction)</v>
      </c>
      <c r="C41" s="347" t="str">
        <f>+'Variation Register'!B48</f>
        <v>VD-07 &amp; VD-08</v>
      </c>
      <c r="D41" s="347">
        <f>'Variation Register'!C48</f>
        <v>0</v>
      </c>
      <c r="E41" s="348" t="str">
        <f>'Variation Register'!J48</f>
        <v>9641-C-83588-CFC-0140</v>
      </c>
      <c r="F41" s="348" t="str">
        <f>'Variation Register'!D48</f>
        <v>9641-C-83588-CTC-0565</v>
      </c>
      <c r="G41" s="349">
        <f>'Variation Register'!AC48</f>
        <v>43439</v>
      </c>
      <c r="H41" s="350" t="str">
        <f>'Variation Register'!U48</f>
        <v>Change to Construction Water off-take location</v>
      </c>
      <c r="I41" s="350" t="str">
        <f>'Variation Register'!V48</f>
        <v>Works required to change construction water piping from previous installed temporary off-take location to new/contracted take-off location</v>
      </c>
      <c r="J41" s="351">
        <f>'Variation Register'!AF48</f>
        <v>76527.365000000005</v>
      </c>
      <c r="K41" s="352" t="e">
        <f>'Variation Register'!#REF!</f>
        <v>#REF!</v>
      </c>
      <c r="L41" s="353" t="s">
        <v>74</v>
      </c>
    </row>
    <row r="42" spans="1:13" ht="22.5" x14ac:dyDescent="0.25">
      <c r="A42" s="347" t="str">
        <f>'Variation Register'!A49</f>
        <v>HCV-031</v>
      </c>
      <c r="B42" s="347" t="str">
        <f>+'Variation Register'!T49</f>
        <v>Variation (Other than a Company Variation Direction)</v>
      </c>
      <c r="C42" s="347" t="str">
        <f>+'Variation Register'!B49</f>
        <v>TBA</v>
      </c>
      <c r="D42" s="347">
        <f>'Variation Register'!C49</f>
        <v>0</v>
      </c>
      <c r="E42" s="348" t="str">
        <f>'Variation Register'!J49</f>
        <v>9641-C-83588-CFC-0138</v>
      </c>
      <c r="F42" s="348" t="str">
        <f>'Variation Register'!D49</f>
        <v>9641-C-83588-CTC-0412</v>
      </c>
      <c r="G42" s="349">
        <f>'Variation Register'!AC49</f>
        <v>43413</v>
      </c>
      <c r="H42" s="350" t="str">
        <f>'Variation Register'!U49</f>
        <v>Design changes in Conveyor CV484</v>
      </c>
      <c r="I42" s="350" t="str">
        <f>'Variation Register'!V49</f>
        <v>Transmitted drawings for Conveyor CV484 indicates changes to steel embedment's and conduit</v>
      </c>
      <c r="J42" s="351">
        <f>'Variation Register'!AF49</f>
        <v>0</v>
      </c>
      <c r="K42" s="352" t="e">
        <f>'Variation Register'!#REF!</f>
        <v>#REF!</v>
      </c>
      <c r="L42" s="353" t="s">
        <v>74</v>
      </c>
    </row>
    <row r="43" spans="1:13" ht="22.5" x14ac:dyDescent="0.25">
      <c r="A43" s="347" t="str">
        <f>'Variation Register'!A52</f>
        <v>HCV-033</v>
      </c>
      <c r="B43" s="347" t="str">
        <f>+'Variation Register'!T52</f>
        <v>Company Site Instruction</v>
      </c>
      <c r="C43" s="347" t="str">
        <f>+'Variation Register'!B52</f>
        <v>VD-05</v>
      </c>
      <c r="D43" s="347">
        <f>'Variation Register'!C52</f>
        <v>24</v>
      </c>
      <c r="E43" s="348" t="str">
        <f>'Variation Register'!J52</f>
        <v>9641-C-83588-CFC-0155</v>
      </c>
      <c r="F43" s="348">
        <f>'Variation Register'!D52</f>
        <v>0</v>
      </c>
      <c r="G43" s="349">
        <f>'Variation Register'!AC52</f>
        <v>43427</v>
      </c>
      <c r="H43" s="350" t="str">
        <f>'Variation Register'!U52</f>
        <v>Rework due to Design error - Milestone 1</v>
      </c>
      <c r="I43" s="350" t="str">
        <f>'Variation Register'!V52</f>
        <v>Defective design has resulted on Contractor reworking the crown of the rail access road in Milestone 1</v>
      </c>
      <c r="J43" s="351">
        <f>'Variation Register'!AF52</f>
        <v>13125.77</v>
      </c>
      <c r="K43" s="352" t="e">
        <f>'Variation Register'!#REF!</f>
        <v>#REF!</v>
      </c>
      <c r="L43" s="353" t="s">
        <v>74</v>
      </c>
      <c r="M43" s="330" t="s">
        <v>502</v>
      </c>
    </row>
    <row r="44" spans="1:13" ht="33.75" x14ac:dyDescent="0.25">
      <c r="A44" s="347" t="str">
        <f>'Variation Register'!A53</f>
        <v>HCV-035</v>
      </c>
      <c r="B44" s="347" t="str">
        <f>+'Variation Register'!T53</f>
        <v>Variation (Other than a Company Variation Direction)</v>
      </c>
      <c r="C44" s="347" t="str">
        <f>+'Variation Register'!B53</f>
        <v>VD-05</v>
      </c>
      <c r="D44" s="347">
        <f>'Variation Register'!C53</f>
        <v>0</v>
      </c>
      <c r="E44" s="348" t="str">
        <f>'Variation Register'!J53</f>
        <v>9641-C-83588-CFC-0150</v>
      </c>
      <c r="F44" s="348">
        <f>'Variation Register'!D53</f>
        <v>0</v>
      </c>
      <c r="G44" s="349">
        <f>'Variation Register'!AC53</f>
        <v>43424</v>
      </c>
      <c r="H44" s="350" t="str">
        <f>'Variation Register'!U53</f>
        <v>Flooding Caused by Company’s Operations Dewatering Discharge – Milestone 4</v>
      </c>
      <c r="I44" s="350" t="str">
        <f>'Variation Register'!V53</f>
        <v>Company's dewatering discharges into Contractor's work under Contract in MS4 causing flooding and preventing Contractor from performing construction activities in accordance with the ACP</v>
      </c>
      <c r="J44" s="351">
        <f>'Variation Register'!AF53</f>
        <v>79234.460000000006</v>
      </c>
      <c r="K44" s="352" t="e">
        <f>'Variation Register'!#REF!</f>
        <v>#REF!</v>
      </c>
      <c r="L44" s="353" t="s">
        <v>74</v>
      </c>
      <c r="M44" s="330" t="s">
        <v>502</v>
      </c>
    </row>
    <row r="45" spans="1:13" ht="45" x14ac:dyDescent="0.25">
      <c r="A45" s="347" t="str">
        <f>'Variation Register'!A56</f>
        <v>HCV-037</v>
      </c>
      <c r="B45" s="347" t="str">
        <f>+'Variation Register'!T56</f>
        <v>Company Site Instruction</v>
      </c>
      <c r="C45" s="347" t="str">
        <f>+'Variation Register'!B56</f>
        <v>VD-06</v>
      </c>
      <c r="D45" s="347" t="str">
        <f>'Variation Register'!C56</f>
        <v>019</v>
      </c>
      <c r="E45" s="348" t="str">
        <f>'Variation Register'!J56</f>
        <v>9641-C-83588-CFC-0257
Email 20/3/2019</v>
      </c>
      <c r="F45" s="348" t="str">
        <f>'Variation Register'!D56</f>
        <v>9641-C-83588-CTC-0219
9641-C-83588-CTC-0364</v>
      </c>
      <c r="G45" s="349" t="str">
        <f>'Variation Register'!AC56</f>
        <v>SI019</v>
      </c>
      <c r="H45" s="350" t="str">
        <f>'Variation Register'!U56</f>
        <v>Shared Road Maintenance</v>
      </c>
      <c r="I45" s="350" t="str">
        <f>'Variation Register'!V56</f>
        <v>Maintenance Shared Roads</v>
      </c>
      <c r="J45" s="351">
        <f>'Variation Register'!AF56</f>
        <v>19820</v>
      </c>
      <c r="K45" s="352" t="e">
        <f>'Variation Register'!#REF!</f>
        <v>#REF!</v>
      </c>
      <c r="L45" s="353" t="s">
        <v>74</v>
      </c>
      <c r="M45" s="330" t="s">
        <v>502</v>
      </c>
    </row>
    <row r="46" spans="1:13" ht="45" x14ac:dyDescent="0.25">
      <c r="A46" s="347" t="str">
        <f>'Variation Register'!A57</f>
        <v>HCV-038</v>
      </c>
      <c r="B46" s="347" t="str">
        <f>+'Variation Register'!T57</f>
        <v>Company Site Instruction</v>
      </c>
      <c r="C46" s="347" t="str">
        <f>+'Variation Register'!B57</f>
        <v>VD-08</v>
      </c>
      <c r="D46" s="347" t="str">
        <f>'Variation Register'!C57</f>
        <v>021</v>
      </c>
      <c r="E46" s="348" t="str">
        <f>'Variation Register'!J57</f>
        <v>9641-C-83588-CFC-0379</v>
      </c>
      <c r="F46" s="348" t="str">
        <f>'Variation Register'!D57</f>
        <v>9641-C-83588-CTC-0233
9641-C-83588-CTC-0507</v>
      </c>
      <c r="G46" s="349" t="str">
        <f>'Variation Register'!AC57</f>
        <v>SI021</v>
      </c>
      <c r="H46" s="350" t="str">
        <f>'Variation Register'!U57</f>
        <v>Dump Waste Disposal</v>
      </c>
      <c r="I46" s="350" t="str">
        <f>'Variation Register'!V57</f>
        <v>Company has directed Contractor to:
Excavate and dispose approx. 300m3 of waste material from drain in MS20 &amp; M24.</v>
      </c>
      <c r="J46" s="351">
        <f>'Variation Register'!AF57</f>
        <v>4279.6400000000003</v>
      </c>
      <c r="K46" s="352" t="e">
        <f>'Variation Register'!#REF!</f>
        <v>#REF!</v>
      </c>
      <c r="L46" s="353" t="s">
        <v>74</v>
      </c>
      <c r="M46" s="330" t="s">
        <v>502</v>
      </c>
    </row>
    <row r="47" spans="1:13" ht="45" x14ac:dyDescent="0.25">
      <c r="A47" s="347" t="str">
        <f>'Variation Register'!A58</f>
        <v>HCV-039</v>
      </c>
      <c r="B47" s="347" t="str">
        <f>+'Variation Register'!T58</f>
        <v>Variation (Other than a Company Variation Direction)</v>
      </c>
      <c r="C47" s="347" t="str">
        <f>+'Variation Register'!B58</f>
        <v>VD-08 &amp; VD-011</v>
      </c>
      <c r="D47" s="347">
        <f>'Variation Register'!C58</f>
        <v>0</v>
      </c>
      <c r="E47" s="348" t="str">
        <f>'Variation Register'!J58</f>
        <v>9641-C-83588-CFC-0166
9641-C-83588-CFC-0233</v>
      </c>
      <c r="F47" s="348" t="str">
        <f>'Variation Register'!D58</f>
        <v>9641-C-83588-CTC-0265</v>
      </c>
      <c r="G47" s="349">
        <f>'Variation Register'!AC58</f>
        <v>43444</v>
      </c>
      <c r="H47" s="350" t="str">
        <f>'Variation Register'!U58</f>
        <v>Southern Diversion Drain - Additional Works</v>
      </c>
      <c r="I47" s="350" t="str">
        <f>'Variation Register'!V58</f>
        <v>By side casting the excavated material OPS have increased the complexity to excavate the spoil from the flow drain and then create and trim the batters. 
In addition to this, Contractor has additional works to rework the batters to OSA design.</v>
      </c>
      <c r="J47" s="351">
        <f>'Variation Register'!AF58</f>
        <v>20987.1</v>
      </c>
      <c r="K47" s="352" t="e">
        <f>'Variation Register'!#REF!</f>
        <v>#REF!</v>
      </c>
      <c r="L47" s="353" t="s">
        <v>74</v>
      </c>
      <c r="M47" s="330" t="s">
        <v>502</v>
      </c>
    </row>
    <row r="48" spans="1:13" ht="45" x14ac:dyDescent="0.25">
      <c r="A48" s="347" t="str">
        <f>'Variation Register'!A59</f>
        <v>HCV-040</v>
      </c>
      <c r="B48" s="347" t="str">
        <f>+'Variation Register'!T59</f>
        <v>Variation (Other than a Company Variation Direction)</v>
      </c>
      <c r="C48" s="347" t="str">
        <f>+'Variation Register'!B59</f>
        <v>VD-06</v>
      </c>
      <c r="D48" s="347">
        <f>'Variation Register'!C59</f>
        <v>33</v>
      </c>
      <c r="E48" s="348" t="str">
        <f>'Variation Register'!J59</f>
        <v>9641-C-83588-CFC-0174
9641-C-83588-CFC-0331</v>
      </c>
      <c r="F48" s="348" t="str">
        <f>'Variation Register'!D59</f>
        <v>9641-C-83588-CTC-0407</v>
      </c>
      <c r="G48" s="349">
        <f>'Variation Register'!AC59</f>
        <v>43447</v>
      </c>
      <c r="H48" s="350" t="str">
        <f>'Variation Register'!U59</f>
        <v>Installation of Netting Beneath Conveyor MC315 over Culvert C21</v>
      </c>
      <c r="I48" s="350" t="str">
        <f>'Variation Register'!V59</f>
        <v>Company has directed Contractor to install netting beneath the MC315 Conveyor at the section over Culvert 21.</v>
      </c>
      <c r="J48" s="351">
        <f>'Variation Register'!AF59</f>
        <v>6055.56</v>
      </c>
      <c r="K48" s="352" t="e">
        <f>'Variation Register'!#REF!</f>
        <v>#REF!</v>
      </c>
      <c r="L48" s="353" t="s">
        <v>74</v>
      </c>
      <c r="M48" s="330" t="s">
        <v>502</v>
      </c>
    </row>
    <row r="49" spans="1:13" ht="22.5" x14ac:dyDescent="0.25">
      <c r="A49" s="347" t="str">
        <f>'Variation Register'!A60</f>
        <v>HCV-041</v>
      </c>
      <c r="B49" s="347" t="str">
        <f>+'Variation Register'!T60</f>
        <v>Variation (Other than a Company Variation Direction)</v>
      </c>
      <c r="C49" s="347" t="str">
        <f>+'Variation Register'!B60</f>
        <v>VD-05</v>
      </c>
      <c r="D49" s="347">
        <f>'Variation Register'!C60</f>
        <v>0</v>
      </c>
      <c r="E49" s="348" t="str">
        <f>'Variation Register'!J60</f>
        <v>9641-C-83588-CFC-0175</v>
      </c>
      <c r="F49" s="348">
        <f>'Variation Register'!D60</f>
        <v>0</v>
      </c>
      <c r="G49" s="349">
        <f>'Variation Register'!AC60</f>
        <v>43447</v>
      </c>
      <c r="H49" s="350" t="str">
        <f>'Variation Register'!U60</f>
        <v xml:space="preserve">Alternative Accommodation - Personnel at Kurra Village </v>
      </c>
      <c r="I49" s="350" t="str">
        <f>'Variation Register'!V60</f>
        <v>Company has directed Contractor to send some of its personnel to Kurra Village</v>
      </c>
      <c r="J49" s="351">
        <f>'Variation Register'!AF60</f>
        <v>1046.4000000000001</v>
      </c>
      <c r="K49" s="352" t="e">
        <f>'Variation Register'!#REF!</f>
        <v>#REF!</v>
      </c>
      <c r="L49" s="353" t="s">
        <v>74</v>
      </c>
      <c r="M49" s="330" t="s">
        <v>502</v>
      </c>
    </row>
    <row r="50" spans="1:13" ht="33.75" x14ac:dyDescent="0.25">
      <c r="A50" s="347" t="str">
        <f>'Variation Register'!A62</f>
        <v>HCV-042</v>
      </c>
      <c r="B50" s="347" t="str">
        <f>+'Variation Register'!T62</f>
        <v>Company Site Instruction</v>
      </c>
      <c r="C50" s="347" t="str">
        <f>+'Variation Register'!B62</f>
        <v>VD-06</v>
      </c>
      <c r="D50" s="347">
        <f>'Variation Register'!C62</f>
        <v>22</v>
      </c>
      <c r="E50" s="348" t="str">
        <f>'Variation Register'!J62</f>
        <v>9641-C-83588-CFC-0208
Email 2019/03/17</v>
      </c>
      <c r="F50" s="348" t="str">
        <f>'Variation Register'!D62</f>
        <v>9641-C-83588-CTC-0250</v>
      </c>
      <c r="G50" s="349" t="str">
        <f>'Variation Register'!AC62</f>
        <v>SI022</v>
      </c>
      <c r="H50" s="350" t="str">
        <f>'Variation Register'!U62</f>
        <v>Expose Subsurface void</v>
      </c>
      <c r="I50" s="350" t="str">
        <f>'Variation Register'!V62</f>
        <v>Company has directed Contractor to excavate the void exposed in MS02 to establish the extent of the void</v>
      </c>
      <c r="J50" s="351">
        <f>'Variation Register'!AF62</f>
        <v>0</v>
      </c>
      <c r="K50" s="352" t="e">
        <f>'Variation Register'!#REF!</f>
        <v>#REF!</v>
      </c>
      <c r="L50" s="353" t="s">
        <v>74</v>
      </c>
      <c r="M50" s="330" t="s">
        <v>502</v>
      </c>
    </row>
    <row r="51" spans="1:13" ht="22.5" x14ac:dyDescent="0.25">
      <c r="A51" s="347" t="str">
        <f>'Variation Register'!A63</f>
        <v>HCV-042 (2)</v>
      </c>
      <c r="B51" s="347" t="str">
        <f>+'Variation Register'!T63</f>
        <v>Company Site Instruction</v>
      </c>
      <c r="C51" s="347" t="str">
        <f>+'Variation Register'!B63</f>
        <v>VD-05</v>
      </c>
      <c r="D51" s="347">
        <f>'Variation Register'!C63</f>
        <v>23</v>
      </c>
      <c r="E51" s="348" t="str">
        <f>'Variation Register'!J63</f>
        <v>9641-C-83588-CFC-0208</v>
      </c>
      <c r="F51" s="348" t="str">
        <f>'Variation Register'!D63</f>
        <v>9641-C-83588-CTC-0327</v>
      </c>
      <c r="G51" s="349" t="str">
        <f>'Variation Register'!AC63</f>
        <v>SI023</v>
      </c>
      <c r="H51" s="350" t="str">
        <f>'Variation Register'!U63</f>
        <v>GPR Survey in MS02</v>
      </c>
      <c r="I51" s="350" t="str">
        <f>'Variation Register'!V63</f>
        <v xml:space="preserve">Company has directed Contractor to carry out GPR Survey </v>
      </c>
      <c r="J51" s="351">
        <f>'Variation Register'!AF63</f>
        <v>19441</v>
      </c>
      <c r="K51" s="352" t="e">
        <f>'Variation Register'!#REF!</f>
        <v>#REF!</v>
      </c>
      <c r="L51" s="353" t="s">
        <v>74</v>
      </c>
      <c r="M51" s="330" t="s">
        <v>502</v>
      </c>
    </row>
    <row r="52" spans="1:13" ht="67.5" x14ac:dyDescent="0.25">
      <c r="A52" s="347" t="str">
        <f>'Variation Register'!A64</f>
        <v>HCV-042a</v>
      </c>
      <c r="B52" s="347" t="str">
        <f>+'Variation Register'!T64</f>
        <v>Variation (Other than a Company Variation Direction)</v>
      </c>
      <c r="C52" s="347" t="str">
        <f>+'Variation Register'!B64</f>
        <v>VD-06</v>
      </c>
      <c r="D52" s="347">
        <f>'Variation Register'!C64</f>
        <v>0</v>
      </c>
      <c r="E52" s="348" t="str">
        <f>'Variation Register'!J64</f>
        <v>9641-C-83588-CFC-0265
Email 2019/03/17</v>
      </c>
      <c r="F52" s="348" t="str">
        <f>'Variation Register'!D64</f>
        <v>BHPSFP-MEMO-019473
9641-C-83588-CTC-0362
9641-C-83588-CTC-0323</v>
      </c>
      <c r="G52" s="349" t="str">
        <f>'Variation Register'!AC64</f>
        <v>MEMO-019473</v>
      </c>
      <c r="H52" s="350" t="str">
        <f>'Variation Register'!U64</f>
        <v>Excavate and Backfill Subsurface void</v>
      </c>
      <c r="I52" s="350" t="str">
        <f>'Variation Register'!V64</f>
        <v>Company has directed Contractor to excavate and backfill the subsurface void.</v>
      </c>
      <c r="J52" s="351">
        <f>'Variation Register'!AF64</f>
        <v>172984.67</v>
      </c>
      <c r="K52" s="352" t="e">
        <f>'Variation Register'!#REF!</f>
        <v>#REF!</v>
      </c>
      <c r="L52" s="353" t="s">
        <v>74</v>
      </c>
      <c r="M52" s="330" t="s">
        <v>502</v>
      </c>
    </row>
    <row r="53" spans="1:13" ht="22.5" x14ac:dyDescent="0.25">
      <c r="A53" s="347" t="str">
        <f>'Variation Register'!A65</f>
        <v>HCV-043</v>
      </c>
      <c r="B53" s="347" t="str">
        <f>+'Variation Register'!T65</f>
        <v>Variation (Other than a Company Variation Direction)</v>
      </c>
      <c r="C53" s="347" t="str">
        <f>+'Variation Register'!B65</f>
        <v>VD-05</v>
      </c>
      <c r="D53" s="347">
        <f>'Variation Register'!C65</f>
        <v>0</v>
      </c>
      <c r="E53" s="348" t="str">
        <f>'Variation Register'!J65</f>
        <v>9641-C-83588-CFC-0187</v>
      </c>
      <c r="F53" s="348" t="str">
        <f>'Variation Register'!D65</f>
        <v>9641-C-83588-CTC-0253</v>
      </c>
      <c r="G53" s="349">
        <f>'Variation Register'!AC65</f>
        <v>43454</v>
      </c>
      <c r="H53" s="350" t="str">
        <f>'Variation Register'!U65</f>
        <v>Deletion of Culvert MAC-C68A</v>
      </c>
      <c r="I53" s="350" t="str">
        <f>'Variation Register'!V65</f>
        <v>Company has advised Contractor that culvert MAC-C68A is not required to be installed. Contractor to recoup procurement costs.</v>
      </c>
      <c r="J53" s="351">
        <f>'Variation Register'!AF65</f>
        <v>28055.02</v>
      </c>
      <c r="K53" s="352" t="e">
        <f>'Variation Register'!#REF!</f>
        <v>#REF!</v>
      </c>
      <c r="L53" s="353" t="s">
        <v>74</v>
      </c>
      <c r="M53" s="330" t="s">
        <v>502</v>
      </c>
    </row>
    <row r="54" spans="1:13" ht="67.5" x14ac:dyDescent="0.25">
      <c r="A54" s="347" t="str">
        <f>'Variation Register'!A69</f>
        <v>HCV-047</v>
      </c>
      <c r="B54" s="347" t="str">
        <f>+'Variation Register'!T69</f>
        <v>Variation (Other than a Company Variation Direction)</v>
      </c>
      <c r="C54" s="347" t="str">
        <f>+'Variation Register'!B69</f>
        <v>TBA</v>
      </c>
      <c r="D54" s="347">
        <f>'Variation Register'!C69</f>
        <v>0</v>
      </c>
      <c r="E54" s="348" t="str">
        <f>'Variation Register'!J69</f>
        <v>9641-C-83588-CFC-0225
9641-C-83588-CFC-0245
9641-C-83588-CFC-0308</v>
      </c>
      <c r="F54" s="348" t="str">
        <f>'Variation Register'!D69</f>
        <v>9641-C-83588-CTC-0296
9641-C-83588-CTC-0318
9641-C-83588-CTC-0507</v>
      </c>
      <c r="G54" s="349">
        <f>'Variation Register'!AC69</f>
        <v>43487</v>
      </c>
      <c r="H54" s="350" t="str">
        <f>'Variation Register'!U69</f>
        <v>Culvert Bedding</v>
      </c>
      <c r="I54" s="350" t="str">
        <f>'Variation Register'!V69</f>
        <v>Company has direct Contractor to install additional bedding underneath piping culverts</v>
      </c>
      <c r="J54" s="351">
        <f>'Variation Register'!AF69</f>
        <v>73299.02</v>
      </c>
      <c r="K54" s="352" t="e">
        <f>'Variation Register'!#REF!</f>
        <v>#REF!</v>
      </c>
      <c r="L54" s="353" t="s">
        <v>74</v>
      </c>
      <c r="M54" s="330" t="s">
        <v>502</v>
      </c>
    </row>
    <row r="55" spans="1:13" ht="45" x14ac:dyDescent="0.25">
      <c r="A55" s="347" t="str">
        <f>'Variation Register'!A71</f>
        <v>HCV-048</v>
      </c>
      <c r="B55" s="347" t="str">
        <f>+'Variation Register'!T71</f>
        <v>Company Site Instruction</v>
      </c>
      <c r="C55" s="347" t="str">
        <f>+'Variation Register'!B71</f>
        <v>VD-05</v>
      </c>
      <c r="D55" s="347">
        <f>'Variation Register'!C71</f>
        <v>35</v>
      </c>
      <c r="E55" s="348" t="str">
        <f>'Variation Register'!J71</f>
        <v>9641-C-83588-CFC-0206
9641-C-83588-CFC-0235</v>
      </c>
      <c r="F55" s="348" t="str">
        <f>'Variation Register'!D71</f>
        <v>9641-C-83588-CTC-0299</v>
      </c>
      <c r="G55" s="349">
        <f>'Variation Register'!AC71</f>
        <v>43481</v>
      </c>
      <c r="H55" s="350" t="str">
        <f>'Variation Register'!U71</f>
        <v>Capping of Monitoring Bores HGC0035V &amp; HGC00046V</v>
      </c>
      <c r="I55" s="350" t="str">
        <f>'Variation Register'!V71</f>
        <v>Company has directed Contractor to decommission monitoring bores HGC0035V and HGC00046V.</v>
      </c>
      <c r="J55" s="351">
        <f>'Variation Register'!AF71</f>
        <v>6093.72</v>
      </c>
      <c r="K55" s="352" t="e">
        <f>'Variation Register'!#REF!</f>
        <v>#REF!</v>
      </c>
      <c r="L55" s="353" t="s">
        <v>74</v>
      </c>
      <c r="M55" s="330"/>
    </row>
    <row r="56" spans="1:13" ht="33.75" x14ac:dyDescent="0.25">
      <c r="A56" s="347" t="str">
        <f>'Variation Register'!A73</f>
        <v>HCV-050</v>
      </c>
      <c r="B56" s="347" t="str">
        <f>+'Variation Register'!T73</f>
        <v>Contract Adjustment (SOR Qty Change)</v>
      </c>
      <c r="C56" s="347" t="str">
        <f>+'Variation Register'!B73</f>
        <v>VD-16</v>
      </c>
      <c r="D56" s="347">
        <f>'Variation Register'!C73</f>
        <v>0</v>
      </c>
      <c r="E56" s="348" t="str">
        <f>'Variation Register'!J73</f>
        <v>9641-C-83588-CFC-0726</v>
      </c>
      <c r="F56" s="348" t="str">
        <f>'Variation Register'!D73</f>
        <v>9641-C-83588-CTC-1014</v>
      </c>
      <c r="G56" s="349">
        <f>'Variation Register'!AC73</f>
        <v>43479</v>
      </c>
      <c r="H56" s="350" t="str">
        <f>'Variation Register'!U73</f>
        <v xml:space="preserve">Design changes in Scalping Screening Building BG440 and Product Screening Building BG460 </v>
      </c>
      <c r="I56" s="350" t="str">
        <f>'Variation Register'!V73</f>
        <v>Advance issue IFC drawings (upon review by Contractor) indicate changes to anchor bolts</v>
      </c>
      <c r="J56" s="351">
        <f>'Variation Register'!AF73</f>
        <v>69794.710000000006</v>
      </c>
      <c r="K56" s="352" t="e">
        <f>'Variation Register'!#REF!</f>
        <v>#REF!</v>
      </c>
      <c r="L56" s="353" t="s">
        <v>74</v>
      </c>
      <c r="M56" s="330" t="s">
        <v>502</v>
      </c>
    </row>
    <row r="57" spans="1:13" ht="22.5" x14ac:dyDescent="0.25">
      <c r="A57" s="347" t="str">
        <f>'Variation Register'!A74</f>
        <v>HCV-051</v>
      </c>
      <c r="B57" s="347" t="str">
        <f>+'Variation Register'!T74</f>
        <v>Variation (Other than a Company Variation Direction)</v>
      </c>
      <c r="C57" s="347" t="str">
        <f>+'Variation Register'!B74</f>
        <v>TBA</v>
      </c>
      <c r="D57" s="347">
        <f>'Variation Register'!C74</f>
        <v>0</v>
      </c>
      <c r="E57" s="348" t="str">
        <f>'Variation Register'!J74</f>
        <v>9641-C-83588-CFC-0205</v>
      </c>
      <c r="F57" s="348" t="str">
        <f>'Variation Register'!D74</f>
        <v>9641-C-83588-CTC-0269</v>
      </c>
      <c r="G57" s="349">
        <f>'Variation Register'!AC74</f>
        <v>43481</v>
      </c>
      <c r="H57" s="350" t="str">
        <f>'Variation Register'!U74</f>
        <v>Culvert Install January Shutdown</v>
      </c>
      <c r="I57" s="350" t="str">
        <f>'Variation Register'!V74</f>
        <v>Company has directed Contractor MAC-C55a and MAC-C56 are no longer able to be completed during the January shutdown.</v>
      </c>
      <c r="J57" s="351">
        <f>'Variation Register'!AF74</f>
        <v>0</v>
      </c>
      <c r="K57" s="352" t="e">
        <f>'Variation Register'!#REF!</f>
        <v>#REF!</v>
      </c>
      <c r="L57" s="353" t="s">
        <v>74</v>
      </c>
      <c r="M57" s="330" t="s">
        <v>502</v>
      </c>
    </row>
    <row r="58" spans="1:13" ht="22.5" x14ac:dyDescent="0.25">
      <c r="A58" s="347" t="str">
        <f>'Variation Register'!A75</f>
        <v>HCV-052</v>
      </c>
      <c r="B58" s="347" t="str">
        <f>+'Variation Register'!T75</f>
        <v>Company Site Instruction</v>
      </c>
      <c r="C58" s="347" t="str">
        <f>+'Variation Register'!B75</f>
        <v>VD-06</v>
      </c>
      <c r="D58" s="347">
        <f>'Variation Register'!C75</f>
        <v>26</v>
      </c>
      <c r="E58" s="348" t="str">
        <f>'Variation Register'!J75</f>
        <v>9641-C-83588-CFC-0650</v>
      </c>
      <c r="F58" s="348" t="str">
        <f>'Variation Register'!D75</f>
        <v>9641-C-83588-CTC-0286</v>
      </c>
      <c r="G58" s="349" t="str">
        <f>'Variation Register'!AC75</f>
        <v>SI026</v>
      </c>
      <c r="H58" s="350" t="str">
        <f>'Variation Register'!U75</f>
        <v>Transport of Redundant Bore Infrastructure</v>
      </c>
      <c r="I58" s="350" t="str">
        <f>'Variation Register'!V75</f>
        <v>Company has directed Contractor to transport the redundant transformer and power pole infrastructure to Packsaddle waste dump.</v>
      </c>
      <c r="J58" s="351">
        <f>'Variation Register'!AF75</f>
        <v>21801.46</v>
      </c>
      <c r="K58" s="352" t="e">
        <f>'Variation Register'!#REF!</f>
        <v>#REF!</v>
      </c>
      <c r="L58" s="353" t="s">
        <v>74</v>
      </c>
      <c r="M58" s="330" t="s">
        <v>502</v>
      </c>
    </row>
    <row r="59" spans="1:13" ht="45" x14ac:dyDescent="0.25">
      <c r="A59" s="347" t="str">
        <f>'Variation Register'!A76</f>
        <v>HCV-055</v>
      </c>
      <c r="B59" s="347" t="str">
        <f>+'Variation Register'!T76</f>
        <v>Variation (Other than a Company Variation Direction)</v>
      </c>
      <c r="C59" s="347" t="str">
        <f>+'Variation Register'!B76</f>
        <v>VD-06 &amp; VD-08</v>
      </c>
      <c r="D59" s="347">
        <f>'Variation Register'!C76</f>
        <v>0</v>
      </c>
      <c r="E59" s="348" t="str">
        <f>'Variation Register'!J76</f>
        <v>9641-C-83588-CFC-0237
9641-C-83588-CFC-0256</v>
      </c>
      <c r="F59" s="348">
        <f>'Variation Register'!D76</f>
        <v>0</v>
      </c>
      <c r="G59" s="349">
        <f>'Variation Register'!AC76</f>
        <v>43497</v>
      </c>
      <c r="H59" s="350" t="str">
        <f>'Variation Register'!U76</f>
        <v>ST04 Boom Tie Down Footing Relocation</v>
      </c>
      <c r="I59" s="350" t="str">
        <f>'Variation Register'!V76</f>
        <v>Company has issued revised drawings which included the relocation of ST04. Contractor had completed works prior to receiving the new drawings. Re-works required.</v>
      </c>
      <c r="J59" s="351">
        <f>'Variation Register'!AF76</f>
        <v>9803.443347194434</v>
      </c>
      <c r="K59" s="352" t="e">
        <f>'Variation Register'!#REF!</f>
        <v>#REF!</v>
      </c>
      <c r="L59" s="353" t="s">
        <v>74</v>
      </c>
      <c r="M59" s="330"/>
    </row>
    <row r="60" spans="1:13" ht="22.5" x14ac:dyDescent="0.25">
      <c r="A60" s="347" t="str">
        <f>'Variation Register'!A77</f>
        <v>HCV-056</v>
      </c>
      <c r="B60" s="347" t="str">
        <f>+'Variation Register'!T77</f>
        <v>Company Site Instruction</v>
      </c>
      <c r="C60" s="347" t="str">
        <f>+'Variation Register'!B77</f>
        <v>VD-05</v>
      </c>
      <c r="D60" s="347">
        <f>'Variation Register'!C77</f>
        <v>36</v>
      </c>
      <c r="E60" s="348" t="str">
        <f>'Variation Register'!J77</f>
        <v>9641-C-83588-CFC-0231</v>
      </c>
      <c r="F60" s="348" t="str">
        <f>'Variation Register'!D77</f>
        <v>9641-C-83588-CTC-0328</v>
      </c>
      <c r="G60" s="349">
        <f>'Variation Register'!AC77</f>
        <v>43494</v>
      </c>
      <c r="H60" s="350" t="str">
        <f>'Variation Register'!U77</f>
        <v>Provision of Watercart for BHP OPS during Dec shutdown</v>
      </c>
      <c r="I60" s="350" t="str">
        <f>'Variation Register'!V77</f>
        <v>Company has requested Contractor to provide a water cart on stand by for OPS during the December shut down tie in.</v>
      </c>
      <c r="J60" s="351">
        <f>'Variation Register'!AF77</f>
        <v>4726</v>
      </c>
      <c r="K60" s="352" t="e">
        <f>'Variation Register'!#REF!</f>
        <v>#REF!</v>
      </c>
      <c r="L60" s="353" t="s">
        <v>74</v>
      </c>
      <c r="M60" s="330"/>
    </row>
    <row r="61" spans="1:13" ht="22.5" x14ac:dyDescent="0.25">
      <c r="A61" s="347" t="str">
        <f>'Variation Register'!A78</f>
        <v>HCV-057</v>
      </c>
      <c r="B61" s="347" t="str">
        <f>+'Variation Register'!T78</f>
        <v>Variation (Other than a Company Variation Direction)</v>
      </c>
      <c r="C61" s="347" t="str">
        <f>+'Variation Register'!B78</f>
        <v>VD-05</v>
      </c>
      <c r="D61" s="347">
        <f>'Variation Register'!C78</f>
        <v>0</v>
      </c>
      <c r="E61" s="348" t="str">
        <f>'Variation Register'!J78</f>
        <v>9641-C-83588-CFC-0232</v>
      </c>
      <c r="F61" s="348">
        <f>'Variation Register'!D78</f>
        <v>0</v>
      </c>
      <c r="G61" s="349">
        <f>'Variation Register'!AC78</f>
        <v>43494</v>
      </c>
      <c r="H61" s="350" t="str">
        <f>'Variation Register'!U78</f>
        <v>Cable Installation – Stockyard 2 Sub SB05 and Pole JS-61-2</v>
      </c>
      <c r="I61" s="350" t="str">
        <f>'Variation Register'!V78</f>
        <v>Cable size has increased from 240mm to 300mm. Contractor has proposed to utilise the 300mm contract rate to value the works.</v>
      </c>
      <c r="J61" s="351">
        <f>'Variation Register'!AF78</f>
        <v>10758</v>
      </c>
      <c r="K61" s="352" t="e">
        <f>'Variation Register'!#REF!</f>
        <v>#REF!</v>
      </c>
      <c r="L61" s="353" t="s">
        <v>74</v>
      </c>
    </row>
    <row r="62" spans="1:13" ht="45" x14ac:dyDescent="0.25">
      <c r="A62" s="347" t="str">
        <f>'Variation Register'!A79</f>
        <v>HCV-059</v>
      </c>
      <c r="B62" s="347" t="str">
        <f>+'Variation Register'!T79</f>
        <v>Company Site Instruction</v>
      </c>
      <c r="C62" s="347" t="str">
        <f>+'Variation Register'!B79</f>
        <v>VD-06</v>
      </c>
      <c r="D62" s="347">
        <f>'Variation Register'!C79</f>
        <v>27</v>
      </c>
      <c r="E62" s="348" t="str">
        <f>'Variation Register'!J79</f>
        <v>9641-C-83588-CFC-0348</v>
      </c>
      <c r="F62" s="348" t="str">
        <f>'Variation Register'!D79</f>
        <v>9641-C-83588-CTC-0287
9641-C-83588-CTC-0436</v>
      </c>
      <c r="G62" s="349" t="str">
        <f>'Variation Register'!AC79</f>
        <v>SI021</v>
      </c>
      <c r="H62" s="350" t="str">
        <f>'Variation Register'!U79</f>
        <v>Additional work to complete cable trench</v>
      </c>
      <c r="I62" s="350" t="str">
        <f>'Variation Register'!V79</f>
        <v>Company has directed Contractor to move BHP operations stockpile from the HV cable alignment to allow Contractor to continue with trenching.</v>
      </c>
      <c r="J62" s="351">
        <f>'Variation Register'!AF79</f>
        <v>1540</v>
      </c>
      <c r="K62" s="352" t="e">
        <f>'Variation Register'!#REF!</f>
        <v>#REF!</v>
      </c>
      <c r="L62" s="353" t="s">
        <v>74</v>
      </c>
    </row>
    <row r="63" spans="1:13" ht="33.75" x14ac:dyDescent="0.25">
      <c r="A63" s="347" t="str">
        <f>'Variation Register'!A80</f>
        <v>HCV-060</v>
      </c>
      <c r="B63" s="347" t="str">
        <f>+'Variation Register'!T80</f>
        <v>Company Site Instruction</v>
      </c>
      <c r="C63" s="347" t="str">
        <f>+'Variation Register'!B80</f>
        <v>VD-06</v>
      </c>
      <c r="D63" s="347">
        <f>'Variation Register'!C80</f>
        <v>25</v>
      </c>
      <c r="E63" s="348" t="str">
        <f>'Variation Register'!J80</f>
        <v>9641-C-83588-CFC-0648</v>
      </c>
      <c r="F63" s="348" t="str">
        <f>'Variation Register'!D80</f>
        <v>9641-C-83588-CTC-0285</v>
      </c>
      <c r="G63" s="349" t="str">
        <f>'Variation Register'!AC80</f>
        <v>SI025</v>
      </c>
      <c r="H63" s="350" t="str">
        <f>'Variation Register'!U80</f>
        <v>Construct temporary overload ore car pad</v>
      </c>
      <c r="I63" s="350" t="str">
        <f>'Variation Register'!V80</f>
        <v>Company has directed Contractor to undertake the construction of a pad next to the outgo rail. The pad will be removed at a later date to be confirmed by the Company.</v>
      </c>
      <c r="J63" s="351">
        <f>'Variation Register'!AF80</f>
        <v>14422.17</v>
      </c>
      <c r="K63" s="352" t="e">
        <f>'Variation Register'!#REF!</f>
        <v>#REF!</v>
      </c>
      <c r="L63" s="353" t="s">
        <v>74</v>
      </c>
    </row>
    <row r="64" spans="1:13" ht="22.5" x14ac:dyDescent="0.25">
      <c r="A64" s="347" t="str">
        <f>'Variation Register'!A81</f>
        <v>HCV-061</v>
      </c>
      <c r="B64" s="347" t="str">
        <f>+'Variation Register'!T81</f>
        <v>Company Site Instruction</v>
      </c>
      <c r="C64" s="347" t="str">
        <f>+'Variation Register'!B81</f>
        <v>VD-06</v>
      </c>
      <c r="D64" s="347">
        <f>'Variation Register'!C81</f>
        <v>31</v>
      </c>
      <c r="E64" s="348">
        <f>'Variation Register'!J81</f>
        <v>0</v>
      </c>
      <c r="F64" s="348" t="str">
        <f>'Variation Register'!D81</f>
        <v>9641-C-83588-CTC-0303</v>
      </c>
      <c r="G64" s="349" t="str">
        <f>'Variation Register'!AC81</f>
        <v>SI031</v>
      </c>
      <c r="H64" s="350" t="str">
        <f>'Variation Register'!U81</f>
        <v>Relocate Ore Car</v>
      </c>
      <c r="I64" s="350" t="str">
        <f>'Variation Register'!V81</f>
        <v>Company has directed Contractor to relocate the Company owned ore car which is impeding the design footprint of the outgo track within Milestone 4.</v>
      </c>
      <c r="J64" s="351">
        <f>'Variation Register'!AF81</f>
        <v>1414.96</v>
      </c>
      <c r="K64" s="352" t="e">
        <f>'Variation Register'!#REF!</f>
        <v>#REF!</v>
      </c>
      <c r="L64" s="353" t="s">
        <v>74</v>
      </c>
    </row>
    <row r="65" spans="1:12" ht="45" x14ac:dyDescent="0.25">
      <c r="A65" s="347" t="str">
        <f>'Variation Register'!A82</f>
        <v>HCV-062</v>
      </c>
      <c r="B65" s="347" t="str">
        <f>+'Variation Register'!T82</f>
        <v>Company Site Instruction</v>
      </c>
      <c r="C65" s="347" t="str">
        <f>+'Variation Register'!B82</f>
        <v>VD-06</v>
      </c>
      <c r="D65" s="347">
        <f>'Variation Register'!C82</f>
        <v>34</v>
      </c>
      <c r="E65" s="348" t="str">
        <f>'Variation Register'!J82</f>
        <v>9641-C-83588-CFC-0243</v>
      </c>
      <c r="F65" s="348" t="str">
        <f>'Variation Register'!D82</f>
        <v>9641-C-83588-CTC-0342</v>
      </c>
      <c r="G65" s="349">
        <f>'Variation Register'!AC82</f>
        <v>43497</v>
      </c>
      <c r="H65" s="350" t="str">
        <f>'Variation Register'!U82</f>
        <v>MAC604ADW 72_P1JT1 Relocation</v>
      </c>
      <c r="I65" s="350" t="str">
        <f>'Variation Register'!V82</f>
        <v>Contractor carried out the trench excavation as per drawings. During site inspection it was identified the inline joint for MAC604/ADW: 7:2_P1/JT1 is not within the trench vicinity. Contractor has proposed to re-align the trench to align with the inline joint.</v>
      </c>
      <c r="J65" s="351">
        <f>'Variation Register'!AF82</f>
        <v>6400</v>
      </c>
      <c r="K65" s="352" t="e">
        <f>'Variation Register'!#REF!</f>
        <v>#REF!</v>
      </c>
      <c r="L65" s="353" t="s">
        <v>74</v>
      </c>
    </row>
    <row r="66" spans="1:12" ht="45" x14ac:dyDescent="0.25">
      <c r="A66" s="347" t="str">
        <f>'Variation Register'!A85</f>
        <v>HCV-064</v>
      </c>
      <c r="B66" s="347" t="str">
        <f>+'Variation Register'!T85</f>
        <v>Variation (Other than a Company Variation Direction)</v>
      </c>
      <c r="C66" s="347" t="str">
        <f>+'Variation Register'!B85</f>
        <v>VD-06</v>
      </c>
      <c r="D66" s="347">
        <f>'Variation Register'!C85</f>
        <v>0</v>
      </c>
      <c r="E66" s="348" t="str">
        <f>'Variation Register'!J85</f>
        <v>9641-C-83588-CFC-0252</v>
      </c>
      <c r="F66" s="348" t="str">
        <f>'Variation Register'!D85</f>
        <v>9641-C-83588-CTC-0416
9641-C-83588-CTC-0421</v>
      </c>
      <c r="G66" s="349">
        <f>'Variation Register'!AC85</f>
        <v>43509</v>
      </c>
      <c r="H66" s="350" t="str">
        <f>'Variation Register'!U85</f>
        <v>Installation of DN200 Sleeves with Stabilised BF</v>
      </c>
      <c r="I66" s="350" t="str">
        <f>'Variation Register'!V85</f>
        <v xml:space="preserve">The 33kV cable install was to be direct buried and backfilled with suitable backfill material. To allow Company’s Operations Contractor (OPS) continued and uninterrupted access to Stockyard 1, Contractor installed 200DN PVC conduit sleeves and backfilled sections of the trench with stabilized sand. </v>
      </c>
      <c r="J66" s="351">
        <f>'Variation Register'!AF85</f>
        <v>15257.15</v>
      </c>
      <c r="K66" s="352" t="e">
        <f>'Variation Register'!#REF!</f>
        <v>#REF!</v>
      </c>
      <c r="L66" s="353" t="s">
        <v>74</v>
      </c>
    </row>
    <row r="67" spans="1:12" ht="45" x14ac:dyDescent="0.25">
      <c r="A67" s="347" t="str">
        <f>'Variation Register'!A86</f>
        <v>HCV-065</v>
      </c>
      <c r="B67" s="347" t="str">
        <f>+'Variation Register'!T86</f>
        <v>Variation (Other than a Company Variation Direction)</v>
      </c>
      <c r="C67" s="347" t="str">
        <f>+'Variation Register'!B86</f>
        <v>VD-08</v>
      </c>
      <c r="D67" s="347">
        <f>'Variation Register'!C86</f>
        <v>0</v>
      </c>
      <c r="E67" s="348" t="str">
        <f>'Variation Register'!J86</f>
        <v>9641-C-83588-CFC-0260
9641-C-83588-CFC-0336</v>
      </c>
      <c r="F67" s="348">
        <f>'Variation Register'!D86</f>
        <v>0</v>
      </c>
      <c r="G67" s="349">
        <f>'Variation Register'!AC86</f>
        <v>43515</v>
      </c>
      <c r="H67" s="350" t="str">
        <f>'Variation Register'!U86</f>
        <v>Void Laser Scanning Works</v>
      </c>
      <c r="I67" s="350" t="str">
        <f>'Variation Register'!V86</f>
        <v>Change in Design - Void laser scanning was added to Contractors scope after contract award</v>
      </c>
      <c r="J67" s="351">
        <f>'Variation Register'!AF86</f>
        <v>42425.25</v>
      </c>
      <c r="K67" s="352" t="e">
        <f>'Variation Register'!#REF!</f>
        <v>#REF!</v>
      </c>
      <c r="L67" s="353" t="s">
        <v>74</v>
      </c>
    </row>
    <row r="68" spans="1:12" ht="22.5" x14ac:dyDescent="0.25">
      <c r="A68" s="347" t="str">
        <f>'Variation Register'!A87</f>
        <v>HCV-066</v>
      </c>
      <c r="B68" s="347" t="str">
        <f>+'Variation Register'!T87</f>
        <v>Contract Adjustment (SOR Qty Change)</v>
      </c>
      <c r="C68" s="347" t="str">
        <f>+'Variation Register'!B87</f>
        <v>VD-10</v>
      </c>
      <c r="D68" s="347">
        <f>'Variation Register'!C87</f>
        <v>0</v>
      </c>
      <c r="E68" s="348" t="str">
        <f>'Variation Register'!J87</f>
        <v>9641-C-83588-CFC-0261</v>
      </c>
      <c r="F68" s="348" t="str">
        <f>'Variation Register'!D87</f>
        <v>9641-C-83588-CTC-420</v>
      </c>
      <c r="G68" s="349">
        <f>'Variation Register'!AC87</f>
        <v>43515</v>
      </c>
      <c r="H68" s="350" t="str">
        <f>'Variation Register'!U87</f>
        <v>Underboring</v>
      </c>
      <c r="I68" s="350" t="str">
        <f>'Variation Register'!V87</f>
        <v>The scope for underboring has increased from Contract Award.</v>
      </c>
      <c r="J68" s="351">
        <f>'Variation Register'!AF87</f>
        <v>448406</v>
      </c>
      <c r="K68" s="352" t="e">
        <f>'Variation Register'!#REF!</f>
        <v>#REF!</v>
      </c>
      <c r="L68" s="353" t="s">
        <v>74</v>
      </c>
    </row>
    <row r="69" spans="1:12" ht="22.5" x14ac:dyDescent="0.25">
      <c r="A69" s="347" t="str">
        <f>'Variation Register'!A88</f>
        <v>HCV-066.1</v>
      </c>
      <c r="B69" s="347" t="str">
        <f>+'Variation Register'!T88</f>
        <v>Contract Adjustment (SOR Qty Change)</v>
      </c>
      <c r="C69" s="347" t="str">
        <f>+'Variation Register'!B88</f>
        <v>VD-10</v>
      </c>
      <c r="D69" s="347">
        <f>'Variation Register'!C88</f>
        <v>0</v>
      </c>
      <c r="E69" s="348" t="str">
        <f>'Variation Register'!J88</f>
        <v>9641-C-83588-CFC-0261</v>
      </c>
      <c r="F69" s="348" t="str">
        <f>'Variation Register'!D88</f>
        <v>9641-C-83588-CTC-420</v>
      </c>
      <c r="G69" s="349">
        <f>'Variation Register'!AC88</f>
        <v>43515</v>
      </c>
      <c r="H69" s="350" t="str">
        <f>'Variation Register'!U88</f>
        <v>Underboring</v>
      </c>
      <c r="I69" s="350" t="str">
        <f>'Variation Register'!V88</f>
        <v>The scope for underboring has increased from Contract Award.</v>
      </c>
      <c r="J69" s="351">
        <f>'Variation Register'!AF88</f>
        <v>293728.42000000004</v>
      </c>
      <c r="K69" s="352" t="e">
        <f>'Variation Register'!#REF!</f>
        <v>#REF!</v>
      </c>
      <c r="L69" s="353" t="s">
        <v>74</v>
      </c>
    </row>
    <row r="70" spans="1:12" ht="45" x14ac:dyDescent="0.25">
      <c r="A70" s="347" t="str">
        <f>'Variation Register'!A89</f>
        <v>HCV-067</v>
      </c>
      <c r="B70" s="347" t="str">
        <f>+'Variation Register'!T89</f>
        <v>Variation (Other than a Company Variation Direction)</v>
      </c>
      <c r="C70" s="347" t="str">
        <f>+'Variation Register'!B89</f>
        <v>TBA</v>
      </c>
      <c r="D70" s="347">
        <f>'Variation Register'!C89</f>
        <v>0</v>
      </c>
      <c r="E70" s="348" t="str">
        <f>'Variation Register'!J89</f>
        <v>9641-C-83588-CFC-0267
9641-C-83588-CFC-0275</v>
      </c>
      <c r="F70" s="348" t="str">
        <f>'Variation Register'!D89</f>
        <v>9641-C-83588-CTC-0412</v>
      </c>
      <c r="G70" s="349">
        <f>'Variation Register'!AC89</f>
        <v>43509</v>
      </c>
      <c r="H70" s="350" t="str">
        <f>'Variation Register'!U89</f>
        <v xml:space="preserve">TS472 Design Changes </v>
      </c>
      <c r="I70" s="350" t="str">
        <f>'Variation Register'!V89</f>
        <v>Transmitted drawings for Transfer Station TS472 indicates changes to steel embedment's and conduit</v>
      </c>
      <c r="J70" s="351">
        <f>'Variation Register'!AF89</f>
        <v>0</v>
      </c>
      <c r="K70" s="352" t="e">
        <f>'Variation Register'!#REF!</f>
        <v>#REF!</v>
      </c>
      <c r="L70" s="353" t="s">
        <v>74</v>
      </c>
    </row>
    <row r="71" spans="1:12" ht="22.5" x14ac:dyDescent="0.25">
      <c r="A71" s="347" t="str">
        <f>'Variation Register'!A90</f>
        <v>HCV-067a</v>
      </c>
      <c r="B71" s="347" t="str">
        <f>+'Variation Register'!T90</f>
        <v>Variation (Other than a Company Variation Direction)</v>
      </c>
      <c r="C71" s="347" t="str">
        <f>+'Variation Register'!B90</f>
        <v>TBA</v>
      </c>
      <c r="D71" s="347">
        <f>'Variation Register'!C90</f>
        <v>0</v>
      </c>
      <c r="E71" s="348" t="str">
        <f>'Variation Register'!J90</f>
        <v>9641-C-83588-CFC-0565</v>
      </c>
      <c r="F71" s="348" t="str">
        <f>'Variation Register'!D90</f>
        <v>9641-C-83588-CTC-0412</v>
      </c>
      <c r="G71" s="349">
        <f>'Variation Register'!AC90</f>
        <v>43509</v>
      </c>
      <c r="H71" s="350" t="str">
        <f>'Variation Register'!U90</f>
        <v>TS472 Batter Construction</v>
      </c>
      <c r="I71" s="350" t="str">
        <f>'Variation Register'!V90</f>
        <v xml:space="preserve">Transmitted drawings for Transfer Station TS472 indicated changes including the installation of a stabilized block. </v>
      </c>
      <c r="J71" s="351">
        <f>'Variation Register'!AF90</f>
        <v>42869.91</v>
      </c>
      <c r="K71" s="352" t="e">
        <f>'Variation Register'!#REF!</f>
        <v>#REF!</v>
      </c>
      <c r="L71" s="353" t="s">
        <v>74</v>
      </c>
    </row>
    <row r="72" spans="1:12" ht="45" x14ac:dyDescent="0.25">
      <c r="A72" s="347" t="str">
        <f>'Variation Register'!A91</f>
        <v>HCV-068</v>
      </c>
      <c r="B72" s="347" t="str">
        <f>+'Variation Register'!T91</f>
        <v>Contract Adjustment (SOR Qty Change)</v>
      </c>
      <c r="C72" s="347" t="str">
        <f>+'Variation Register'!B91</f>
        <v>TBA</v>
      </c>
      <c r="D72" s="347">
        <f>'Variation Register'!C91</f>
        <v>0</v>
      </c>
      <c r="E72" s="348" t="str">
        <f>'Variation Register'!J91</f>
        <v>9641-C-83588-CFC-0281
9641-C-83588-CFC-0401</v>
      </c>
      <c r="F72" s="348" t="str">
        <f>'Variation Register'!D91</f>
        <v>9641-C-83588-CTC-0361
9641-C-83588-CTC-0542</v>
      </c>
      <c r="G72" s="349">
        <f>'Variation Register'!AC91</f>
        <v>43529</v>
      </c>
      <c r="H72" s="350" t="str">
        <f>'Variation Register'!U91</f>
        <v>Transition Layer</v>
      </c>
      <c r="I72" s="350" t="str">
        <f>'Variation Register'!V91</f>
        <v>Specification document SPEC-860-C-00010/1, item 10.3.1 notes that a Transition Layer, consisting of either Type C1 Fine Rock Fill or Type A4 Select Fill shall be used immediately below the subgrade level unless noted otherwise on the Drawings.</v>
      </c>
      <c r="J72" s="351">
        <f>'Variation Register'!AF91</f>
        <v>400000</v>
      </c>
      <c r="K72" s="352" t="e">
        <f>'Variation Register'!#REF!</f>
        <v>#REF!</v>
      </c>
      <c r="L72" s="353" t="s">
        <v>74</v>
      </c>
    </row>
    <row r="73" spans="1:12" ht="22.5" x14ac:dyDescent="0.25">
      <c r="A73" s="347" t="str">
        <f>'Variation Register'!A92</f>
        <v>HCV-069</v>
      </c>
      <c r="B73" s="347" t="str">
        <f>+'Variation Register'!T92</f>
        <v>Contract Adjustment (SOR Qty Change)</v>
      </c>
      <c r="C73" s="347" t="str">
        <f>+'Variation Register'!B92</f>
        <v>VD-12 &amp; VD-13</v>
      </c>
      <c r="D73" s="347">
        <f>'Variation Register'!C92</f>
        <v>0</v>
      </c>
      <c r="E73" s="348" t="str">
        <f>'Variation Register'!J92</f>
        <v>9641-C-83588-CFC-0574</v>
      </c>
      <c r="F73" s="348">
        <f>'Variation Register'!D92</f>
        <v>0</v>
      </c>
      <c r="G73" s="349">
        <f>'Variation Register'!AC92</f>
        <v>43167</v>
      </c>
      <c r="H73" s="350" t="str">
        <f>'Variation Register'!U92</f>
        <v>COS Escape Tunnel Arch</v>
      </c>
      <c r="I73" s="350" t="str">
        <f>'Variation Register'!V92</f>
        <v>Transmitted drawings for COS Escape Tunnel indicates changes to the Arch</v>
      </c>
      <c r="J73" s="351">
        <f>'Variation Register'!AF92</f>
        <v>217998.09</v>
      </c>
      <c r="K73" s="352" t="e">
        <f>'Variation Register'!#REF!</f>
        <v>#REF!</v>
      </c>
      <c r="L73" s="353" t="s">
        <v>74</v>
      </c>
    </row>
    <row r="74" spans="1:12" ht="22.5" x14ac:dyDescent="0.25">
      <c r="A74" s="347" t="str">
        <f>'Variation Register'!A94</f>
        <v>HCV-071</v>
      </c>
      <c r="B74" s="347" t="str">
        <f>+'Variation Register'!T94</f>
        <v>Variation (Other than a Company Variation Direction)</v>
      </c>
      <c r="C74" s="347" t="str">
        <f>+'Variation Register'!B94</f>
        <v>VD-10</v>
      </c>
      <c r="D74" s="347">
        <f>'Variation Register'!C94</f>
        <v>0</v>
      </c>
      <c r="E74" s="348" t="str">
        <f>'Variation Register'!J94</f>
        <v>9641-C-83588-CFC-0428</v>
      </c>
      <c r="F74" s="348" t="str">
        <f>'Variation Register'!D94</f>
        <v>BHPSFP-MEMO-020196</v>
      </c>
      <c r="G74" s="349" t="str">
        <f>'Variation Register'!AC94</f>
        <v>MEMO-020196</v>
      </c>
      <c r="H74" s="350" t="str">
        <f>'Variation Register'!U94</f>
        <v>Culvert MAC-C20</v>
      </c>
      <c r="I74" s="350" t="str">
        <f>'Variation Register'!V94</f>
        <v>1. Installation of Temporary Works for MAC-C20 excavation beneath Conveyor
2. Sketch SFP-C-1240 has revised (increased) the length of Culvert MAC-C20.</v>
      </c>
      <c r="J74" s="351">
        <f>'Variation Register'!AF94</f>
        <v>8452.2999999999993</v>
      </c>
      <c r="K74" s="352" t="e">
        <f>'Variation Register'!#REF!</f>
        <v>#REF!</v>
      </c>
      <c r="L74" s="353" t="s">
        <v>74</v>
      </c>
    </row>
    <row r="75" spans="1:12" ht="45" x14ac:dyDescent="0.25">
      <c r="A75" s="347" t="str">
        <f>'Variation Register'!A95</f>
        <v>HCV-072</v>
      </c>
      <c r="B75" s="347" t="str">
        <f>+'Variation Register'!T95</f>
        <v>Contract Adjustment (SOR Qty Change)</v>
      </c>
      <c r="C75" s="347" t="str">
        <f>+'Variation Register'!B95</f>
        <v>VD-06</v>
      </c>
      <c r="D75" s="347">
        <f>'Variation Register'!C95</f>
        <v>39</v>
      </c>
      <c r="E75" s="348" t="str">
        <f>'Variation Register'!J95</f>
        <v>9641-C-83588-CFC-0288
9641-C-83588-CFC-0431</v>
      </c>
      <c r="F75" s="348">
        <f>'Variation Register'!D95</f>
        <v>0</v>
      </c>
      <c r="G75" s="349">
        <f>'Variation Register'!AC95</f>
        <v>43535</v>
      </c>
      <c r="H75" s="350" t="str">
        <f>'Variation Register'!U95</f>
        <v xml:space="preserve">Central Pilbara Terminal SOW Interface Adjustment </v>
      </c>
      <c r="I75" s="350" t="str">
        <f>'Variation Register'!V95</f>
        <v>Company has amended Contractors Scope of Works to the Central Pilbara Terminal. Cost of load and haul stockpile materials</v>
      </c>
      <c r="J75" s="351">
        <f>'Variation Register'!AF95</f>
        <v>124985</v>
      </c>
      <c r="K75" s="352" t="e">
        <f>'Variation Register'!#REF!</f>
        <v>#REF!</v>
      </c>
      <c r="L75" s="353" t="s">
        <v>74</v>
      </c>
    </row>
    <row r="76" spans="1:12" ht="22.5" x14ac:dyDescent="0.25">
      <c r="A76" s="347" t="str">
        <f>'Variation Register'!A97</f>
        <v>HCV-072b</v>
      </c>
      <c r="B76" s="347" t="str">
        <f>+'Variation Register'!T97</f>
        <v>Contract Adjustment (SOR Qty Change)</v>
      </c>
      <c r="C76" s="347">
        <f>+'Variation Register'!B97</f>
        <v>0</v>
      </c>
      <c r="D76" s="347">
        <f>'Variation Register'!C97</f>
        <v>0</v>
      </c>
      <c r="E76" s="348" t="str">
        <f>'Variation Register'!J97</f>
        <v>9641-C-83588-CFC-0560</v>
      </c>
      <c r="F76" s="348">
        <f>'Variation Register'!D97</f>
        <v>0</v>
      </c>
      <c r="G76" s="349">
        <f>'Variation Register'!AC97</f>
        <v>43718</v>
      </c>
      <c r="H76" s="350" t="str">
        <f>'Variation Register'!U97</f>
        <v xml:space="preserve">Central Pilbara Terminal SOW Interface Adjustment </v>
      </c>
      <c r="I76" s="350" t="str">
        <f>'Variation Register'!V97</f>
        <v>E/O Rock Excavation Central Pilbara Terminal (removed with rock breaker)</v>
      </c>
      <c r="J76" s="351">
        <f>'Variation Register'!AF97</f>
        <v>542234</v>
      </c>
      <c r="K76" s="352" t="e">
        <f>'Variation Register'!#REF!</f>
        <v>#REF!</v>
      </c>
      <c r="L76" s="353" t="s">
        <v>74</v>
      </c>
    </row>
    <row r="77" spans="1:12" ht="45" x14ac:dyDescent="0.25">
      <c r="A77" s="347" t="str">
        <f>'Variation Register'!A98</f>
        <v>HCV-074</v>
      </c>
      <c r="B77" s="347" t="str">
        <f>+'Variation Register'!T98</f>
        <v>Company Site Instruction</v>
      </c>
      <c r="C77" s="347" t="str">
        <f>+'Variation Register'!B98</f>
        <v>VD-06</v>
      </c>
      <c r="D77" s="347">
        <f>'Variation Register'!C98</f>
        <v>44</v>
      </c>
      <c r="E77" s="348" t="str">
        <f>'Variation Register'!J98</f>
        <v>9641-C-83588-CFC-0348</v>
      </c>
      <c r="F77" s="348" t="str">
        <f>'Variation Register'!D98</f>
        <v>9641-C-83588-CTC-0367
9641-C-83588-CTC-0436</v>
      </c>
      <c r="G77" s="349" t="str">
        <f>'Variation Register'!AC98</f>
        <v>SI044</v>
      </c>
      <c r="H77" s="350" t="str">
        <f>'Variation Register'!U98</f>
        <v>Oxy Cutting COS Base Reo</v>
      </c>
      <c r="I77" s="350" t="str">
        <f>'Variation Register'!V98</f>
        <v>Oxy cutting to the reo ligature cogs of the COS foundation</v>
      </c>
      <c r="J77" s="351">
        <f>'Variation Register'!AF98</f>
        <v>2419.33</v>
      </c>
      <c r="K77" s="352" t="e">
        <f>'Variation Register'!#REF!</f>
        <v>#REF!</v>
      </c>
      <c r="L77" s="353" t="s">
        <v>74</v>
      </c>
    </row>
    <row r="78" spans="1:12" ht="22.5" x14ac:dyDescent="0.25">
      <c r="A78" s="347" t="str">
        <f>'Variation Register'!A102</f>
        <v>HCV-078</v>
      </c>
      <c r="B78" s="347" t="str">
        <f>+'Variation Register'!T102</f>
        <v>Variation (Other than a Company Variation Direction)</v>
      </c>
      <c r="C78" s="347" t="str">
        <f>+'Variation Register'!B102</f>
        <v>TBA</v>
      </c>
      <c r="D78" s="347">
        <f>'Variation Register'!C102</f>
        <v>0</v>
      </c>
      <c r="E78" s="348" t="str">
        <f>'Variation Register'!J102</f>
        <v>9641-C-83588-CFC-0305</v>
      </c>
      <c r="F78" s="348">
        <f>'Variation Register'!D102</f>
        <v>0</v>
      </c>
      <c r="G78" s="349">
        <f>'Variation Register'!AC102</f>
        <v>43542</v>
      </c>
      <c r="H78" s="350" t="str">
        <f>'Variation Register'!U102</f>
        <v>Design Changes in Reclaimer RC03</v>
      </c>
      <c r="I78" s="350" t="str">
        <f>'Variation Register'!V102</f>
        <v>IFC drawings (upon review by Contractor) indicate changes to Work relating to sole plates, rubber pads, grout pads and additional rail anchors</v>
      </c>
      <c r="J78" s="351">
        <f>'Variation Register'!AF102</f>
        <v>0</v>
      </c>
      <c r="K78" s="352" t="e">
        <f>'Variation Register'!#REF!</f>
        <v>#REF!</v>
      </c>
      <c r="L78" s="353" t="s">
        <v>74</v>
      </c>
    </row>
    <row r="79" spans="1:12" ht="22.5" x14ac:dyDescent="0.25">
      <c r="A79" s="347" t="str">
        <f>'Variation Register'!A103</f>
        <v>HCV-079</v>
      </c>
      <c r="B79" s="347" t="str">
        <f>+'Variation Register'!T103</f>
        <v>Contract Adjustment (SOR Qty Change)</v>
      </c>
      <c r="C79" s="347" t="str">
        <f>+'Variation Register'!B103</f>
        <v>VD-08</v>
      </c>
      <c r="D79" s="347">
        <f>'Variation Register'!C103</f>
        <v>0</v>
      </c>
      <c r="E79" s="348" t="str">
        <f>'Variation Register'!J103</f>
        <v>9641-C-83588-CFC-0311</v>
      </c>
      <c r="F79" s="348" t="str">
        <f>'Variation Register'!D103</f>
        <v>9641-C-83588-CTC-0561</v>
      </c>
      <c r="G79" s="349">
        <f>'Variation Register'!AC103</f>
        <v>43546</v>
      </c>
      <c r="H79" s="350" t="str">
        <f>'Variation Register'!U103</f>
        <v>Outgo Rail Services Trench Under New Rail Formation</v>
      </c>
      <c r="I79" s="350" t="str">
        <f>'Variation Register'!V103</f>
        <v>IFC drawings (upon review by Contractor) indicate 200mm  conduits are to be installed and the trench is to be backfilled with CSF.</v>
      </c>
      <c r="J79" s="351">
        <f>'Variation Register'!AF103</f>
        <v>36200.81</v>
      </c>
      <c r="K79" s="352" t="e">
        <f>'Variation Register'!#REF!</f>
        <v>#REF!</v>
      </c>
      <c r="L79" s="353" t="s">
        <v>74</v>
      </c>
    </row>
    <row r="80" spans="1:12" ht="22.5" x14ac:dyDescent="0.25">
      <c r="A80" s="347" t="str">
        <f>'Variation Register'!A104</f>
        <v>HCV-080</v>
      </c>
      <c r="B80" s="347" t="str">
        <f>+'Variation Register'!T104</f>
        <v>Variation (Other than a Company Variation Direction)</v>
      </c>
      <c r="C80" s="347" t="str">
        <f>+'Variation Register'!B104</f>
        <v>VD-08</v>
      </c>
      <c r="D80" s="347">
        <f>'Variation Register'!C104</f>
        <v>0</v>
      </c>
      <c r="E80" s="348" t="str">
        <f>'Variation Register'!J104</f>
        <v>9641-C-83588-CFC-0314</v>
      </c>
      <c r="F80" s="348" t="str">
        <f>'Variation Register'!D104</f>
        <v>9641-C-83588-CTC-0549</v>
      </c>
      <c r="G80" s="349">
        <f>'Variation Register'!AC104</f>
        <v>43549</v>
      </c>
      <c r="H80" s="350" t="str">
        <f>'Variation Register'!U104</f>
        <v>Substation 2 Cable Supporting Structure</v>
      </c>
      <c r="I80" s="350" t="str">
        <f>'Variation Register'!V104</f>
        <v>Existing Cable tray under the Substation is non-compliant. Company has directed Contractor to rectify the cable tray</v>
      </c>
      <c r="J80" s="351">
        <f>'Variation Register'!AF104</f>
        <v>12820.97</v>
      </c>
      <c r="K80" s="352" t="e">
        <f>'Variation Register'!#REF!</f>
        <v>#REF!</v>
      </c>
      <c r="L80" s="353" t="s">
        <v>74</v>
      </c>
    </row>
    <row r="81" spans="1:12" ht="22.5" x14ac:dyDescent="0.25">
      <c r="A81" s="347" t="str">
        <f>'Variation Register'!A106</f>
        <v>HCV-082</v>
      </c>
      <c r="B81" s="347" t="str">
        <f>+'Variation Register'!T106</f>
        <v>Variation (Other than a Company Variation Direction)</v>
      </c>
      <c r="C81" s="347" t="str">
        <f>+'Variation Register'!B106</f>
        <v>VD-16</v>
      </c>
      <c r="D81" s="347">
        <f>'Variation Register'!C106</f>
        <v>0</v>
      </c>
      <c r="E81" s="348" t="str">
        <f>'Variation Register'!J106</f>
        <v>9641-C-83588-CFC-0674</v>
      </c>
      <c r="F81" s="348" t="str">
        <f>'Variation Register'!D106</f>
        <v>9641-C-83588-CTC-1012</v>
      </c>
      <c r="G81" s="349">
        <f>'Variation Register'!AC106</f>
        <v>43552</v>
      </c>
      <c r="H81" s="350" t="str">
        <f>'Variation Register'!U106</f>
        <v>Secondary Crushing Building BG450</v>
      </c>
      <c r="I81" s="350" t="str">
        <f>'Variation Register'!V106</f>
        <v>IFC drawings (upon review by Contractor) indicate changes to Work relating to embedment's</v>
      </c>
      <c r="J81" s="351">
        <f>'Variation Register'!AF106</f>
        <v>125746.27</v>
      </c>
      <c r="K81" s="352" t="e">
        <f>'Variation Register'!#REF!</f>
        <v>#REF!</v>
      </c>
      <c r="L81" s="353" t="s">
        <v>74</v>
      </c>
    </row>
    <row r="82" spans="1:12" ht="22.5" x14ac:dyDescent="0.25">
      <c r="A82" s="347" t="str">
        <f>'Variation Register'!A107</f>
        <v>HCV-083</v>
      </c>
      <c r="B82" s="347" t="str">
        <f>+'Variation Register'!T107</f>
        <v>Contract Adjustment (SOR Qty Change)</v>
      </c>
      <c r="C82" s="347">
        <f>+'Variation Register'!B107</f>
        <v>0</v>
      </c>
      <c r="D82" s="347">
        <f>'Variation Register'!C107</f>
        <v>56</v>
      </c>
      <c r="E82" s="348" t="str">
        <f>'Variation Register'!J107</f>
        <v>9641-C-83588-CFC-0459</v>
      </c>
      <c r="F82" s="348">
        <f>'Variation Register'!D107</f>
        <v>0</v>
      </c>
      <c r="G82" s="349">
        <f>'Variation Register'!AC107</f>
        <v>43608</v>
      </c>
      <c r="H82" s="350" t="str">
        <f>'Variation Register'!U107</f>
        <v>Conduit &amp; 33KV Realign</v>
      </c>
      <c r="I82" s="350" t="str">
        <f>'Variation Register'!V107</f>
        <v>The 33kV Conduit and Cable trench in Milestone 2b has been re-aligned, with the addition of excess material to be removed and underboring.</v>
      </c>
      <c r="J82" s="351">
        <f>'Variation Register'!AF107</f>
        <v>167939.64</v>
      </c>
      <c r="K82" s="352" t="e">
        <f>'Variation Register'!#REF!</f>
        <v>#REF!</v>
      </c>
      <c r="L82" s="353" t="s">
        <v>74</v>
      </c>
    </row>
    <row r="83" spans="1:12" ht="56.25" x14ac:dyDescent="0.25">
      <c r="A83" s="347" t="str">
        <f>'Variation Register'!A108</f>
        <v>HCV-084</v>
      </c>
      <c r="B83" s="347" t="str">
        <f>+'Variation Register'!T108</f>
        <v>Contract Adjustment (SOR Qty Change)</v>
      </c>
      <c r="C83" s="347" t="str">
        <f>+'Variation Register'!B108</f>
        <v>TBA</v>
      </c>
      <c r="D83" s="347">
        <f>'Variation Register'!C108</f>
        <v>46</v>
      </c>
      <c r="E83" s="348" t="str">
        <f>'Variation Register'!J108</f>
        <v>9641-C-83588-CFC-0337</v>
      </c>
      <c r="F83" s="348" t="str">
        <f>'Variation Register'!D108</f>
        <v>9641-C-83588-CTC-0435</v>
      </c>
      <c r="G83" s="349">
        <f>'Variation Register'!AC108</f>
        <v>43571</v>
      </c>
      <c r="H83" s="350" t="str">
        <f>'Variation Register'!U108</f>
        <v>Bollard SOW Change - Windrows</v>
      </c>
      <c r="I83" s="350" t="str">
        <f>'Variation Register'!V108</f>
        <v>Company has directed Contractor to supply and install only the following bollard types:
• Bollards cast within concrete slabs as detailed in the Contract Drawings, and
• Type 2/2A bollards chemically anchored within concrete slabs as detailed in the Contract Drawings.</v>
      </c>
      <c r="J83" s="351">
        <f>'Variation Register'!AF108</f>
        <v>9408</v>
      </c>
      <c r="K83" s="352" t="e">
        <f>'Variation Register'!#REF!</f>
        <v>#REF!</v>
      </c>
      <c r="L83" s="353" t="s">
        <v>74</v>
      </c>
    </row>
    <row r="84" spans="1:12" ht="22.5" x14ac:dyDescent="0.25">
      <c r="A84" s="347" t="str">
        <f>'Variation Register'!A109</f>
        <v>HCV-084a</v>
      </c>
      <c r="B84" s="347" t="str">
        <f>+'Variation Register'!T109</f>
        <v>Contract Adjustment (SOR Qty Change)</v>
      </c>
      <c r="C84" s="347" t="str">
        <f>+'Variation Register'!B109</f>
        <v>TBA</v>
      </c>
      <c r="D84" s="347">
        <f>'Variation Register'!C109</f>
        <v>46</v>
      </c>
      <c r="E84" s="348">
        <f>'Variation Register'!J109</f>
        <v>0</v>
      </c>
      <c r="F84" s="348" t="str">
        <f>'Variation Register'!D109</f>
        <v>9641-C-83588-CTC-0816</v>
      </c>
      <c r="G84" s="349">
        <f>'Variation Register'!AC109</f>
        <v>43578</v>
      </c>
      <c r="H84" s="350" t="str">
        <f>'Variation Register'!U109</f>
        <v>Windrows around valves</v>
      </c>
      <c r="I84" s="350" t="str">
        <f>'Variation Register'!V109</f>
        <v>Contractor has been instructed to install windrows in liey of bollards ariound valves.</v>
      </c>
      <c r="J84" s="351">
        <f>'Variation Register'!AF109</f>
        <v>84860</v>
      </c>
      <c r="K84" s="352" t="e">
        <f>'Variation Register'!#REF!</f>
        <v>#REF!</v>
      </c>
      <c r="L84" s="353" t="s">
        <v>74</v>
      </c>
    </row>
    <row r="85" spans="1:12" ht="22.5" x14ac:dyDescent="0.25">
      <c r="A85" s="347" t="str">
        <f>'Variation Register'!A110</f>
        <v>HCV-085</v>
      </c>
      <c r="B85" s="347" t="str">
        <f>+'Variation Register'!T110</f>
        <v>Contract Adjustment (SOR Qty Change)</v>
      </c>
      <c r="C85" s="347" t="str">
        <f>+'Variation Register'!B110</f>
        <v>VD-06</v>
      </c>
      <c r="D85" s="347">
        <f>'Variation Register'!C110</f>
        <v>0</v>
      </c>
      <c r="E85" s="348" t="str">
        <f>'Variation Register'!J110</f>
        <v>9641-C-83588-CFC-0325</v>
      </c>
      <c r="F85" s="348">
        <f>'Variation Register'!D110</f>
        <v>0</v>
      </c>
      <c r="G85" s="349">
        <f>'Variation Register'!AC110</f>
        <v>43560</v>
      </c>
      <c r="H85" s="350" t="str">
        <f>'Variation Register'!U110</f>
        <v>Cable Installation - Trench Excavation</v>
      </c>
      <c r="I85" s="350" t="str">
        <f>'Variation Register'!V110</f>
        <v>Contractor has encountered rock during trench excavation activities on the Outgo Track</v>
      </c>
      <c r="J85" s="351">
        <f>'Variation Register'!AF110</f>
        <v>20547.61</v>
      </c>
      <c r="K85" s="352" t="e">
        <f>'Variation Register'!#REF!</f>
        <v>#REF!</v>
      </c>
      <c r="L85" s="353" t="s">
        <v>74</v>
      </c>
    </row>
    <row r="86" spans="1:12" ht="22.5" x14ac:dyDescent="0.25">
      <c r="A86" s="347" t="str">
        <f>'Variation Register'!A111</f>
        <v>HCV-086</v>
      </c>
      <c r="B86" s="347" t="str">
        <f>+'Variation Register'!T111</f>
        <v>Contract Adjustment (SOR Qty Change)</v>
      </c>
      <c r="C86" s="347" t="str">
        <f>+'Variation Register'!B111</f>
        <v>VD-07</v>
      </c>
      <c r="D86" s="347">
        <f>'Variation Register'!C111</f>
        <v>0</v>
      </c>
      <c r="E86" s="348" t="str">
        <f>'Variation Register'!J111</f>
        <v>9641-C-83588-CFC-0326</v>
      </c>
      <c r="F86" s="348" t="str">
        <f>'Variation Register'!D111</f>
        <v>9641-C-83588-CTC-0502</v>
      </c>
      <c r="G86" s="349">
        <f>'Variation Register'!AC111</f>
        <v>43560</v>
      </c>
      <c r="H86" s="350" t="str">
        <f>'Variation Register'!U111</f>
        <v>Ground Improvement - Scope Growth</v>
      </c>
      <c r="I86" s="350" t="str">
        <f>'Variation Register'!V111</f>
        <v xml:space="preserve">Quantity of the piles to be installed has increased from 80 to 84. </v>
      </c>
      <c r="J86" s="351">
        <f>'Variation Register'!AF111</f>
        <v>82123.77</v>
      </c>
      <c r="K86" s="352" t="e">
        <f>'Variation Register'!#REF!</f>
        <v>#REF!</v>
      </c>
      <c r="L86" s="353" t="s">
        <v>74</v>
      </c>
    </row>
    <row r="87" spans="1:12" ht="22.5" x14ac:dyDescent="0.25">
      <c r="A87" s="347" t="str">
        <f>'Variation Register'!A113</f>
        <v>HCV-088</v>
      </c>
      <c r="B87" s="347" t="str">
        <f>+'Variation Register'!T113</f>
        <v>Variation (Other than a Company Variation Direction)</v>
      </c>
      <c r="C87" s="347" t="str">
        <f>+'Variation Register'!B113</f>
        <v>TBA</v>
      </c>
      <c r="D87" s="347">
        <f>'Variation Register'!C113</f>
        <v>0</v>
      </c>
      <c r="E87" s="348" t="str">
        <f>'Variation Register'!J113</f>
        <v>9641-C-83588-CFC-0334</v>
      </c>
      <c r="F87" s="348">
        <f>'Variation Register'!D113</f>
        <v>0</v>
      </c>
      <c r="G87" s="349">
        <f>'Variation Register'!AC113</f>
        <v>43560</v>
      </c>
      <c r="H87" s="350" t="str">
        <f>'Variation Register'!U113</f>
        <v>Design Changes - Transfer Station TS471</v>
      </c>
      <c r="I87" s="350" t="str">
        <f>'Variation Register'!V113</f>
        <v>IFC drawings (upon review by Contractor) indicate changes to Work relating to embedment's</v>
      </c>
      <c r="J87" s="351">
        <f>'Variation Register'!AF113</f>
        <v>0</v>
      </c>
      <c r="K87" s="352" t="e">
        <f>'Variation Register'!#REF!</f>
        <v>#REF!</v>
      </c>
      <c r="L87" s="353" t="s">
        <v>74</v>
      </c>
    </row>
    <row r="88" spans="1:12" ht="33.75" x14ac:dyDescent="0.25">
      <c r="A88" s="347" t="str">
        <f>'Variation Register'!A114</f>
        <v>HCV-089</v>
      </c>
      <c r="B88" s="347" t="str">
        <f>+'Variation Register'!T114</f>
        <v>Variation (Other than a Company Variation Direction)</v>
      </c>
      <c r="C88" s="347" t="str">
        <f>+'Variation Register'!B114</f>
        <v>VD-06</v>
      </c>
      <c r="D88" s="347">
        <f>'Variation Register'!C114</f>
        <v>0</v>
      </c>
      <c r="E88" s="348" t="str">
        <f>'Variation Register'!J114</f>
        <v>9641-C-83588-CFC-0348</v>
      </c>
      <c r="F88" s="348" t="str">
        <f>'Variation Register'!D114</f>
        <v>9641-C-83588-CTC-0436</v>
      </c>
      <c r="G88" s="349">
        <f>'Variation Register'!AC114</f>
        <v>43569</v>
      </c>
      <c r="H88" s="350" t="str">
        <f>'Variation Register'!U114</f>
        <v>Reclaimer RC02 - Storm Lock Footing Duct Install in Lieu of Anchor Bolts</v>
      </c>
      <c r="I88" s="350" t="str">
        <f>'Variation Register'!V114</f>
        <v>Company has directed Contractor to not install the 4AB6-A-30-750-200 anchor bolts for the Reclaimer RC02 Storm
Lock Footing and install steel ducts instead.</v>
      </c>
      <c r="J88" s="351">
        <f>'Variation Register'!AF114</f>
        <v>108</v>
      </c>
      <c r="K88" s="352" t="e">
        <f>'Variation Register'!#REF!</f>
        <v>#REF!</v>
      </c>
      <c r="L88" s="353" t="s">
        <v>74</v>
      </c>
    </row>
    <row r="89" spans="1:12" ht="22.5" x14ac:dyDescent="0.25">
      <c r="A89" s="347" t="str">
        <f>'Variation Register'!A118</f>
        <v>HCV-093</v>
      </c>
      <c r="B89" s="347" t="str">
        <f>+'Variation Register'!T118</f>
        <v>Variation (Other than a Company Variation Direction)</v>
      </c>
      <c r="C89" s="347" t="str">
        <f>+'Variation Register'!B118</f>
        <v>VD-08</v>
      </c>
      <c r="D89" s="347">
        <f>'Variation Register'!C118</f>
        <v>0</v>
      </c>
      <c r="E89" s="348" t="str">
        <f>'Variation Register'!J118</f>
        <v>9641-C-83588-CFC-0366</v>
      </c>
      <c r="F89" s="348" t="str">
        <f>'Variation Register'!D118</f>
        <v>9641-C-83588-CTC-0572</v>
      </c>
      <c r="G89" s="349">
        <f>'Variation Register'!AC118</f>
        <v>43585</v>
      </c>
      <c r="H89" s="350" t="str">
        <f>'Variation Register'!U118</f>
        <v>Isolation of LP-17 Stockyard 2</v>
      </c>
      <c r="I89" s="350" t="str">
        <f>'Variation Register'!V118</f>
        <v>Contractor was directed to isolate LP-17 to allow Contractor to remove the light pole as part of its Scope of Works.</v>
      </c>
      <c r="J89" s="351">
        <f>'Variation Register'!AF118</f>
        <v>6283.56</v>
      </c>
      <c r="K89" s="352" t="e">
        <f>'Variation Register'!#REF!</f>
        <v>#REF!</v>
      </c>
      <c r="L89" s="353" t="s">
        <v>74</v>
      </c>
    </row>
    <row r="90" spans="1:12" ht="22.5" x14ac:dyDescent="0.25">
      <c r="A90" s="347" t="str">
        <f>'Variation Register'!A119</f>
        <v>HCV-094</v>
      </c>
      <c r="B90" s="347" t="str">
        <f>+'Variation Register'!T119</f>
        <v>Contract Adjustment (SOR Qty Change)</v>
      </c>
      <c r="C90" s="347" t="str">
        <f>+'Variation Register'!B119</f>
        <v>TBA</v>
      </c>
      <c r="D90" s="347">
        <f>'Variation Register'!C119</f>
        <v>0</v>
      </c>
      <c r="E90" s="348" t="str">
        <f>'Variation Register'!J119</f>
        <v>9641-C-83588-CFC-0365</v>
      </c>
      <c r="F90" s="348" t="str">
        <f>'Variation Register'!D119</f>
        <v>9641-C-83588-CTC-1013</v>
      </c>
      <c r="G90" s="349">
        <f>'Variation Register'!AC119</f>
        <v>43581</v>
      </c>
      <c r="H90" s="350" t="str">
        <f>'Variation Register'!U119</f>
        <v>Design Changes - Transfer Station CV521</v>
      </c>
      <c r="I90" s="350" t="str">
        <f>'Variation Register'!V119</f>
        <v>IFC drawings (upon review by Contractor) indicate changes to Work relating to embedment's</v>
      </c>
      <c r="J90" s="351">
        <f>'Variation Register'!AF119</f>
        <v>140811.26</v>
      </c>
      <c r="K90" s="352" t="e">
        <f>'Variation Register'!#REF!</f>
        <v>#REF!</v>
      </c>
      <c r="L90" s="353" t="s">
        <v>74</v>
      </c>
    </row>
    <row r="91" spans="1:12" ht="45" x14ac:dyDescent="0.25">
      <c r="A91" s="347" t="str">
        <f>'Variation Register'!A120</f>
        <v>HCV-096</v>
      </c>
      <c r="B91" s="347" t="str">
        <f>+'Variation Register'!T120</f>
        <v>Variation (Other than a Company Variation Direction)</v>
      </c>
      <c r="C91" s="347" t="str">
        <f>+'Variation Register'!B120</f>
        <v>TBA</v>
      </c>
      <c r="D91" s="347">
        <f>'Variation Register'!C120</f>
        <v>0</v>
      </c>
      <c r="E91" s="348" t="str">
        <f>'Variation Register'!J120</f>
        <v>9641-C-83588-CFC-0369</v>
      </c>
      <c r="F91" s="348">
        <f>'Variation Register'!D120</f>
        <v>0</v>
      </c>
      <c r="G91" s="349">
        <f>'Variation Register'!AC120</f>
        <v>43585</v>
      </c>
      <c r="H91" s="350" t="str">
        <f>'Variation Register'!U120</f>
        <v>Transfer Station 472 - Anchor Bolt Block Out</v>
      </c>
      <c r="I91" s="350" t="str">
        <f>'Variation Register'!V120</f>
        <v>Due to design changes in TS472, Contractor has had to procure additional/ new anchor bolts. To mitigate potential delays to construction whilst awaiting the delivery of the anchor bolts, Contractor has constructed block outs in the pedestals to allow anchor bolts to be installed after pedestal construction.</v>
      </c>
      <c r="J91" s="351">
        <f>'Variation Register'!AF120</f>
        <v>14108.64</v>
      </c>
      <c r="K91" s="352" t="e">
        <f>'Variation Register'!#REF!</f>
        <v>#REF!</v>
      </c>
      <c r="L91" s="353" t="s">
        <v>74</v>
      </c>
    </row>
    <row r="92" spans="1:12" ht="33.75" x14ac:dyDescent="0.25">
      <c r="A92" s="347" t="str">
        <f>'Variation Register'!A121</f>
        <v>HCV-097</v>
      </c>
      <c r="B92" s="347" t="str">
        <f>+'Variation Register'!T121</f>
        <v>Company Site Instruction</v>
      </c>
      <c r="C92" s="347" t="str">
        <f>+'Variation Register'!B121</f>
        <v>VD-08</v>
      </c>
      <c r="D92" s="347">
        <f>'Variation Register'!C121</f>
        <v>52</v>
      </c>
      <c r="E92" s="348" t="str">
        <f>'Variation Register'!J121</f>
        <v>9641-C-83588-CFC-0397</v>
      </c>
      <c r="F92" s="348" t="str">
        <f>'Variation Register'!D121</f>
        <v>9641-C-83588-CTC-0454</v>
      </c>
      <c r="G92" s="349">
        <f>'Variation Register'!AC121</f>
        <v>43599</v>
      </c>
      <c r="H92" s="350" t="str">
        <f>'Variation Register'!U121</f>
        <v>Removal of Inert Waste Material in MS20 &amp; MS24</v>
      </c>
      <c r="I92" s="350" t="str">
        <f>'Variation Register'!V121</f>
        <v>Company has directed Contractor to:
Excavate, load and haul to stockpile and dispose 5,903m3 of inert waste material from drain in MS20 &amp; M24.</v>
      </c>
      <c r="J92" s="351">
        <f>'Variation Register'!AF121</f>
        <v>162547.66</v>
      </c>
      <c r="K92" s="352" t="e">
        <f>'Variation Register'!#REF!</f>
        <v>#REF!</v>
      </c>
      <c r="L92" s="353" t="s">
        <v>74</v>
      </c>
    </row>
    <row r="93" spans="1:12" ht="22.5" x14ac:dyDescent="0.25">
      <c r="A93" s="347" t="str">
        <f>'Variation Register'!A122</f>
        <v>HCV-098</v>
      </c>
      <c r="B93" s="347" t="str">
        <f>+'Variation Register'!T122</f>
        <v>Contract Adjustment (SOR Qty Change)</v>
      </c>
      <c r="C93" s="347" t="str">
        <f>+'Variation Register'!B122</f>
        <v>VD-07</v>
      </c>
      <c r="D93" s="347">
        <f>'Variation Register'!C122</f>
        <v>53</v>
      </c>
      <c r="E93" s="348" t="str">
        <f>'Variation Register'!J122</f>
        <v>9641-C-83588-CFC-0392</v>
      </c>
      <c r="F93" s="348" t="str">
        <f>'Variation Register'!D122</f>
        <v>9641-C-83588-CTC-0455</v>
      </c>
      <c r="G93" s="349">
        <f>'Variation Register'!AC122</f>
        <v>43595</v>
      </c>
      <c r="H93" s="350" t="str">
        <f>'Variation Register'!U122</f>
        <v>Extra Over Haulage - P4-5 Module Road</v>
      </c>
      <c r="I93" s="350" t="str">
        <f>'Variation Register'!V122</f>
        <v>Company has directed Contractor to haul and place any remaining spoil excess and / or spoil unsuitable excavated material to the location of the P4/5 Module Road</v>
      </c>
      <c r="J93" s="351">
        <f>'Variation Register'!AF122</f>
        <v>94053.479999999981</v>
      </c>
      <c r="K93" s="352" t="e">
        <f>'Variation Register'!#REF!</f>
        <v>#REF!</v>
      </c>
      <c r="L93" s="353" t="s">
        <v>74</v>
      </c>
    </row>
    <row r="94" spans="1:12" ht="45" x14ac:dyDescent="0.25">
      <c r="A94" s="347" t="str">
        <f>'Variation Register'!A123</f>
        <v>HCV-099</v>
      </c>
      <c r="B94" s="347" t="str">
        <f>+'Variation Register'!T123</f>
        <v>Contract Adjustment (SOR Qty Change)</v>
      </c>
      <c r="C94" s="347" t="str">
        <f>+'Variation Register'!B123</f>
        <v>VD-14</v>
      </c>
      <c r="D94" s="347">
        <f>'Variation Register'!C123</f>
        <v>0</v>
      </c>
      <c r="E94" s="348" t="str">
        <f>'Variation Register'!J123</f>
        <v>9641-C-83588-CFC-0399</v>
      </c>
      <c r="F94" s="348" t="str">
        <f>'Variation Register'!D123</f>
        <v>9641-C-83588-CTC-0858</v>
      </c>
      <c r="G94" s="349">
        <f>'Variation Register'!AC123</f>
        <v>43591</v>
      </c>
      <c r="H94" s="350" t="str">
        <f>'Variation Register'!U123</f>
        <v>OHP3 Earthworks Design Changes</v>
      </c>
      <c r="I94" s="350" t="str">
        <f>'Variation Register'!V123</f>
        <v>Contractor has undertaken a preliminary review of the drawings and has become aware of evident changes. These changes include, but not limited to, an increase in the 132kV /33 kV substation pad foundation. (CURRENT VALUE FOR BASECOURSE ONLY)</v>
      </c>
      <c r="J94" s="351">
        <f>'Variation Register'!AF123</f>
        <v>64167.98</v>
      </c>
      <c r="K94" s="352" t="e">
        <f>'Variation Register'!#REF!</f>
        <v>#REF!</v>
      </c>
      <c r="L94" s="353" t="s">
        <v>74</v>
      </c>
    </row>
    <row r="95" spans="1:12" ht="33.75" x14ac:dyDescent="0.25">
      <c r="A95" s="347" t="str">
        <f>'Variation Register'!A124</f>
        <v>HCV-100</v>
      </c>
      <c r="B95" s="347" t="str">
        <f>+'Variation Register'!T124</f>
        <v>Variation (Other than a Company Variation Direction)</v>
      </c>
      <c r="C95" s="347" t="str">
        <f>+'Variation Register'!B124</f>
        <v>TBA</v>
      </c>
      <c r="D95" s="347">
        <f>'Variation Register'!C124</f>
        <v>0</v>
      </c>
      <c r="E95" s="348" t="str">
        <f>'Variation Register'!J124</f>
        <v>9641-C-83588-CFC-0378</v>
      </c>
      <c r="F95" s="348">
        <f>'Variation Register'!D124</f>
        <v>0</v>
      </c>
      <c r="G95" s="349">
        <f>'Variation Register'!AC124</f>
        <v>43587</v>
      </c>
      <c r="H95" s="350" t="str">
        <f>'Variation Register'!U124</f>
        <v>Stockyard 2 Earthworks Changes</v>
      </c>
      <c r="I95" s="350" t="str">
        <f>'Variation Register'!V124</f>
        <v>Contractor has undertaken a preliminary review of the drawings and has become aware of evident changes. These changes include, but not limited to, changes in the set out co-ordinates of the TS314 pad.</v>
      </c>
      <c r="J95" s="351">
        <f>'Variation Register'!AF124</f>
        <v>0</v>
      </c>
      <c r="K95" s="352" t="e">
        <f>'Variation Register'!#REF!</f>
        <v>#REF!</v>
      </c>
      <c r="L95" s="353" t="s">
        <v>74</v>
      </c>
    </row>
    <row r="96" spans="1:12" ht="22.5" x14ac:dyDescent="0.25">
      <c r="A96" s="347" t="str">
        <f>'Variation Register'!A125</f>
        <v>HCV-101</v>
      </c>
      <c r="B96" s="347" t="str">
        <f>+'Variation Register'!T125</f>
        <v>Contract Adjustment (SOR Qty Change)</v>
      </c>
      <c r="C96" s="347" t="str">
        <f>+'Variation Register'!B125</f>
        <v>TBA</v>
      </c>
      <c r="D96" s="347">
        <f>'Variation Register'!C125</f>
        <v>0</v>
      </c>
      <c r="E96" s="348" t="str">
        <f>'Variation Register'!J125</f>
        <v>9641-C-83588-CFC-0383</v>
      </c>
      <c r="F96" s="348">
        <f>'Variation Register'!D125</f>
        <v>0</v>
      </c>
      <c r="G96" s="349">
        <f>'Variation Register'!AC125</f>
        <v>43591</v>
      </c>
      <c r="H96" s="350" t="str">
        <f>'Variation Register'!U125</f>
        <v>New Substation SUB485</v>
      </c>
      <c r="I96" s="350" t="str">
        <f>'Variation Register'!V125</f>
        <v>Contractor issued schedule which included release dates for SUB485 which does not form part of WUC</v>
      </c>
      <c r="J96" s="351">
        <f>'Variation Register'!AF125</f>
        <v>0</v>
      </c>
      <c r="K96" s="352" t="e">
        <f>'Variation Register'!#REF!</f>
        <v>#REF!</v>
      </c>
      <c r="L96" s="353" t="s">
        <v>74</v>
      </c>
    </row>
    <row r="97" spans="1:12" ht="33.75" x14ac:dyDescent="0.25">
      <c r="A97" s="347" t="str">
        <f>'Variation Register'!A126</f>
        <v>HCV-102</v>
      </c>
      <c r="B97" s="347" t="str">
        <f>+'Variation Register'!T126</f>
        <v>Variation (Other than a Company Variation Direction)</v>
      </c>
      <c r="C97" s="347" t="str">
        <f>+'Variation Register'!B126</f>
        <v>TBA</v>
      </c>
      <c r="D97" s="347">
        <f>'Variation Register'!C126</f>
        <v>0</v>
      </c>
      <c r="E97" s="348" t="str">
        <f>'Variation Register'!J126</f>
        <v>9641-C-83588-CFC-0385</v>
      </c>
      <c r="F97" s="348">
        <f>'Variation Register'!D126</f>
        <v>0</v>
      </c>
      <c r="G97" s="349">
        <f>'Variation Register'!AC126</f>
        <v>43592</v>
      </c>
      <c r="H97" s="350" t="str">
        <f>'Variation Register'!U126</f>
        <v>Excess Topsoil</v>
      </c>
      <c r="I97" s="350" t="str">
        <f>'Variation Register'!V126</f>
        <v>Signed Field Inspection Records for agreed quantities for the excess topsoil and subsoil removed by Contractor as of 30/04/19 indicates additional quantities to Contract Date Design</v>
      </c>
      <c r="J97" s="351">
        <f>'Variation Register'!AF126</f>
        <v>0</v>
      </c>
      <c r="K97" s="352" t="e">
        <f>'Variation Register'!#REF!</f>
        <v>#REF!</v>
      </c>
      <c r="L97" s="353" t="s">
        <v>74</v>
      </c>
    </row>
    <row r="98" spans="1:12" ht="22.5" x14ac:dyDescent="0.25">
      <c r="A98" s="347" t="str">
        <f>'Variation Register'!A129</f>
        <v>HCV-103b</v>
      </c>
      <c r="B98" s="347" t="str">
        <f>+'Variation Register'!T129</f>
        <v>Contract Adjustment (SOR Qty Change)</v>
      </c>
      <c r="C98" s="347" t="str">
        <f>+'Variation Register'!B129</f>
        <v>TBA</v>
      </c>
      <c r="D98" s="347">
        <f>'Variation Register'!C129</f>
        <v>0</v>
      </c>
      <c r="E98" s="348" t="str">
        <f>'Variation Register'!J129</f>
        <v>9641-C-83588-CFC-0400</v>
      </c>
      <c r="F98" s="348">
        <f>'Variation Register'!D129</f>
        <v>0</v>
      </c>
      <c r="G98" s="349">
        <f>'Variation Register'!AC129</f>
        <v>43600</v>
      </c>
      <c r="H98" s="350" t="str">
        <f>'Variation Register'!U129</f>
        <v>Revised Electrical Scope</v>
      </c>
      <c r="I98" s="350" t="str">
        <f>'Variation Register'!V129</f>
        <v>Updated Qty</v>
      </c>
      <c r="J98" s="351">
        <f>'Variation Register'!AF129</f>
        <v>0</v>
      </c>
      <c r="K98" s="352" t="e">
        <f>'Variation Register'!#REF!</f>
        <v>#REF!</v>
      </c>
      <c r="L98" s="353" t="s">
        <v>74</v>
      </c>
    </row>
    <row r="99" spans="1:12" ht="22.5" x14ac:dyDescent="0.25">
      <c r="A99" s="347" t="str">
        <f>'Variation Register'!A130</f>
        <v>HCV-103c</v>
      </c>
      <c r="B99" s="347" t="str">
        <f>+'Variation Register'!T130</f>
        <v>Contract Adjustment (SOR Qty Change)</v>
      </c>
      <c r="C99" s="347" t="str">
        <f>+'Variation Register'!B130</f>
        <v>TBA</v>
      </c>
      <c r="D99" s="347">
        <f>'Variation Register'!C130</f>
        <v>0</v>
      </c>
      <c r="E99" s="348" t="str">
        <f>'Variation Register'!J130</f>
        <v>TBA</v>
      </c>
      <c r="F99" s="348">
        <f>'Variation Register'!D130</f>
        <v>0</v>
      </c>
      <c r="G99" s="349">
        <f>'Variation Register'!AC130</f>
        <v>43600</v>
      </c>
      <c r="H99" s="350" t="str">
        <f>'Variation Register'!U130</f>
        <v>Revised Electrical Scope</v>
      </c>
      <c r="I99" s="350" t="str">
        <f>'Variation Register'!V130</f>
        <v>Increase in Earthing Cable Qty</v>
      </c>
      <c r="J99" s="351">
        <f>'Variation Register'!AF130</f>
        <v>0</v>
      </c>
      <c r="K99" s="352" t="e">
        <f>'Variation Register'!#REF!</f>
        <v>#REF!</v>
      </c>
      <c r="L99" s="353" t="s">
        <v>74</v>
      </c>
    </row>
    <row r="100" spans="1:12" ht="45" x14ac:dyDescent="0.25">
      <c r="A100" s="347" t="str">
        <f>'Variation Register'!A132</f>
        <v>HCV-105</v>
      </c>
      <c r="B100" s="347" t="str">
        <f>+'Variation Register'!T132</f>
        <v>Company Site Instruction</v>
      </c>
      <c r="C100" s="347" t="str">
        <f>+'Variation Register'!B132</f>
        <v>VD-07 &amp; VD-09</v>
      </c>
      <c r="D100" s="347">
        <f>'Variation Register'!C132</f>
        <v>55</v>
      </c>
      <c r="E100" s="348" t="str">
        <f>'Variation Register'!J132</f>
        <v>9641-C-83588-CFC-0393
9641-C-83588-CFC-0416</v>
      </c>
      <c r="F100" s="348" t="str">
        <f>'Variation Register'!D132</f>
        <v>9641-C-83588-CTC-0482</v>
      </c>
      <c r="G100" s="349">
        <f>'Variation Register'!AC132</f>
        <v>43601</v>
      </c>
      <c r="H100" s="350" t="str">
        <f>'Variation Register'!U132</f>
        <v>Rail Tie-In Works for Track Slews</v>
      </c>
      <c r="I100" s="350" t="str">
        <f>'Variation Register'!V132</f>
        <v>Company has directed Contractor to undertake necessary work to facilitate rail tie-in works by Company</v>
      </c>
      <c r="J100" s="351">
        <f>'Variation Register'!AF132</f>
        <v>174017.61</v>
      </c>
      <c r="K100" s="352" t="e">
        <f>'Variation Register'!#REF!</f>
        <v>#REF!</v>
      </c>
      <c r="L100" s="353" t="s">
        <v>74</v>
      </c>
    </row>
    <row r="101" spans="1:12" ht="45" x14ac:dyDescent="0.25">
      <c r="A101" s="347" t="str">
        <f>'Variation Register'!A133</f>
        <v>HCV-106</v>
      </c>
      <c r="B101" s="347" t="str">
        <f>+'Variation Register'!T133</f>
        <v>Variation (Other than a Company Variation Direction)</v>
      </c>
      <c r="C101" s="347" t="str">
        <f>+'Variation Register'!B133</f>
        <v>VD-10</v>
      </c>
      <c r="D101" s="347">
        <f>'Variation Register'!C133</f>
        <v>0</v>
      </c>
      <c r="E101" s="348" t="str">
        <f>'Variation Register'!J133</f>
        <v>9641-C-83588-CFC-0396
9641-C-83588-CFC-0426</v>
      </c>
      <c r="F101" s="348" t="str">
        <f>'Variation Register'!D133</f>
        <v>9641-C-83588-CTC-0517</v>
      </c>
      <c r="G101" s="349">
        <f>'Variation Register'!AC133</f>
        <v>43598</v>
      </c>
      <c r="H101" s="350" t="str">
        <f>'Variation Register'!U133</f>
        <v>TS471 Design clashes between reinforcing steel and bolts</v>
      </c>
      <c r="I101" s="350" t="str">
        <f>'Variation Register'!V133</f>
        <v>Contractor has identified design clashes between reinforcing steel and bolts in TS471 requiring rectification work</v>
      </c>
      <c r="J101" s="351">
        <f>'Variation Register'!AF133</f>
        <v>1259.6999999999998</v>
      </c>
      <c r="K101" s="352" t="e">
        <f>'Variation Register'!#REF!</f>
        <v>#REF!</v>
      </c>
      <c r="L101" s="353" t="s">
        <v>74</v>
      </c>
    </row>
    <row r="102" spans="1:12" ht="22.5" x14ac:dyDescent="0.25">
      <c r="A102" s="347" t="str">
        <f>'Variation Register'!A134</f>
        <v>HCV-107</v>
      </c>
      <c r="B102" s="347" t="str">
        <f>+'Variation Register'!T134</f>
        <v>Company Site Instruction</v>
      </c>
      <c r="C102" s="347" t="str">
        <f>+'Variation Register'!B134</f>
        <v>VD-07 &amp; VD-10</v>
      </c>
      <c r="D102" s="347">
        <f>'Variation Register'!C134</f>
        <v>61</v>
      </c>
      <c r="E102" s="348" t="str">
        <f>'Variation Register'!J134</f>
        <v>9641-C-83588-CFC-0409</v>
      </c>
      <c r="F102" s="348">
        <f>'Variation Register'!D134</f>
        <v>0</v>
      </c>
      <c r="G102" s="349">
        <f>'Variation Register'!AC134</f>
        <v>43608</v>
      </c>
      <c r="H102" s="350" t="str">
        <f>'Variation Register'!U134</f>
        <v>Light Pole Isolations</v>
      </c>
      <c r="I102" s="350" t="str">
        <f>'Variation Register'!V134</f>
        <v>Contractor has been directed to supply and install 5 Nr electrically rated boxes suitable to isolate the redundant lighting poles.</v>
      </c>
      <c r="J102" s="351">
        <f>'Variation Register'!AF134</f>
        <v>6242.6</v>
      </c>
      <c r="K102" s="352" t="e">
        <f>'Variation Register'!#REF!</f>
        <v>#REF!</v>
      </c>
      <c r="L102" s="353" t="s">
        <v>74</v>
      </c>
    </row>
    <row r="103" spans="1:12" ht="22.5" x14ac:dyDescent="0.25">
      <c r="A103" s="347" t="str">
        <f>'Variation Register'!A135</f>
        <v>HCV-108</v>
      </c>
      <c r="B103" s="347" t="str">
        <f>+'Variation Register'!T135</f>
        <v>Contract Adjustment (SOR Qty Change)</v>
      </c>
      <c r="C103" s="347" t="str">
        <f>+'Variation Register'!B135</f>
        <v>TBA</v>
      </c>
      <c r="D103" s="347">
        <f>'Variation Register'!C135</f>
        <v>0</v>
      </c>
      <c r="E103" s="348" t="str">
        <f>'Variation Register'!J135</f>
        <v>9641-C-83588-CFC-0545</v>
      </c>
      <c r="F103" s="348">
        <f>'Variation Register'!D135</f>
        <v>0</v>
      </c>
      <c r="G103" s="349">
        <f>'Variation Register'!AC135</f>
        <v>43600</v>
      </c>
      <c r="H103" s="350" t="str">
        <f>'Variation Register'!U135</f>
        <v>Cut and Fill Quantities</v>
      </c>
      <c r="I103" s="350" t="str">
        <f>'Variation Register'!V135</f>
        <v>Contractor has revised the cut and fill earthworks MTO based on the latest mass haul. Includes pavements and cement stabilised fill</v>
      </c>
      <c r="J103" s="351">
        <f>'Variation Register'!AF135</f>
        <v>1248045.1200000001</v>
      </c>
      <c r="K103" s="352" t="e">
        <f>'Variation Register'!#REF!</f>
        <v>#REF!</v>
      </c>
      <c r="L103" s="353" t="s">
        <v>74</v>
      </c>
    </row>
    <row r="104" spans="1:12" ht="33.75" x14ac:dyDescent="0.25">
      <c r="A104" s="347" t="str">
        <f>'Variation Register'!A136</f>
        <v>HCV-108.1</v>
      </c>
      <c r="B104" s="347" t="str">
        <f>+'Variation Register'!T136</f>
        <v>Variation (Other than a Company Variation Direction)</v>
      </c>
      <c r="C104" s="347" t="str">
        <f>+'Variation Register'!B136</f>
        <v>TBA</v>
      </c>
      <c r="D104" s="347">
        <f>'Variation Register'!C136</f>
        <v>0</v>
      </c>
      <c r="E104" s="348" t="str">
        <f>'Variation Register'!J136</f>
        <v>9641-C-83588-CFC-0545</v>
      </c>
      <c r="F104" s="348">
        <f>'Variation Register'!D136</f>
        <v>0</v>
      </c>
      <c r="G104" s="349">
        <f>'Variation Register'!AC136</f>
        <v>43600</v>
      </c>
      <c r="H104" s="350" t="str">
        <f>'Variation Register'!U136</f>
        <v>Cut and Fill Quantities</v>
      </c>
      <c r="I104" s="350" t="str">
        <f>'Variation Register'!V136</f>
        <v>Contractor has revised the cut and fill earthworks MTO based on the latest mass haul. Includes pavements and cement stabilised fill (RISK on Transition layer and material source)</v>
      </c>
      <c r="J104" s="351">
        <f>'Variation Register'!AF136</f>
        <v>500000</v>
      </c>
      <c r="K104" s="352" t="e">
        <f>'Variation Register'!#REF!</f>
        <v>#REF!</v>
      </c>
      <c r="L104" s="353" t="s">
        <v>74</v>
      </c>
    </row>
    <row r="105" spans="1:12" ht="22.5" x14ac:dyDescent="0.25">
      <c r="A105" s="347" t="str">
        <f>'Variation Register'!A138</f>
        <v>HCV-109</v>
      </c>
      <c r="B105" s="347" t="str">
        <f>+'Variation Register'!T138</f>
        <v>Contract Adjustment (SOR Qty Change)</v>
      </c>
      <c r="C105" s="347" t="str">
        <f>+'Variation Register'!B138</f>
        <v>TBA</v>
      </c>
      <c r="D105" s="347">
        <f>'Variation Register'!C138</f>
        <v>0</v>
      </c>
      <c r="E105" s="348" t="str">
        <f>'Variation Register'!J138</f>
        <v>9641-C-83588-CFC-0390</v>
      </c>
      <c r="F105" s="348">
        <f>'Variation Register'!D138</f>
        <v>0</v>
      </c>
      <c r="G105" s="349">
        <f>'Variation Register'!AC138</f>
        <v>43601</v>
      </c>
      <c r="H105" s="350" t="str">
        <f>'Variation Register'!U138</f>
        <v>Change in Schedule 1.9 - Table 1.9.2 Cable Drums</v>
      </c>
      <c r="I105" s="350" t="str">
        <f>'Variation Register'!V138</f>
        <v>500mm 1C 33kV and 630mm 1C 132kV cables delivered as single cable drums and not 3 off as per Table 1.9.2</v>
      </c>
      <c r="J105" s="351">
        <f>'Variation Register'!AF138</f>
        <v>1342430.81</v>
      </c>
      <c r="K105" s="352" t="e">
        <f>'Variation Register'!#REF!</f>
        <v>#REF!</v>
      </c>
      <c r="L105" s="353" t="s">
        <v>74</v>
      </c>
    </row>
    <row r="106" spans="1:12" ht="22.5" x14ac:dyDescent="0.25">
      <c r="A106" s="347" t="str">
        <f>'Variation Register'!A139</f>
        <v>HCV-110</v>
      </c>
      <c r="B106" s="347" t="str">
        <f>+'Variation Register'!T139</f>
        <v>Company Site Instruction</v>
      </c>
      <c r="C106" s="347" t="str">
        <f>+'Variation Register'!B139</f>
        <v>TBA</v>
      </c>
      <c r="D106" s="347">
        <f>'Variation Register'!C139</f>
        <v>60</v>
      </c>
      <c r="E106" s="348" t="str">
        <f>'Variation Register'!J139</f>
        <v>9641-C-83588-CFC-0402</v>
      </c>
      <c r="F106" s="348" t="str">
        <f>'Variation Register'!D139</f>
        <v>9641-C-83588-CTC-0866</v>
      </c>
      <c r="G106" s="349">
        <f>'Variation Register'!AC139</f>
        <v>43602</v>
      </c>
      <c r="H106" s="350" t="str">
        <f>'Variation Register'!U139</f>
        <v>Puraceptors</v>
      </c>
      <c r="I106" s="350" t="str">
        <f>'Variation Register'!V139</f>
        <v>Contractor has been directed to escort, receipt, unload and store the Company supplied puraceptors.</v>
      </c>
      <c r="J106" s="351">
        <f>'Variation Register'!AF139</f>
        <v>6123.42</v>
      </c>
      <c r="K106" s="352" t="e">
        <f>'Variation Register'!#REF!</f>
        <v>#REF!</v>
      </c>
      <c r="L106" s="353" t="s">
        <v>74</v>
      </c>
    </row>
    <row r="107" spans="1:12" ht="22.5" x14ac:dyDescent="0.25">
      <c r="A107" s="347" t="str">
        <f>'Variation Register'!A140</f>
        <v>HCV-111</v>
      </c>
      <c r="B107" s="347" t="str">
        <f>+'Variation Register'!T140</f>
        <v>Company Site Instruction</v>
      </c>
      <c r="C107" s="347" t="str">
        <f>+'Variation Register'!B140</f>
        <v>TBA</v>
      </c>
      <c r="D107" s="347">
        <f>'Variation Register'!C140</f>
        <v>59</v>
      </c>
      <c r="E107" s="348">
        <f>'Variation Register'!J140</f>
        <v>0</v>
      </c>
      <c r="F107" s="348" t="str">
        <f>'Variation Register'!D140</f>
        <v>9641-C-83588-CTC-0494</v>
      </c>
      <c r="G107" s="349" t="str">
        <f>'Variation Register'!AC140</f>
        <v>SI059</v>
      </c>
      <c r="H107" s="350" t="str">
        <f>'Variation Register'!U140</f>
        <v>Module Route - COS Hopper</v>
      </c>
      <c r="I107" s="350" t="str">
        <f>'Variation Register'!V140</f>
        <v>Contractor has been directed to construct a 10 meter wide access track to facilitate suitable access for Company to transport COS cast in chutes (hoppers).</v>
      </c>
      <c r="J107" s="351">
        <f>'Variation Register'!AF140</f>
        <v>5000</v>
      </c>
      <c r="K107" s="352" t="e">
        <f>'Variation Register'!#REF!</f>
        <v>#REF!</v>
      </c>
      <c r="L107" s="353" t="s">
        <v>74</v>
      </c>
    </row>
    <row r="108" spans="1:12" ht="45" x14ac:dyDescent="0.25">
      <c r="A108" s="347" t="str">
        <f>'Variation Register'!A141</f>
        <v>HCV-115</v>
      </c>
      <c r="B108" s="347" t="str">
        <f>+'Variation Register'!T141</f>
        <v>Variation (Other than a Company Variation Direction)</v>
      </c>
      <c r="C108" s="347" t="str">
        <f>+'Variation Register'!B141</f>
        <v>VD-15</v>
      </c>
      <c r="D108" s="347">
        <f>'Variation Register'!C141</f>
        <v>0</v>
      </c>
      <c r="E108" s="348" t="str">
        <f>'Variation Register'!J141</f>
        <v>9641-C-83588-CFC-0549</v>
      </c>
      <c r="F108" s="348">
        <f>'Variation Register'!D141</f>
        <v>0</v>
      </c>
      <c r="G108" s="349">
        <f>'Variation Register'!AC141</f>
        <v>43612</v>
      </c>
      <c r="H108" s="350" t="str">
        <f>'Variation Register'!U141</f>
        <v>HV Cable Trench Re-Work</v>
      </c>
      <c r="I108" s="350" t="str">
        <f>'Variation Register'!V141</f>
        <v>Contractor has encountered mine waste whilst excavating the HV cable trench in MS4. As a result, the sand bedding material is sinking. 
Contractor has been directed to remove the sand bedding and install a 150mm layer of select fill, and install the sand bedding on top of it.</v>
      </c>
      <c r="J108" s="351">
        <f>'Variation Register'!AF141</f>
        <v>4669.57</v>
      </c>
      <c r="K108" s="352" t="e">
        <f>'Variation Register'!#REF!</f>
        <v>#REF!</v>
      </c>
      <c r="L108" s="353" t="s">
        <v>74</v>
      </c>
    </row>
    <row r="109" spans="1:12" ht="45" x14ac:dyDescent="0.25">
      <c r="A109" s="347" t="str">
        <f>'Variation Register'!A142</f>
        <v>HCV-116</v>
      </c>
      <c r="B109" s="347" t="str">
        <f>+'Variation Register'!T142</f>
        <v>Variation (Other than a Company Variation Direction)</v>
      </c>
      <c r="C109" s="347" t="str">
        <f>+'Variation Register'!B142</f>
        <v>VD-11</v>
      </c>
      <c r="D109" s="347">
        <f>'Variation Register'!C142</f>
        <v>0</v>
      </c>
      <c r="E109" s="348" t="str">
        <f>'Variation Register'!J142</f>
        <v>9641-C-83588-CFC-0500</v>
      </c>
      <c r="F109" s="348">
        <f>'Variation Register'!D142</f>
        <v>0</v>
      </c>
      <c r="G109" s="349">
        <f>'Variation Register'!AC142</f>
        <v>43687</v>
      </c>
      <c r="H109" s="350" t="str">
        <f>'Variation Register'!U142</f>
        <v>TS472 P15 Bolt and Reinforcement Clash (TQ-0353)</v>
      </c>
      <c r="I109" s="350" t="str">
        <f>'Variation Register'!V142</f>
        <v>Design clashes between the reinforcing steel and bolts in the TS472 P15 pedestal, as listed below:
• Ligature cogs clash with the bolts,
• T1/T2 layer clash with the bolts</v>
      </c>
      <c r="J109" s="351">
        <f>'Variation Register'!AF142</f>
        <v>5703.88</v>
      </c>
      <c r="K109" s="352" t="e">
        <f>'Variation Register'!#REF!</f>
        <v>#REF!</v>
      </c>
      <c r="L109" s="353" t="s">
        <v>74</v>
      </c>
    </row>
    <row r="110" spans="1:12" ht="22.5" x14ac:dyDescent="0.25">
      <c r="A110" s="347" t="str">
        <f>'Variation Register'!A143</f>
        <v>HCV-117</v>
      </c>
      <c r="B110" s="347" t="str">
        <f>+'Variation Register'!T143</f>
        <v>Contract Adjustment (SOR Qty Change)</v>
      </c>
      <c r="C110" s="347" t="str">
        <f>+'Variation Register'!B143</f>
        <v>VD-08</v>
      </c>
      <c r="D110" s="347" t="str">
        <f>'Variation Register'!C143</f>
        <v>058 &amp; 073</v>
      </c>
      <c r="E110" s="348" t="str">
        <f>'Variation Register'!J143</f>
        <v>9641-C-83588-CFC-0793</v>
      </c>
      <c r="F110" s="348">
        <f>'Variation Register'!D143</f>
        <v>0</v>
      </c>
      <c r="G110" s="349" t="str">
        <f>'Variation Register'!AC143</f>
        <v>SI058</v>
      </c>
      <c r="H110" s="350" t="str">
        <f>'Variation Register'!U143</f>
        <v>Guardrail to Embankment MS02 &amp; MS04</v>
      </c>
      <c r="I110" s="350" t="str">
        <f>'Variation Register'!V143</f>
        <v>Company has directed to construct Guardrail to Embankment MS02 &amp; MS04 in lieu of the 0.75 high safety berm and flume openings.</v>
      </c>
      <c r="J110" s="351">
        <f>'Variation Register'!AF143</f>
        <v>1451085</v>
      </c>
      <c r="K110" s="352" t="e">
        <f>'Variation Register'!#REF!</f>
        <v>#REF!</v>
      </c>
      <c r="L110" s="353" t="s">
        <v>74</v>
      </c>
    </row>
    <row r="111" spans="1:12" ht="22.5" x14ac:dyDescent="0.25">
      <c r="A111" s="347" t="str">
        <f>'Variation Register'!A144</f>
        <v>HCV-118</v>
      </c>
      <c r="B111" s="347" t="str">
        <f>+'Variation Register'!T144</f>
        <v>Contract Adjustment (SOR Qty Change)</v>
      </c>
      <c r="C111" s="347" t="str">
        <f>+'Variation Register'!B144</f>
        <v>TBA</v>
      </c>
      <c r="D111" s="347">
        <f>'Variation Register'!C144</f>
        <v>0</v>
      </c>
      <c r="E111" s="348" t="str">
        <f>'Variation Register'!J144</f>
        <v>9641-C-83588-CFC-0435</v>
      </c>
      <c r="F111" s="348">
        <f>'Variation Register'!D144</f>
        <v>0</v>
      </c>
      <c r="G111" s="349">
        <f>'Variation Register'!AC144</f>
        <v>43629</v>
      </c>
      <c r="H111" s="350" t="str">
        <f>'Variation Register'!U144</f>
        <v>Piping Scope Change</v>
      </c>
      <c r="I111" s="350" t="str">
        <f>'Variation Register'!V144</f>
        <v>Contractor has revised the piping MTO based on the latest AFC model issued</v>
      </c>
      <c r="J111" s="351">
        <f>'Variation Register'!AF144</f>
        <v>88519</v>
      </c>
      <c r="K111" s="352" t="e">
        <f>'Variation Register'!#REF!</f>
        <v>#REF!</v>
      </c>
      <c r="L111" s="353" t="s">
        <v>74</v>
      </c>
    </row>
    <row r="112" spans="1:12" ht="22.5" x14ac:dyDescent="0.25">
      <c r="A112" s="347" t="str">
        <f>'Variation Register'!A145</f>
        <v>HCV-118a</v>
      </c>
      <c r="B112" s="347" t="str">
        <f>+'Variation Register'!T145</f>
        <v>Contract Adjustment (SOR Qty Change)</v>
      </c>
      <c r="C112" s="347" t="str">
        <f>+'Variation Register'!B145</f>
        <v>TBA</v>
      </c>
      <c r="D112" s="347">
        <f>'Variation Register'!C145</f>
        <v>0</v>
      </c>
      <c r="E112" s="348" t="str">
        <f>'Variation Register'!J145</f>
        <v>9641-C-83588-CFC-0435</v>
      </c>
      <c r="F112" s="348">
        <f>'Variation Register'!D145</f>
        <v>0</v>
      </c>
      <c r="G112" s="349">
        <f>'Variation Register'!AC145</f>
        <v>43629</v>
      </c>
      <c r="H112" s="350" t="str">
        <f>'Variation Register'!U145</f>
        <v>Piping Scope Change</v>
      </c>
      <c r="I112" s="350" t="str">
        <f>'Variation Register'!V145</f>
        <v>Contractor has revised the piping MTO based on the latest AFC model issued</v>
      </c>
      <c r="J112" s="351">
        <f>'Variation Register'!AF145</f>
        <v>1279838</v>
      </c>
      <c r="K112" s="352" t="e">
        <f>'Variation Register'!#REF!</f>
        <v>#REF!</v>
      </c>
      <c r="L112" s="353" t="s">
        <v>74</v>
      </c>
    </row>
    <row r="113" spans="1:12" ht="22.5" x14ac:dyDescent="0.25">
      <c r="A113" s="347" t="str">
        <f>'Variation Register'!A146</f>
        <v>HCV-119</v>
      </c>
      <c r="B113" s="347" t="str">
        <f>+'Variation Register'!T146</f>
        <v>Variation (Other than a Company Variation Direction)</v>
      </c>
      <c r="C113" s="347" t="str">
        <f>+'Variation Register'!B146</f>
        <v>TBA</v>
      </c>
      <c r="D113" s="347">
        <f>'Variation Register'!C146</f>
        <v>0</v>
      </c>
      <c r="E113" s="348" t="str">
        <f>'Variation Register'!J146</f>
        <v>9641-C-83588-CFC-0413</v>
      </c>
      <c r="F113" s="348">
        <f>'Variation Register'!D146</f>
        <v>0</v>
      </c>
      <c r="G113" s="349">
        <f>'Variation Register'!AC146</f>
        <v>43613</v>
      </c>
      <c r="H113" s="350" t="str">
        <f>'Variation Register'!U146</f>
        <v>Removal of additional LP, cabling</v>
      </c>
      <c r="I113" s="350" t="str">
        <f>'Variation Register'!V146</f>
        <v xml:space="preserve">Contractor has received revised drawing 860-E-00018 Rev 3 which indicate changes to the Works including the removal of an additional light pole, cable </v>
      </c>
      <c r="J113" s="351">
        <f>'Variation Register'!AF146</f>
        <v>0</v>
      </c>
      <c r="K113" s="352" t="e">
        <f>'Variation Register'!#REF!</f>
        <v>#REF!</v>
      </c>
      <c r="L113" s="353" t="s">
        <v>74</v>
      </c>
    </row>
    <row r="114" spans="1:12" ht="22.5" x14ac:dyDescent="0.25">
      <c r="A114" s="347" t="str">
        <f>'Variation Register'!A147</f>
        <v>HCV-120</v>
      </c>
      <c r="B114" s="347" t="str">
        <f>+'Variation Register'!T147</f>
        <v>Variation (Other than a Company Variation Direction)</v>
      </c>
      <c r="C114" s="347" t="str">
        <f>+'Variation Register'!B147</f>
        <v>VD-13</v>
      </c>
      <c r="D114" s="347">
        <f>'Variation Register'!C147</f>
        <v>0</v>
      </c>
      <c r="E114" s="348" t="str">
        <f>'Variation Register'!J147</f>
        <v>9641-C-83588-CFC-0567</v>
      </c>
      <c r="F114" s="348" t="str">
        <f>'Variation Register'!D147</f>
        <v>9641-C-83588-CTC-0739</v>
      </c>
      <c r="G114" s="349">
        <f>'Variation Register'!AC147</f>
        <v>43622</v>
      </c>
      <c r="H114" s="350" t="str">
        <f>'Variation Register'!U147</f>
        <v>Above Ground Valves</v>
      </c>
      <c r="I114" s="350" t="str">
        <f>'Variation Register'!V147</f>
        <v>Company issued RVP-004 for the install of Above Ground Valves.</v>
      </c>
      <c r="J114" s="351">
        <f>'Variation Register'!AF147</f>
        <v>796897.92</v>
      </c>
      <c r="K114" s="352" t="e">
        <f>'Variation Register'!#REF!</f>
        <v>#REF!</v>
      </c>
      <c r="L114" s="353" t="s">
        <v>74</v>
      </c>
    </row>
    <row r="115" spans="1:12" ht="45" x14ac:dyDescent="0.25">
      <c r="A115" s="347" t="str">
        <f>'Variation Register'!A148</f>
        <v>HCV-121</v>
      </c>
      <c r="B115" s="347" t="str">
        <f>+'Variation Register'!T148</f>
        <v>Variation (Other than a Company Variation Direction)</v>
      </c>
      <c r="C115" s="347" t="str">
        <f>+'Variation Register'!B148</f>
        <v>VD-10</v>
      </c>
      <c r="D115" s="347">
        <f>'Variation Register'!C148</f>
        <v>0</v>
      </c>
      <c r="E115" s="348" t="str">
        <f>'Variation Register'!J148</f>
        <v>9641-C-83588-CFC-0413
9641-C-83588-CFC-0421</v>
      </c>
      <c r="F115" s="348">
        <f>'Variation Register'!D148</f>
        <v>0</v>
      </c>
      <c r="G115" s="349">
        <f>'Variation Register'!AC148</f>
        <v>43621</v>
      </c>
      <c r="H115" s="350" t="str">
        <f>'Variation Register'!U148</f>
        <v>132kV Jointing Kits</v>
      </c>
      <c r="I115" s="350" t="str">
        <f>'Variation Register'!V148</f>
        <v>Contractor has been directed to procure the items listed in Drawing 845-E-14138 that are not being supplied with the Company Supplied 132kV Jointing Kits</v>
      </c>
      <c r="J115" s="351">
        <f>'Variation Register'!AF148</f>
        <v>67678.23</v>
      </c>
      <c r="K115" s="352" t="e">
        <f>'Variation Register'!#REF!</f>
        <v>#REF!</v>
      </c>
      <c r="L115" s="353" t="s">
        <v>74</v>
      </c>
    </row>
    <row r="116" spans="1:12" ht="22.5" x14ac:dyDescent="0.25">
      <c r="A116" s="347" t="str">
        <f>'Variation Register'!A149</f>
        <v>HCV-122</v>
      </c>
      <c r="B116" s="347" t="str">
        <f>+'Variation Register'!T149</f>
        <v>Variation (Other than a Company Variation Direction)</v>
      </c>
      <c r="C116" s="347" t="str">
        <f>+'Variation Register'!B149</f>
        <v>VD-09</v>
      </c>
      <c r="D116" s="347">
        <f>'Variation Register'!C149</f>
        <v>0</v>
      </c>
      <c r="E116" s="348" t="str">
        <f>'Variation Register'!J149</f>
        <v>9641-C-83588-CFC-0441</v>
      </c>
      <c r="F116" s="348" t="str">
        <f>'Variation Register'!D149</f>
        <v>9641-C-83588-CTC-0504</v>
      </c>
      <c r="G116" s="349">
        <f>'Variation Register'!AC149</f>
        <v>43630</v>
      </c>
      <c r="H116" s="350" t="str">
        <f>'Variation Register'!U149</f>
        <v>Puraceptors</v>
      </c>
      <c r="I116" s="350" t="str">
        <f>'Variation Register'!V149</f>
        <v>Company issued RVP-005 for the install of Puraceptors</v>
      </c>
      <c r="J116" s="351">
        <f>'Variation Register'!AF149</f>
        <v>457272.02</v>
      </c>
      <c r="K116" s="352" t="e">
        <f>'Variation Register'!#REF!</f>
        <v>#REF!</v>
      </c>
      <c r="L116" s="353" t="s">
        <v>74</v>
      </c>
    </row>
    <row r="117" spans="1:12" ht="22.5" x14ac:dyDescent="0.25">
      <c r="A117" s="347" t="str">
        <f>'Variation Register'!A150</f>
        <v>HCV-122c</v>
      </c>
      <c r="B117" s="347" t="str">
        <f>+'Variation Register'!T150</f>
        <v>Variation (Other than a Company Variation Direction)</v>
      </c>
      <c r="C117" s="347" t="str">
        <f>+'Variation Register'!B150</f>
        <v>VD-09</v>
      </c>
      <c r="D117" s="347">
        <f>'Variation Register'!C150</f>
        <v>0</v>
      </c>
      <c r="E117" s="348" t="str">
        <f>'Variation Register'!J150</f>
        <v>9641-C-83588-CFC-0725</v>
      </c>
      <c r="F117" s="348">
        <f>'Variation Register'!D150</f>
        <v>0</v>
      </c>
      <c r="G117" s="349">
        <f>'Variation Register'!AC150</f>
        <v>43866</v>
      </c>
      <c r="H117" s="350" t="str">
        <f>'Variation Register'!U150</f>
        <v>Puraceptor Manhole Cover Surround</v>
      </c>
      <c r="I117" s="350" t="str">
        <f>'Variation Register'!V150</f>
        <v>Conpany has issued revised drawings for the puracptor manhole covers which provides details of the cover surround which was not provided with RVP-005</v>
      </c>
      <c r="J117" s="351">
        <f>'Variation Register'!AF150</f>
        <v>115997.28000000001</v>
      </c>
      <c r="K117" s="352" t="e">
        <f>'Variation Register'!#REF!</f>
        <v>#REF!</v>
      </c>
      <c r="L117" s="353" t="s">
        <v>74</v>
      </c>
    </row>
    <row r="118" spans="1:12" ht="22.5" x14ac:dyDescent="0.25">
      <c r="A118" s="347" t="str">
        <f>'Variation Register'!A152</f>
        <v>HCV-124</v>
      </c>
      <c r="B118" s="347" t="str">
        <f>+'Variation Register'!T152</f>
        <v>Contract Adjustment (SOR Qty Change)</v>
      </c>
      <c r="C118" s="347" t="str">
        <f>+'Variation Register'!B152</f>
        <v>VD-16</v>
      </c>
      <c r="D118" s="347">
        <f>'Variation Register'!C152</f>
        <v>0</v>
      </c>
      <c r="E118" s="348" t="str">
        <f>'Variation Register'!J152</f>
        <v>9641-C-83588-CFC-0616</v>
      </c>
      <c r="F118" s="348">
        <f>'Variation Register'!D152</f>
        <v>0</v>
      </c>
      <c r="G118" s="349">
        <f>'Variation Register'!AC152</f>
        <v>43629</v>
      </c>
      <c r="H118" s="350" t="str">
        <f>'Variation Register'!U152</f>
        <v>MAC 132/33kV Switchyard</v>
      </c>
      <c r="I118" s="350" t="str">
        <f>'Variation Register'!V152</f>
        <v>IFC drawings (upon review by Contractor) indicate changes to Works.</v>
      </c>
      <c r="J118" s="351">
        <f>'Variation Register'!AF152</f>
        <v>190794.71</v>
      </c>
      <c r="K118" s="352" t="e">
        <f>'Variation Register'!#REF!</f>
        <v>#REF!</v>
      </c>
      <c r="L118" s="353" t="s">
        <v>74</v>
      </c>
    </row>
    <row r="119" spans="1:12" ht="33.75" x14ac:dyDescent="0.25">
      <c r="A119" s="347" t="str">
        <f>'Variation Register'!A153</f>
        <v>HCV-125</v>
      </c>
      <c r="B119" s="347" t="str">
        <f>+'Variation Register'!T153</f>
        <v>Variation (Other than a Company Variation Direction)</v>
      </c>
      <c r="C119" s="347" t="str">
        <f>+'Variation Register'!B153</f>
        <v>VD-10</v>
      </c>
      <c r="D119" s="347">
        <f>'Variation Register'!C153</f>
        <v>0</v>
      </c>
      <c r="E119" s="348" t="str">
        <f>'Variation Register'!J153</f>
        <v>9641-C-83588-CFC-0443</v>
      </c>
      <c r="F119" s="348">
        <f>'Variation Register'!D153</f>
        <v>0</v>
      </c>
      <c r="G119" s="349">
        <f>'Variation Register'!AC153</f>
        <v>43631</v>
      </c>
      <c r="H119" s="350" t="str">
        <f>'Variation Register'!U153</f>
        <v>Transfer Station TS477 Reinforcement Changes</v>
      </c>
      <c r="I119" s="350" t="str">
        <f>'Variation Register'!V153</f>
        <v>Contractor has to undertake rectification works due to design changes in drawing 865-C-12127/1 and clashes between the steel ducts and reinforcement identified in TQ CPB Con-TECHQ-000402.</v>
      </c>
      <c r="J119" s="351">
        <f>'Variation Register'!AF153</f>
        <v>2146.1</v>
      </c>
      <c r="K119" s="352" t="e">
        <f>'Variation Register'!#REF!</f>
        <v>#REF!</v>
      </c>
      <c r="L119" s="353" t="s">
        <v>74</v>
      </c>
    </row>
    <row r="120" spans="1:12" ht="22.5" x14ac:dyDescent="0.25">
      <c r="A120" s="347" t="str">
        <f>'Variation Register'!A154</f>
        <v>HCV-126</v>
      </c>
      <c r="B120" s="347" t="str">
        <f>+'Variation Register'!T154</f>
        <v>Variation (Other than a Company Variation Direction)</v>
      </c>
      <c r="C120" s="347" t="str">
        <f>+'Variation Register'!B154</f>
        <v>VD-10</v>
      </c>
      <c r="D120" s="347">
        <f>'Variation Register'!C154</f>
        <v>0</v>
      </c>
      <c r="E120" s="348" t="str">
        <f>'Variation Register'!J154</f>
        <v>9641-C-83588-CFC-0458</v>
      </c>
      <c r="F120" s="348">
        <f>'Variation Register'!D154</f>
        <v>0</v>
      </c>
      <c r="G120" s="349">
        <f>'Variation Register'!AC154</f>
        <v>43631</v>
      </c>
      <c r="H120" s="350" t="str">
        <f>'Variation Register'!U154</f>
        <v>Change in Design - Dry Compressive Strength Testing</v>
      </c>
      <c r="I120" s="350" t="str">
        <f>'Variation Register'!V154</f>
        <v>Change in Dry Compressive Test frequency from 1 test per source to 1 test per 5,000m3</v>
      </c>
      <c r="J120" s="351">
        <f>'Variation Register'!AF154</f>
        <v>7528.3100000000013</v>
      </c>
      <c r="K120" s="352" t="e">
        <f>'Variation Register'!#REF!</f>
        <v>#REF!</v>
      </c>
      <c r="L120" s="353" t="s">
        <v>74</v>
      </c>
    </row>
    <row r="121" spans="1:12" ht="22.5" x14ac:dyDescent="0.25">
      <c r="A121" s="347" t="str">
        <f>'Variation Register'!A155</f>
        <v>HCV-127</v>
      </c>
      <c r="B121" s="347" t="str">
        <f>+'Variation Register'!T155</f>
        <v>Variation (Other than a Company Variation Direction)</v>
      </c>
      <c r="C121" s="347" t="str">
        <f>+'Variation Register'!B155</f>
        <v>TBA</v>
      </c>
      <c r="D121" s="347">
        <f>'Variation Register'!C155</f>
        <v>88</v>
      </c>
      <c r="E121" s="348" t="str">
        <f>'Variation Register'!J155</f>
        <v>9641-C-83588-CFC-0458</v>
      </c>
      <c r="F121" s="348">
        <f>'Variation Register'!D155</f>
        <v>0</v>
      </c>
      <c r="G121" s="349">
        <f>'Variation Register'!AC155</f>
        <v>43631</v>
      </c>
      <c r="H121" s="350" t="str">
        <f>'Variation Register'!U155</f>
        <v>RVP-010 Laydown Area Plate Load Testing</v>
      </c>
      <c r="I121" s="350" t="str">
        <f>'Variation Register'!V155</f>
        <v>The Company has requested pricing for Plate Load Bearing Test</v>
      </c>
      <c r="J121" s="351">
        <f>'Variation Register'!AF155</f>
        <v>9309.8700000000008</v>
      </c>
      <c r="K121" s="352" t="e">
        <f>'Variation Register'!#REF!</f>
        <v>#REF!</v>
      </c>
      <c r="L121" s="353" t="s">
        <v>74</v>
      </c>
    </row>
    <row r="122" spans="1:12" ht="22.5" x14ac:dyDescent="0.25">
      <c r="A122" s="347" t="str">
        <f>'Variation Register'!A156</f>
        <v>HCV-127.1</v>
      </c>
      <c r="B122" s="347" t="str">
        <f>+'Variation Register'!T156</f>
        <v>Variation (Other than a Company Variation Direction)</v>
      </c>
      <c r="C122" s="347" t="str">
        <f>+'Variation Register'!B156</f>
        <v>VD-12</v>
      </c>
      <c r="D122" s="347">
        <f>'Variation Register'!C156</f>
        <v>88</v>
      </c>
      <c r="E122" s="348" t="str">
        <f>'Variation Register'!J156</f>
        <v>9641-C-83588-CFC-0458</v>
      </c>
      <c r="F122" s="348">
        <f>'Variation Register'!D156</f>
        <v>0</v>
      </c>
      <c r="G122" s="349">
        <f>'Variation Register'!AC156</f>
        <v>43631</v>
      </c>
      <c r="H122" s="350" t="str">
        <f>'Variation Register'!U156</f>
        <v>SI-088</v>
      </c>
      <c r="I122" s="350" t="str">
        <f>'Variation Register'!V156</f>
        <v>The Company has requested pricing for Plate Load Bearing Test</v>
      </c>
      <c r="J122" s="351">
        <f>'Variation Register'!AF156</f>
        <v>186197.23</v>
      </c>
      <c r="K122" s="352" t="e">
        <f>'Variation Register'!#REF!</f>
        <v>#REF!</v>
      </c>
      <c r="L122" s="353" t="s">
        <v>74</v>
      </c>
    </row>
    <row r="123" spans="1:12" ht="67.5" x14ac:dyDescent="0.25">
      <c r="A123" s="347" t="str">
        <f>'Variation Register'!A157</f>
        <v>HCV-128</v>
      </c>
      <c r="B123" s="347" t="str">
        <f>+'Variation Register'!T157</f>
        <v>Variation (Other than a Company Variation Direction)</v>
      </c>
      <c r="C123" s="347" t="str">
        <f>+'Variation Register'!B157</f>
        <v>VD-17
VD-18</v>
      </c>
      <c r="D123" s="347">
        <f>'Variation Register'!C157</f>
        <v>0</v>
      </c>
      <c r="E123" s="348" t="str">
        <f>'Variation Register'!J157</f>
        <v>9641-C-83588-CFC-0447</v>
      </c>
      <c r="F123" s="348">
        <f>'Variation Register'!D157</f>
        <v>0</v>
      </c>
      <c r="G123" s="349">
        <f>'Variation Register'!AC157</f>
        <v>43633</v>
      </c>
      <c r="H123" s="350" t="str">
        <f>'Variation Register'!U157</f>
        <v>Riser and Spool Scope of Works</v>
      </c>
      <c r="I123" s="350" t="str">
        <f>'Variation Register'!V157</f>
        <v xml:space="preserve">The quantity of the following works has increased based on the current services model:
• The building risers,
• The water cannon risers and spools, and 
• The water cannon and fire hydrant risers and spools.
</v>
      </c>
      <c r="J123" s="351">
        <f>'Variation Register'!AF157</f>
        <v>1331901.5900000001</v>
      </c>
      <c r="K123" s="352" t="e">
        <f>'Variation Register'!#REF!</f>
        <v>#REF!</v>
      </c>
      <c r="L123" s="353" t="s">
        <v>74</v>
      </c>
    </row>
    <row r="124" spans="1:12" ht="33.75" x14ac:dyDescent="0.25">
      <c r="A124" s="347" t="str">
        <f>'Variation Register'!A158</f>
        <v>HCV-129</v>
      </c>
      <c r="B124" s="347" t="str">
        <f>+'Variation Register'!T158</f>
        <v>Variation (Other than a Company Variation Direction)</v>
      </c>
      <c r="C124" s="347" t="str">
        <f>+'Variation Register'!B158</f>
        <v>VD-09 &amp; VD-10</v>
      </c>
      <c r="D124" s="347">
        <f>'Variation Register'!C158</f>
        <v>64</v>
      </c>
      <c r="E124" s="348" t="str">
        <f>'Variation Register'!J158</f>
        <v>9641-C-83588-CFC-0501</v>
      </c>
      <c r="F124" s="348">
        <f>'Variation Register'!D158</f>
        <v>0</v>
      </c>
      <c r="G124" s="349">
        <f>'Variation Register'!AC158</f>
        <v>43685</v>
      </c>
      <c r="H124" s="350" t="str">
        <f>'Variation Register'!U158</f>
        <v>TS472 P13 Embedment Modifications (SI-064)</v>
      </c>
      <c r="I124" s="350" t="str">
        <f>'Variation Register'!V158</f>
        <v>SI-064 directed Contractor to cut and remove the type AB6 anchor bolts at slab level and install type AB9 cast-in ducts in their place where depicted on the accompanying marked up Drawing 865-C-12100/2.</v>
      </c>
      <c r="J124" s="351">
        <f>'Variation Register'!AF158</f>
        <v>5199.33</v>
      </c>
      <c r="K124" s="352" t="e">
        <f>'Variation Register'!#REF!</f>
        <v>#REF!</v>
      </c>
      <c r="L124" s="353" t="s">
        <v>74</v>
      </c>
    </row>
    <row r="125" spans="1:12" ht="56.25" x14ac:dyDescent="0.25">
      <c r="A125" s="347" t="str">
        <f>'Variation Register'!A160</f>
        <v>HCV-131</v>
      </c>
      <c r="B125" s="347" t="str">
        <f>+'Variation Register'!T160</f>
        <v>Variation (Other than a Company Variation Direction)</v>
      </c>
      <c r="C125" s="347" t="str">
        <f>+'Variation Register'!B160</f>
        <v>VD-10</v>
      </c>
      <c r="D125" s="347">
        <f>'Variation Register'!C160</f>
        <v>0</v>
      </c>
      <c r="E125" s="348" t="str">
        <f>'Variation Register'!J160</f>
        <v>9641-C-83588-CFC-0457</v>
      </c>
      <c r="F125" s="348">
        <f>'Variation Register'!D160</f>
        <v>0</v>
      </c>
      <c r="G125" s="349">
        <f>'Variation Register'!AC160</f>
        <v>43647</v>
      </c>
      <c r="H125" s="350" t="str">
        <f>'Variation Register'!U160</f>
        <v>Removal of Existing Sewer Line and Building Structures</v>
      </c>
      <c r="I125" s="350" t="str">
        <f>'Variation Register'!V160</f>
        <v>Drawing 860-C-12593, Rev 1, which directs the Contractor to remove the existing sewer lines and building structures. The requirement to remove the existing sewer line and building structures was first added to revision 0 of the above referenced Drawing, which was issued post Contract Award. Revision C of Drawing 860-C-12593 did not include for these works.</v>
      </c>
      <c r="J125" s="351">
        <f>'Variation Register'!AF160</f>
        <v>14541.22</v>
      </c>
      <c r="K125" s="352" t="e">
        <f>'Variation Register'!#REF!</f>
        <v>#REF!</v>
      </c>
      <c r="L125" s="353" t="s">
        <v>74</v>
      </c>
    </row>
    <row r="126" spans="1:12" ht="22.5" x14ac:dyDescent="0.25">
      <c r="A126" s="347" t="str">
        <f>'Variation Register'!A161</f>
        <v>HCV-132</v>
      </c>
      <c r="B126" s="347" t="str">
        <f>+'Variation Register'!T161</f>
        <v>Variation (Other than a Company Variation Direction)</v>
      </c>
      <c r="C126" s="347" t="str">
        <f>+'Variation Register'!B161</f>
        <v>VD-18</v>
      </c>
      <c r="D126" s="347">
        <f>'Variation Register'!C161</f>
        <v>81</v>
      </c>
      <c r="E126" s="348" t="str">
        <f>'Variation Register'!J161</f>
        <v>9641-C-83588-CFC-0513</v>
      </c>
      <c r="F126" s="348" t="str">
        <f>'Variation Register'!D161</f>
        <v>9641-C-83588-CTC-0738</v>
      </c>
      <c r="G126" s="349">
        <f>'Variation Register'!AC161</f>
        <v>43745</v>
      </c>
      <c r="H126" s="350" t="str">
        <f>'Variation Register'!U161</f>
        <v>Below Ground Piping TK671A &amp; TK671B</v>
      </c>
      <c r="I126" s="350" t="str">
        <f>'Variation Register'!V161</f>
        <v>Company issued RVP-007 for the supply and installation of below ground pipework at tank TK671A and tank TK671B</v>
      </c>
      <c r="J126" s="351">
        <f>'Variation Register'!AF161</f>
        <v>67034.7</v>
      </c>
      <c r="K126" s="352" t="e">
        <f>'Variation Register'!#REF!</f>
        <v>#REF!</v>
      </c>
      <c r="L126" s="353" t="s">
        <v>74</v>
      </c>
    </row>
    <row r="127" spans="1:12" ht="22.5" x14ac:dyDescent="0.25">
      <c r="A127" s="347" t="str">
        <f>'Variation Register'!A162</f>
        <v>HCV-133</v>
      </c>
      <c r="B127" s="347" t="str">
        <f>+'Variation Register'!T162</f>
        <v>Variation (Other than a Company Variation Direction)</v>
      </c>
      <c r="C127" s="347" t="str">
        <f>+'Variation Register'!B162</f>
        <v>VD-09</v>
      </c>
      <c r="D127" s="347">
        <f>'Variation Register'!C162</f>
        <v>0</v>
      </c>
      <c r="E127" s="348" t="str">
        <f>'Variation Register'!J162</f>
        <v>9641-C-83588-CFC-0473</v>
      </c>
      <c r="F127" s="348" t="str">
        <f>'Variation Register'!D162</f>
        <v>9641-C-83588-CTC-0609</v>
      </c>
      <c r="G127" s="349">
        <f>'Variation Register'!AC162</f>
        <v>43664</v>
      </c>
      <c r="H127" s="350" t="str">
        <f>'Variation Register'!U162</f>
        <v>RC02 Temporary Buffer End Stops</v>
      </c>
      <c r="I127" s="350" t="str">
        <f>'Variation Register'!V162</f>
        <v>Company issued RVP-009 for the installation of temporary buffer end stops at reclaimer RC02</v>
      </c>
      <c r="J127" s="351">
        <f>'Variation Register'!AF162</f>
        <v>81776.509999999995</v>
      </c>
      <c r="K127" s="352" t="e">
        <f>'Variation Register'!#REF!</f>
        <v>#REF!</v>
      </c>
      <c r="L127" s="353" t="s">
        <v>74</v>
      </c>
    </row>
    <row r="128" spans="1:12" ht="22.5" x14ac:dyDescent="0.25">
      <c r="A128" s="347" t="str">
        <f>'Variation Register'!A163</f>
        <v>HCV-133a</v>
      </c>
      <c r="B128" s="347" t="str">
        <f>+'Variation Register'!T163</f>
        <v>Variation (Other than a Company Variation Direction)</v>
      </c>
      <c r="C128" s="347" t="str">
        <f>+'Variation Register'!B163</f>
        <v>VD-18</v>
      </c>
      <c r="D128" s="347">
        <f>'Variation Register'!C163</f>
        <v>83</v>
      </c>
      <c r="E128" s="348" t="str">
        <f>'Variation Register'!J163</f>
        <v>9641-C-83588-CFC-0644</v>
      </c>
      <c r="F128" s="348" t="str">
        <f>'Variation Register'!D163</f>
        <v>9641-C-83588-CTC-0946</v>
      </c>
      <c r="G128" s="349" t="str">
        <f>'Variation Register'!AC163</f>
        <v>SI083</v>
      </c>
      <c r="H128" s="350" t="str">
        <f>'Variation Register'!U163</f>
        <v>RC02 Temporary Buffer End Stops - SI083</v>
      </c>
      <c r="I128" s="350" t="str">
        <f>'Variation Register'!V163</f>
        <v>Company has issued SI083 directing the Contractor to supply fixings and adhesives.</v>
      </c>
      <c r="J128" s="351">
        <f>'Variation Register'!AF163</f>
        <v>3016.17</v>
      </c>
      <c r="K128" s="352" t="e">
        <f>'Variation Register'!#REF!</f>
        <v>#REF!</v>
      </c>
      <c r="L128" s="353" t="s">
        <v>74</v>
      </c>
    </row>
    <row r="129" spans="1:12" ht="22.5" x14ac:dyDescent="0.25">
      <c r="A129" s="347" t="str">
        <f>'Variation Register'!A164</f>
        <v>HCV-134</v>
      </c>
      <c r="B129" s="347" t="str">
        <f>+'Variation Register'!T164</f>
        <v>Contract Adjustment (SOR Qty Change)</v>
      </c>
      <c r="C129" s="347" t="str">
        <f>+'Variation Register'!B164</f>
        <v>VD-13</v>
      </c>
      <c r="D129" s="347">
        <f>'Variation Register'!C164</f>
        <v>0</v>
      </c>
      <c r="E129" s="348" t="str">
        <f>'Variation Register'!J164</f>
        <v>9641-C-83588-CFC-0479</v>
      </c>
      <c r="F129" s="348">
        <f>'Variation Register'!D164</f>
        <v>0</v>
      </c>
      <c r="G129" s="349">
        <f>'Variation Register'!AC164</f>
        <v>43667</v>
      </c>
      <c r="H129" s="350" t="str">
        <f>'Variation Register'!U164</f>
        <v>Mechanical Excavation of Rock in Drains – Milestone 24A</v>
      </c>
      <c r="I129" s="350" t="str">
        <f>'Variation Register'!V164</f>
        <v>Contractor has encountered rock during drain excavation activities in Milestone 21A.</v>
      </c>
      <c r="J129" s="351">
        <f>'Variation Register'!AF164</f>
        <v>78790.42</v>
      </c>
      <c r="K129" s="352" t="e">
        <f>'Variation Register'!#REF!</f>
        <v>#REF!</v>
      </c>
      <c r="L129" s="353" t="s">
        <v>74</v>
      </c>
    </row>
    <row r="130" spans="1:12" ht="22.5" x14ac:dyDescent="0.25">
      <c r="A130" s="347" t="str">
        <f>'Variation Register'!A165</f>
        <v>HCV-135</v>
      </c>
      <c r="B130" s="347" t="str">
        <f>+'Variation Register'!T165</f>
        <v>Variation (Other than a Company Variation Direction)</v>
      </c>
      <c r="C130" s="347" t="str">
        <f>+'Variation Register'!B165</f>
        <v>VD-10</v>
      </c>
      <c r="D130" s="347">
        <f>'Variation Register'!C165</f>
        <v>80</v>
      </c>
      <c r="E130" s="348" t="str">
        <f>'Variation Register'!J165</f>
        <v>9641-C-83588-CFC-0475</v>
      </c>
      <c r="F130" s="348" t="str">
        <f>'Variation Register'!D165</f>
        <v>9641-C-83588-CTC-0566</v>
      </c>
      <c r="G130" s="349">
        <f>'Variation Register'!AC165</f>
        <v>43667</v>
      </c>
      <c r="H130" s="350" t="str">
        <f>'Variation Register'!U165</f>
        <v>TLO Module Access Rail Crossing</v>
      </c>
      <c r="I130" s="350" t="str">
        <f>'Variation Register'!V165</f>
        <v>Company issued RVP-006 for construction of the southwest module rail crossing within the train load out vicinity</v>
      </c>
      <c r="J130" s="351">
        <f>'Variation Register'!AF165</f>
        <v>620462.36</v>
      </c>
      <c r="K130" s="352" t="e">
        <f>'Variation Register'!#REF!</f>
        <v>#REF!</v>
      </c>
      <c r="L130" s="353" t="s">
        <v>74</v>
      </c>
    </row>
    <row r="131" spans="1:12" ht="22.5" x14ac:dyDescent="0.25">
      <c r="A131" s="347" t="str">
        <f>'Variation Register'!A166</f>
        <v>HCV-136</v>
      </c>
      <c r="B131" s="347" t="str">
        <f>+'Variation Register'!T166</f>
        <v>Variation (Other than a Company Variation Direction)</v>
      </c>
      <c r="C131" s="347" t="str">
        <f>+'Variation Register'!B166</f>
        <v>VD-11</v>
      </c>
      <c r="D131" s="347">
        <f>'Variation Register'!C166</f>
        <v>0</v>
      </c>
      <c r="E131" s="348" t="str">
        <f>'Variation Register'!J166</f>
        <v>9641-C-83588-CFC-0462</v>
      </c>
      <c r="F131" s="348">
        <f>'Variation Register'!D166</f>
        <v>0</v>
      </c>
      <c r="G131" s="349">
        <f>'Variation Register'!AC166</f>
        <v>43648</v>
      </c>
      <c r="H131" s="350" t="str">
        <f>'Variation Register'!U166</f>
        <v>Safety Pause</v>
      </c>
      <c r="I131" s="350" t="str">
        <f>'Variation Register'!V166</f>
        <v>Contractor has been directed by Company for personnel to attend the Safety Pause conducted between 24 June 2019 to 29 June 2019</v>
      </c>
      <c r="J131" s="351">
        <f>'Variation Register'!AF166</f>
        <v>149158.23000000001</v>
      </c>
      <c r="K131" s="352" t="e">
        <f>'Variation Register'!#REF!</f>
        <v>#REF!</v>
      </c>
      <c r="L131" s="353" t="s">
        <v>74</v>
      </c>
    </row>
    <row r="132" spans="1:12" ht="22.5" x14ac:dyDescent="0.25">
      <c r="A132" s="347" t="str">
        <f>'Variation Register'!A168</f>
        <v>HCV-138</v>
      </c>
      <c r="B132" s="347" t="str">
        <f>+'Variation Register'!T168</f>
        <v>Contract Adjustment (SOR Qty Change)</v>
      </c>
      <c r="C132" s="347">
        <f>+'Variation Register'!B168</f>
        <v>0</v>
      </c>
      <c r="D132" s="347">
        <f>'Variation Register'!C168</f>
        <v>0</v>
      </c>
      <c r="E132" s="348" t="str">
        <f>'Variation Register'!J168</f>
        <v>9641-C-83588-CFC-0708</v>
      </c>
      <c r="F132" s="348">
        <f>'Variation Register'!D168</f>
        <v>0</v>
      </c>
      <c r="G132" s="349">
        <f>'Variation Register'!AC168</f>
        <v>43648</v>
      </c>
      <c r="H132" s="350" t="str">
        <f>'Variation Register'!U168</f>
        <v>Design Changes in TLO2</v>
      </c>
      <c r="I132" s="350" t="str">
        <f>'Variation Register'!V168</f>
        <v>Contractor received updated Drawings for the TL02 concrete Works and identified changes</v>
      </c>
      <c r="J132" s="351">
        <f>'Variation Register'!AF168</f>
        <v>77624.55</v>
      </c>
      <c r="K132" s="352" t="e">
        <f>'Variation Register'!#REF!</f>
        <v>#REF!</v>
      </c>
      <c r="L132" s="353" t="s">
        <v>74</v>
      </c>
    </row>
    <row r="133" spans="1:12" ht="22.5" x14ac:dyDescent="0.25">
      <c r="A133" s="347" t="str">
        <f>'Variation Register'!A169</f>
        <v>HCV-138a</v>
      </c>
      <c r="B133" s="347" t="str">
        <f>+'Variation Register'!T169</f>
        <v>Contract Adjustment (SOR Qty Change)</v>
      </c>
      <c r="C133" s="347" t="str">
        <f>+'Variation Register'!B169</f>
        <v>NOV-017</v>
      </c>
      <c r="D133" s="347">
        <f>'Variation Register'!C169</f>
        <v>0</v>
      </c>
      <c r="E133" s="348" t="str">
        <f>'Variation Register'!J169</f>
        <v>9641-C-83588-CFC-0804</v>
      </c>
      <c r="F133" s="348">
        <f>'Variation Register'!D169</f>
        <v>0</v>
      </c>
      <c r="G133" s="349">
        <f>'Variation Register'!AC169</f>
        <v>43914</v>
      </c>
      <c r="H133" s="350" t="str">
        <f>'Variation Register'!U169</f>
        <v>Rebar Density TLO</v>
      </c>
      <c r="I133" s="350" t="str">
        <f>'Variation Register'!V169</f>
        <v>Contractor received updated Drawings for the TL02 concrete Works and identified changes to rebar density</v>
      </c>
      <c r="J133" s="351">
        <f>'Variation Register'!AF169</f>
        <v>539911.06999999995</v>
      </c>
      <c r="K133" s="352" t="e">
        <f>'Variation Register'!#REF!</f>
        <v>#REF!</v>
      </c>
      <c r="L133" s="353" t="s">
        <v>74</v>
      </c>
    </row>
    <row r="134" spans="1:12" ht="33.75" x14ac:dyDescent="0.25">
      <c r="A134" s="347" t="str">
        <f>'Variation Register'!A170</f>
        <v>HCV-139</v>
      </c>
      <c r="B134" s="347" t="str">
        <f>+'Variation Register'!T170</f>
        <v>Variation (Other than a Company Variation Direction)</v>
      </c>
      <c r="C134" s="347">
        <f>+'Variation Register'!B170</f>
        <v>0</v>
      </c>
      <c r="D134" s="347">
        <f>'Variation Register'!C170</f>
        <v>0</v>
      </c>
      <c r="E134" s="348" t="str">
        <f>'Variation Register'!J170</f>
        <v>9641-C-83588-CFC-0468</v>
      </c>
      <c r="F134" s="348">
        <f>'Variation Register'!D170</f>
        <v>0</v>
      </c>
      <c r="G134" s="349">
        <f>'Variation Register'!AC170</f>
        <v>43662</v>
      </c>
      <c r="H134" s="350" t="str">
        <f>'Variation Register'!U170</f>
        <v>Additional Electrical Testing</v>
      </c>
      <c r="I134" s="350" t="str">
        <f>'Variation Register'!V170</f>
        <v>Company response to technical queries CPB Con-TECHQ-000381 and CPB Con-TECHQ-000379 confirmed additional test requirements on ITR's from original Contract documents</v>
      </c>
      <c r="J134" s="351">
        <f>'Variation Register'!AF170</f>
        <v>0</v>
      </c>
      <c r="K134" s="352" t="e">
        <f>'Variation Register'!#REF!</f>
        <v>#REF!</v>
      </c>
      <c r="L134" s="353" t="s">
        <v>74</v>
      </c>
    </row>
    <row r="135" spans="1:12" ht="22.5" x14ac:dyDescent="0.25">
      <c r="A135" s="347" t="str">
        <f>'Variation Register'!A171</f>
        <v>HCV-140</v>
      </c>
      <c r="B135" s="347" t="str">
        <f>+'Variation Register'!T171</f>
        <v>Variation (Other than a Company Variation Direction)</v>
      </c>
      <c r="C135" s="347" t="str">
        <f>+'Variation Register'!B171</f>
        <v>VD-11</v>
      </c>
      <c r="D135" s="347">
        <f>'Variation Register'!C171</f>
        <v>67</v>
      </c>
      <c r="E135" s="348" t="str">
        <f>'Variation Register'!J171</f>
        <v>9641-C-83588-CFC-0552</v>
      </c>
      <c r="F135" s="348">
        <f>'Variation Register'!D171</f>
        <v>0</v>
      </c>
      <c r="G135" s="349">
        <f>'Variation Register'!AC171</f>
        <v>43716</v>
      </c>
      <c r="H135" s="350" t="str">
        <f>'Variation Register'!U171</f>
        <v>Minor Earthworks CH-4900 EW1A</v>
      </c>
      <c r="I135" s="350" t="str">
        <f>'Variation Register'!V171</f>
        <v>Minor Earthworks CH-4900 EW1A</v>
      </c>
      <c r="J135" s="351">
        <f>'Variation Register'!AF171</f>
        <v>11300.08</v>
      </c>
      <c r="K135" s="352" t="e">
        <f>'Variation Register'!#REF!</f>
        <v>#REF!</v>
      </c>
      <c r="L135" s="353" t="s">
        <v>74</v>
      </c>
    </row>
    <row r="136" spans="1:12" ht="22.5" x14ac:dyDescent="0.25">
      <c r="A136" s="347" t="str">
        <f>'Variation Register'!A172</f>
        <v>HCV-141</v>
      </c>
      <c r="B136" s="347" t="str">
        <f>+'Variation Register'!T172</f>
        <v>Variation (Other than a Company Variation Direction)</v>
      </c>
      <c r="C136" s="347" t="str">
        <f>+'Variation Register'!B172</f>
        <v>VD-11 &amp; VD14</v>
      </c>
      <c r="D136" s="347">
        <f>'Variation Register'!C172</f>
        <v>69</v>
      </c>
      <c r="E136" s="348" t="str">
        <f>'Variation Register'!J172</f>
        <v>9641-C-83588-CFC-0553</v>
      </c>
      <c r="F136" s="348" t="str">
        <f>'Variation Register'!D172</f>
        <v>9641-C-83588-CTC-0856</v>
      </c>
      <c r="G136" s="349">
        <f>'Variation Register'!AC172</f>
        <v>43716</v>
      </c>
      <c r="H136" s="350" t="str">
        <f>'Variation Register'!U172</f>
        <v>Clearing Adjacent to MAC Admin Building</v>
      </c>
      <c r="I136" s="350" t="str">
        <f>'Variation Register'!V172</f>
        <v>Clear and grub and stockpile material approx. area 10,668m2</v>
      </c>
      <c r="J136" s="351">
        <f>'Variation Register'!AF172</f>
        <v>5510.8</v>
      </c>
      <c r="K136" s="352" t="e">
        <f>'Variation Register'!#REF!</f>
        <v>#REF!</v>
      </c>
      <c r="L136" s="353" t="s">
        <v>74</v>
      </c>
    </row>
    <row r="137" spans="1:12" ht="22.5" x14ac:dyDescent="0.25">
      <c r="A137" s="347" t="str">
        <f>'Variation Register'!A173</f>
        <v>HCV-142</v>
      </c>
      <c r="B137" s="347" t="str">
        <f>+'Variation Register'!T173</f>
        <v>Variation (Other than a Company Variation Direction)</v>
      </c>
      <c r="C137" s="347">
        <f>+'Variation Register'!B173</f>
        <v>0</v>
      </c>
      <c r="D137" s="347">
        <f>'Variation Register'!C173</f>
        <v>0</v>
      </c>
      <c r="E137" s="348" t="str">
        <f>'Variation Register'!J173</f>
        <v>9641-C-83588-CFC-0528</v>
      </c>
      <c r="F137" s="348">
        <f>'Variation Register'!D173</f>
        <v>0</v>
      </c>
      <c r="G137" s="349">
        <f>'Variation Register'!AC173</f>
        <v>43697</v>
      </c>
      <c r="H137" s="350" t="str">
        <f>'Variation Register'!U173</f>
        <v>RVP-008 TK301 Electrical Scope Additions</v>
      </c>
      <c r="I137" s="350" t="str">
        <f>'Variation Register'!V173</f>
        <v>Electrical Works between TK301 and SUB207</v>
      </c>
      <c r="J137" s="351">
        <f>'Variation Register'!AF173</f>
        <v>0</v>
      </c>
      <c r="K137" s="352" t="e">
        <f>'Variation Register'!#REF!</f>
        <v>#REF!</v>
      </c>
      <c r="L137" s="353" t="s">
        <v>74</v>
      </c>
    </row>
    <row r="138" spans="1:12" ht="22.5" x14ac:dyDescent="0.25">
      <c r="A138" s="347" t="str">
        <f>'Variation Register'!A174</f>
        <v>HCV-143</v>
      </c>
      <c r="B138" s="347" t="str">
        <f>+'Variation Register'!T174</f>
        <v>Variation (Other than a Company Variation Direction)</v>
      </c>
      <c r="C138" s="347">
        <f>+'Variation Register'!B174</f>
        <v>0</v>
      </c>
      <c r="D138" s="347">
        <f>'Variation Register'!C174</f>
        <v>0</v>
      </c>
      <c r="E138" s="348" t="str">
        <f>'Variation Register'!J174</f>
        <v>9641-C-83588-CFC-0493</v>
      </c>
      <c r="F138" s="348" t="str">
        <f>'Variation Register'!D174</f>
        <v>9641-C-83588-CTC-0600</v>
      </c>
      <c r="G138" s="349">
        <f>'Variation Register'!AC174</f>
        <v>43676</v>
      </c>
      <c r="H138" s="350" t="str">
        <f>'Variation Register'!U174</f>
        <v>RVP-011 Construction of SY2 Drain Drop Structure</v>
      </c>
      <c r="I138" s="350" t="str">
        <f>'Variation Register'!V174</f>
        <v>Construction of Stockyard Drain Drop Structure including supply and install of all materials nominated</v>
      </c>
      <c r="J138" s="351">
        <f>'Variation Register'!AF174</f>
        <v>805793.24</v>
      </c>
      <c r="K138" s="352" t="e">
        <f>'Variation Register'!#REF!</f>
        <v>#REF!</v>
      </c>
      <c r="L138" s="353" t="s">
        <v>74</v>
      </c>
    </row>
    <row r="139" spans="1:12" ht="56.25" x14ac:dyDescent="0.25">
      <c r="A139" s="347" t="str">
        <f>'Variation Register'!A175</f>
        <v>HCV-144</v>
      </c>
      <c r="B139" s="347" t="str">
        <f>+'Variation Register'!T175</f>
        <v>Variation (Other than a Company Variation Direction)</v>
      </c>
      <c r="C139" s="347" t="str">
        <f>+'Variation Register'!B175</f>
        <v>VD-10</v>
      </c>
      <c r="D139" s="347">
        <f>'Variation Register'!C175</f>
        <v>79</v>
      </c>
      <c r="E139" s="348" t="str">
        <f>'Variation Register'!J175</f>
        <v>9641-C-83588-CFC-0544</v>
      </c>
      <c r="F139" s="348" t="str">
        <f>'Variation Register'!D175</f>
        <v>9641-C-83588-CTC-0701</v>
      </c>
      <c r="G139" s="349">
        <f>'Variation Register'!AC175</f>
        <v>43712</v>
      </c>
      <c r="H139" s="350" t="str">
        <f>'Variation Register'!U175</f>
        <v>RVP-012 Module Access Roads</v>
      </c>
      <c r="I139" s="350" t="str">
        <f>'Variation Register'!V175</f>
        <v xml:space="preserve">All earthworks to subgrade level for Module Access Roads
Access Road 1 MS10 to MS4
Access Road 2 - MS18
Access Road 3 MS7,9 &amp; 19
</v>
      </c>
      <c r="J139" s="351">
        <f>'Variation Register'!AF175</f>
        <v>715235.55</v>
      </c>
      <c r="K139" s="352" t="e">
        <f>'Variation Register'!#REF!</f>
        <v>#REF!</v>
      </c>
      <c r="L139" s="353" t="s">
        <v>74</v>
      </c>
    </row>
    <row r="140" spans="1:12" ht="22.5" x14ac:dyDescent="0.25">
      <c r="A140" s="347" t="str">
        <f>'Variation Register'!A176</f>
        <v>HCV-144c</v>
      </c>
      <c r="B140" s="347" t="str">
        <f>+'Variation Register'!T176</f>
        <v>Variation (Other than a Company Variation Direction)</v>
      </c>
      <c r="C140" s="347" t="str">
        <f>+'Variation Register'!B176</f>
        <v>VD-13</v>
      </c>
      <c r="D140" s="347">
        <f>'Variation Register'!C176</f>
        <v>0</v>
      </c>
      <c r="E140" s="348" t="str">
        <f>'Variation Register'!J176</f>
        <v>9641-C-83588-CFC-0636</v>
      </c>
      <c r="F140" s="348">
        <f>'Variation Register'!D176</f>
        <v>0</v>
      </c>
      <c r="G140" s="349">
        <f>'Variation Register'!AC176</f>
        <v>43768</v>
      </c>
      <c r="H140" s="350" t="str">
        <f>'Variation Register'!U176</f>
        <v>RVP-012 Module Access Roads - Additional Works</v>
      </c>
      <c r="I140" s="350" t="str">
        <f>'Variation Register'!V176</f>
        <v>Contractor has been instructed to undertake additional works to SI079/RVP012.</v>
      </c>
      <c r="J140" s="351">
        <f>'Variation Register'!AF176</f>
        <v>64796.27</v>
      </c>
      <c r="K140" s="352" t="e">
        <f>'Variation Register'!#REF!</f>
        <v>#REF!</v>
      </c>
      <c r="L140" s="353" t="s">
        <v>74</v>
      </c>
    </row>
    <row r="141" spans="1:12" ht="22.5" x14ac:dyDescent="0.25">
      <c r="A141" s="347" t="str">
        <f>'Variation Register'!A177</f>
        <v>HCV-145</v>
      </c>
      <c r="B141" s="347" t="str">
        <f>+'Variation Register'!T177</f>
        <v>Variation (Other than a Company Variation Direction)</v>
      </c>
      <c r="C141" s="347" t="str">
        <f>+'Variation Register'!B177</f>
        <v>VD-11</v>
      </c>
      <c r="D141" s="347">
        <f>'Variation Register'!C177</f>
        <v>68</v>
      </c>
      <c r="E141" s="348" t="str">
        <f>'Variation Register'!J177</f>
        <v>9641-C-83588-CFC-0551</v>
      </c>
      <c r="F141" s="348">
        <f>'Variation Register'!D177</f>
        <v>0</v>
      </c>
      <c r="G141" s="349">
        <f>'Variation Register'!AC177</f>
        <v>43716</v>
      </c>
      <c r="H141" s="350" t="str">
        <f>'Variation Register'!U177</f>
        <v>SI-068 Geotextile to MAC-C95</v>
      </c>
      <c r="I141" s="350" t="str">
        <f>'Variation Register'!V177</f>
        <v>Supply &amp; install geotextile to MAC-C95 (Dayworks)</v>
      </c>
      <c r="J141" s="351">
        <f>'Variation Register'!AF177</f>
        <v>23804.93</v>
      </c>
      <c r="K141" s="352" t="e">
        <f>'Variation Register'!#REF!</f>
        <v>#REF!</v>
      </c>
      <c r="L141" s="353" t="s">
        <v>74</v>
      </c>
    </row>
    <row r="142" spans="1:12" ht="22.5" x14ac:dyDescent="0.25">
      <c r="A142" s="347" t="str">
        <f>'Variation Register'!A179</f>
        <v>HCV-147</v>
      </c>
      <c r="B142" s="347" t="str">
        <f>+'Variation Register'!T179</f>
        <v>Variation (Other than a Company Variation Direction)</v>
      </c>
      <c r="C142" s="347" t="str">
        <f>+'Variation Register'!B179</f>
        <v>VD-13</v>
      </c>
      <c r="D142" s="347">
        <f>'Variation Register'!C179</f>
        <v>65</v>
      </c>
      <c r="E142" s="348">
        <f>'Variation Register'!J179</f>
        <v>0</v>
      </c>
      <c r="F142" s="348">
        <f>'Variation Register'!D179</f>
        <v>0</v>
      </c>
      <c r="G142" s="349" t="str">
        <f>'Variation Register'!AC179</f>
        <v>SI065</v>
      </c>
      <c r="H142" s="350" t="str">
        <f>'Variation Register'!U179</f>
        <v>Removal of Conveyor Clearance Guards for SME</v>
      </c>
      <c r="I142" s="350" t="str">
        <f>'Variation Register'!V179</f>
        <v>Removal of overhead clearance guards including footings and signage</v>
      </c>
      <c r="J142" s="351">
        <f>'Variation Register'!AF179</f>
        <v>19416.25</v>
      </c>
      <c r="K142" s="352" t="e">
        <f>'Variation Register'!#REF!</f>
        <v>#REF!</v>
      </c>
      <c r="L142" s="353" t="s">
        <v>74</v>
      </c>
    </row>
    <row r="143" spans="1:12" ht="22.5" x14ac:dyDescent="0.25">
      <c r="A143" s="347" t="str">
        <f>'Variation Register'!A180</f>
        <v>HCV-148</v>
      </c>
      <c r="B143" s="347" t="str">
        <f>+'Variation Register'!T180</f>
        <v>Variation (Other than a Company Variation Direction)</v>
      </c>
      <c r="C143" s="347" t="str">
        <f>+'Variation Register'!B180</f>
        <v>VD-13</v>
      </c>
      <c r="D143" s="347">
        <f>'Variation Register'!C180</f>
        <v>71</v>
      </c>
      <c r="E143" s="348" t="str">
        <f>'Variation Register'!J180</f>
        <v>9641-C-83588-CFC-0595</v>
      </c>
      <c r="F143" s="348" t="str">
        <f>'Variation Register'!D180</f>
        <v>9641-C-83588-CTC-0736</v>
      </c>
      <c r="G143" s="349" t="str">
        <f>'Variation Register'!AC180</f>
        <v>SI071</v>
      </c>
      <c r="H143" s="350" t="str">
        <f>'Variation Register'!U180</f>
        <v>CPT Access Track Maintenance</v>
      </c>
      <c r="I143" s="350" t="str">
        <f>'Variation Register'!V180</f>
        <v>Clear and grub, grade and trim, delineator removal and reinstatement</v>
      </c>
      <c r="J143" s="351">
        <f>'Variation Register'!AF180</f>
        <v>6757.92</v>
      </c>
      <c r="K143" s="352" t="e">
        <f>'Variation Register'!#REF!</f>
        <v>#REF!</v>
      </c>
      <c r="L143" s="353" t="s">
        <v>74</v>
      </c>
    </row>
    <row r="144" spans="1:12" ht="22.5" x14ac:dyDescent="0.25">
      <c r="A144" s="347" t="str">
        <f>'Variation Register'!A182</f>
        <v>HCV-150</v>
      </c>
      <c r="B144" s="347" t="str">
        <f>+'Variation Register'!T182</f>
        <v>Variation (Other than a Company Variation Direction)</v>
      </c>
      <c r="C144" s="347" t="str">
        <f>+'Variation Register'!B182</f>
        <v>VD-15</v>
      </c>
      <c r="D144" s="347">
        <f>'Variation Register'!C182</f>
        <v>0</v>
      </c>
      <c r="E144" s="348" t="str">
        <f>'Variation Register'!J182</f>
        <v>9641-C-83588-CFC-0489</v>
      </c>
      <c r="F144" s="348" t="str">
        <f>'Variation Register'!D182</f>
        <v>9641-C-83588-CTC-0782</v>
      </c>
      <c r="G144" s="349">
        <f>'Variation Register'!AC182</f>
        <v>43672</v>
      </c>
      <c r="H144" s="350" t="str">
        <f>'Variation Register'!U182</f>
        <v>Scope Increase – Culverts to be removed or filled in</v>
      </c>
      <c r="I144" s="350" t="str">
        <f>'Variation Register'!V182</f>
        <v>The Contractor has removed or filled in additional existing culverts that were not allowed for the Sch 6.3 rates.</v>
      </c>
      <c r="J144" s="351">
        <f>'Variation Register'!AF182</f>
        <v>82786.009999999995</v>
      </c>
      <c r="K144" s="352" t="e">
        <f>'Variation Register'!#REF!</f>
        <v>#REF!</v>
      </c>
      <c r="L144" s="353" t="s">
        <v>74</v>
      </c>
    </row>
    <row r="145" spans="1:12" ht="56.25" x14ac:dyDescent="0.25">
      <c r="A145" s="347" t="str">
        <f>'Variation Register'!A183</f>
        <v>HCV-151</v>
      </c>
      <c r="B145" s="347" t="str">
        <f>+'Variation Register'!T183</f>
        <v>Variation (Other than a Company Variation Direction)</v>
      </c>
      <c r="C145" s="347">
        <f>+'Variation Register'!B183</f>
        <v>0</v>
      </c>
      <c r="D145" s="347">
        <f>'Variation Register'!C183</f>
        <v>0</v>
      </c>
      <c r="E145" s="348" t="str">
        <f>'Variation Register'!J183</f>
        <v>9641-C-83588-CFC-0486</v>
      </c>
      <c r="F145" s="348">
        <f>'Variation Register'!D183</f>
        <v>0</v>
      </c>
      <c r="G145" s="349">
        <f>'Variation Register'!AC183</f>
        <v>43670</v>
      </c>
      <c r="H145" s="350" t="str">
        <f>'Variation Register'!U183</f>
        <v>Production of RipRap Material</v>
      </c>
      <c r="I145" s="350" t="str">
        <f>'Variation Register'!V183</f>
        <v xml:space="preserve">Contractor has won and installed 6,281m3 of rock from cuttings that Contractor can use as riprap. The rates in the Contract for riprap material is for the sorting and producing of riprap from the Company Supplied stockpile as per the TNCS. The Contractor has undertaken additional work in winning, sorting and hauling the riprap material prior to placement. </v>
      </c>
      <c r="J145" s="351">
        <f>'Variation Register'!AF183</f>
        <v>0</v>
      </c>
      <c r="K145" s="352" t="e">
        <f>'Variation Register'!#REF!</f>
        <v>#REF!</v>
      </c>
      <c r="L145" s="353" t="s">
        <v>74</v>
      </c>
    </row>
    <row r="146" spans="1:12" ht="22.5" x14ac:dyDescent="0.25">
      <c r="A146" s="347" t="str">
        <f>'Variation Register'!A184</f>
        <v>HCV-152</v>
      </c>
      <c r="B146" s="347" t="str">
        <f>+'Variation Register'!T184</f>
        <v>Variation (Other than a Company Variation Direction)</v>
      </c>
      <c r="C146" s="347">
        <f>+'Variation Register'!B184</f>
        <v>0</v>
      </c>
      <c r="D146" s="347">
        <f>'Variation Register'!C184</f>
        <v>0</v>
      </c>
      <c r="E146" s="348" t="str">
        <f>'Variation Register'!J184</f>
        <v>9641-C-83588-CFC-0484</v>
      </c>
      <c r="F146" s="348">
        <f>'Variation Register'!D184</f>
        <v>0</v>
      </c>
      <c r="G146" s="349">
        <f>'Variation Register'!AC184</f>
        <v>43670</v>
      </c>
      <c r="H146" s="350" t="str">
        <f>'Variation Register'!U184</f>
        <v>Material from Borrow - Conveyor CV413 Embankment Construction – MS21B</v>
      </c>
      <c r="I146" s="350" t="str">
        <f>'Variation Register'!V184</f>
        <v>Material from Stockpiles 1 &amp; 2 has been exhausted. Contractor has to now use material from borrow for the construction of embankments in MS21B.</v>
      </c>
      <c r="J146" s="351">
        <f>'Variation Register'!AF184</f>
        <v>0</v>
      </c>
      <c r="K146" s="352" t="e">
        <f>'Variation Register'!#REF!</f>
        <v>#REF!</v>
      </c>
      <c r="L146" s="353" t="s">
        <v>74</v>
      </c>
    </row>
    <row r="147" spans="1:12" ht="22.5" x14ac:dyDescent="0.25">
      <c r="A147" s="347" t="str">
        <f>'Variation Register'!A185</f>
        <v>HCV-153</v>
      </c>
      <c r="B147" s="347" t="str">
        <f>+'Variation Register'!T185</f>
        <v>Variation (Other than a Company Variation Direction)</v>
      </c>
      <c r="C147" s="347">
        <f>+'Variation Register'!B185</f>
        <v>0</v>
      </c>
      <c r="D147" s="347">
        <f>'Variation Register'!C185</f>
        <v>0</v>
      </c>
      <c r="E147" s="348" t="str">
        <f>'Variation Register'!J185</f>
        <v>9641-C-83588-CFC-0490</v>
      </c>
      <c r="F147" s="348">
        <f>'Variation Register'!D185</f>
        <v>0</v>
      </c>
      <c r="G147" s="349">
        <f>'Variation Register'!AC185</f>
        <v>43672</v>
      </c>
      <c r="H147" s="350" t="str">
        <f>'Variation Register'!U185</f>
        <v>Redundant Bollards</v>
      </c>
      <c r="I147" s="350" t="str">
        <f>'Variation Register'!V185</f>
        <v>Company response o TQ-000394 removed 14 Type 3 bollards from Contractors scope and replaced them with Type 1.</v>
      </c>
      <c r="J147" s="351">
        <f>'Variation Register'!AF185</f>
        <v>3336.9</v>
      </c>
      <c r="K147" s="352" t="e">
        <f>'Variation Register'!#REF!</f>
        <v>#REF!</v>
      </c>
      <c r="L147" s="353" t="s">
        <v>74</v>
      </c>
    </row>
    <row r="148" spans="1:12" ht="22.5" x14ac:dyDescent="0.25">
      <c r="A148" s="347" t="str">
        <f>'Variation Register'!A188</f>
        <v>HCV-156</v>
      </c>
      <c r="B148" s="347" t="str">
        <f>+'Variation Register'!T188</f>
        <v>Variation (Other than a Company Variation Direction)</v>
      </c>
      <c r="C148" s="347" t="str">
        <f>+'Variation Register'!B188</f>
        <v>VD-14</v>
      </c>
      <c r="D148" s="347">
        <f>'Variation Register'!C188</f>
        <v>0</v>
      </c>
      <c r="E148" s="348" t="str">
        <f>'Variation Register'!J188</f>
        <v>9641-C-83588-CFC-0495</v>
      </c>
      <c r="F148" s="348" t="str">
        <f>'Variation Register'!D188</f>
        <v>9641-C-83588-CTC-0610</v>
      </c>
      <c r="G148" s="349">
        <f>'Variation Register'!AC188</f>
        <v>43676</v>
      </c>
      <c r="H148" s="350" t="str">
        <f>'Variation Register'!U188</f>
        <v>RVP-013 OHP Crane Pad</v>
      </c>
      <c r="I148" s="350" t="str">
        <f>'Variation Register'!V188</f>
        <v>Construct OHP Crane Pads</v>
      </c>
      <c r="J148" s="351">
        <f>'Variation Register'!AF188</f>
        <v>193577.43</v>
      </c>
      <c r="K148" s="352" t="e">
        <f>'Variation Register'!#REF!</f>
        <v>#REF!</v>
      </c>
      <c r="L148" s="353" t="s">
        <v>74</v>
      </c>
    </row>
    <row r="149" spans="1:12" ht="22.5" x14ac:dyDescent="0.25">
      <c r="A149" s="347" t="str">
        <f>'Variation Register'!A189</f>
        <v>HCV-156a</v>
      </c>
      <c r="B149" s="347" t="str">
        <f>+'Variation Register'!T189</f>
        <v>Variation (Other than a Company Variation Direction)</v>
      </c>
      <c r="C149" s="347" t="str">
        <f>+'Variation Register'!B189</f>
        <v>VD-18</v>
      </c>
      <c r="D149" s="347">
        <f>'Variation Register'!C189</f>
        <v>0</v>
      </c>
      <c r="E149" s="348" t="str">
        <f>'Variation Register'!J189</f>
        <v>9641-C-83588-CFC-0778</v>
      </c>
      <c r="F149" s="348" t="str">
        <f>'Variation Register'!D189</f>
        <v>9641-C-83588-CTC-1002</v>
      </c>
      <c r="G149" s="349">
        <f>'Variation Register'!AC189</f>
        <v>43902</v>
      </c>
      <c r="H149" s="350" t="str">
        <f>'Variation Register'!U189</f>
        <v>BG450 Modificaitons</v>
      </c>
      <c r="I149" s="350" t="str">
        <f>'Variation Register'!V189</f>
        <v>Company issued revised drawings for crane pad BG450. The drawings were issued after Contractor had completed the Works to the origianl design.</v>
      </c>
      <c r="J149" s="351">
        <f>'Variation Register'!AF189</f>
        <v>34811.43</v>
      </c>
      <c r="K149" s="352" t="e">
        <f>'Variation Register'!#REF!</f>
        <v>#REF!</v>
      </c>
      <c r="L149" s="353" t="s">
        <v>74</v>
      </c>
    </row>
    <row r="150" spans="1:12" ht="33.75" x14ac:dyDescent="0.25">
      <c r="A150" s="347" t="str">
        <f>'Variation Register'!A190</f>
        <v>HCV-157</v>
      </c>
      <c r="B150" s="347" t="str">
        <f>+'Variation Register'!T190</f>
        <v>Variation (Other than a Company Variation Direction)</v>
      </c>
      <c r="C150" s="347" t="str">
        <f>+'Variation Register'!B190</f>
        <v>VD-14</v>
      </c>
      <c r="D150" s="347">
        <f>'Variation Register'!C190</f>
        <v>0</v>
      </c>
      <c r="E150" s="348" t="str">
        <f>'Variation Register'!J190</f>
        <v>9641-C-83588-CFC-0554</v>
      </c>
      <c r="F150" s="348" t="str">
        <f>'Variation Register'!D190</f>
        <v>9641-C-83588-CTC-0711</v>
      </c>
      <c r="G150" s="349">
        <f>'Variation Register'!AC190</f>
        <v>43716</v>
      </c>
      <c r="H150" s="350" t="str">
        <f>'Variation Register'!U190</f>
        <v>CV477 GTU Slab Additional Works</v>
      </c>
      <c r="I150" s="350" t="str">
        <f>'Variation Register'!V190</f>
        <v>The reinforcement will not fit within the boundaries of the current slab design. The Contractor proposed to extend the perimeter of the slab edge in the location highlighted in the marked-up drawing accompanying TQ-000462.</v>
      </c>
      <c r="J150" s="351">
        <f>'Variation Register'!AF190</f>
        <v>15005.3</v>
      </c>
      <c r="K150" s="352" t="e">
        <f>'Variation Register'!#REF!</f>
        <v>#REF!</v>
      </c>
      <c r="L150" s="353" t="s">
        <v>74</v>
      </c>
    </row>
    <row r="151" spans="1:12" ht="56.25" x14ac:dyDescent="0.25">
      <c r="A151" s="347" t="str">
        <f>'Variation Register'!A191</f>
        <v>HCV-158</v>
      </c>
      <c r="B151" s="347" t="str">
        <f>+'Variation Register'!T191</f>
        <v>Variation (Other than a Company Variation Direction)</v>
      </c>
      <c r="C151" s="347">
        <f>+'Variation Register'!B191</f>
        <v>0</v>
      </c>
      <c r="D151" s="347">
        <f>'Variation Register'!C191</f>
        <v>0</v>
      </c>
      <c r="E151" s="348" t="str">
        <f>'Variation Register'!J191</f>
        <v>9641-C-83588-CFC-0510</v>
      </c>
      <c r="F151" s="348" t="str">
        <f>'Variation Register'!D191</f>
        <v>9641-C-83588-CTC-0660</v>
      </c>
      <c r="G151" s="349">
        <f>'Variation Register'!AC191</f>
        <v>43686</v>
      </c>
      <c r="H151" s="350" t="str">
        <f>'Variation Register'!U191</f>
        <v>TS472 P22 Pedestal Reinforcement and VSL Duct Clash (TQ 442)</v>
      </c>
      <c r="I151" s="350" t="str">
        <f>'Variation Register'!V191</f>
        <v>Design clashes between the reinforcing steel and the VSL ducts in the TS472 P22 pedestal. Rectification works:
• Trim the hooks; and
• Grind cut the affected capping bars at the bottom and relocate these bars to avoid the clashes.</v>
      </c>
      <c r="J151" s="351">
        <f>'Variation Register'!AF191</f>
        <v>0</v>
      </c>
      <c r="K151" s="352" t="e">
        <f>'Variation Register'!#REF!</f>
        <v>#REF!</v>
      </c>
      <c r="L151" s="353" t="s">
        <v>74</v>
      </c>
    </row>
    <row r="152" spans="1:12" ht="22.5" x14ac:dyDescent="0.25">
      <c r="A152" s="347" t="str">
        <f>'Variation Register'!A192</f>
        <v>HCV-159</v>
      </c>
      <c r="B152" s="347" t="str">
        <f>+'Variation Register'!T192</f>
        <v>Variation (Other than a Company Variation Direction)</v>
      </c>
      <c r="C152" s="347">
        <f>+'Variation Register'!B192</f>
        <v>0</v>
      </c>
      <c r="D152" s="347">
        <f>'Variation Register'!C192</f>
        <v>0</v>
      </c>
      <c r="E152" s="348" t="str">
        <f>'Variation Register'!J192</f>
        <v>9641-C-83588-CFC-0512</v>
      </c>
      <c r="F152" s="348">
        <f>'Variation Register'!D192</f>
        <v>0</v>
      </c>
      <c r="G152" s="349">
        <f>'Variation Register'!AC192</f>
        <v>43686</v>
      </c>
      <c r="H152" s="350" t="str">
        <f>'Variation Register'!U192</f>
        <v>Mesh Reinforcement in Excavations</v>
      </c>
      <c r="I152" s="350" t="str">
        <f>'Variation Register'!V192</f>
        <v>Company has verbally Directed the Contractor to install mesh in the over excavated locations to reduce the cover (where the cover exceeds 125mm)</v>
      </c>
      <c r="J152" s="351">
        <f>'Variation Register'!AF192</f>
        <v>0</v>
      </c>
      <c r="K152" s="352" t="e">
        <f>'Variation Register'!#REF!</f>
        <v>#REF!</v>
      </c>
      <c r="L152" s="353" t="s">
        <v>74</v>
      </c>
    </row>
    <row r="153" spans="1:12" ht="22.5" x14ac:dyDescent="0.25">
      <c r="A153" s="347" t="str">
        <f>'Variation Register'!A193</f>
        <v>HCV-160</v>
      </c>
      <c r="B153" s="347" t="str">
        <f>+'Variation Register'!T193</f>
        <v>Variation (Other than a Company Variation Direction)</v>
      </c>
      <c r="C153" s="347">
        <f>+'Variation Register'!B193</f>
        <v>0</v>
      </c>
      <c r="D153" s="347">
        <f>'Variation Register'!C193</f>
        <v>78</v>
      </c>
      <c r="E153" s="348" t="str">
        <f>'Variation Register'!J193</f>
        <v>9641-C-83588-CFC-0606</v>
      </c>
      <c r="F153" s="348" t="str">
        <f>'Variation Register'!D193</f>
        <v>9641-C-83588-CTC-0862</v>
      </c>
      <c r="G153" s="349">
        <f>'Variation Register'!AC193</f>
        <v>43678</v>
      </c>
      <c r="H153" s="350" t="str">
        <f>'Variation Register'!U193</f>
        <v>TK Laydown Area</v>
      </c>
      <c r="I153" s="350" t="str">
        <f>'Variation Register'!V193</f>
        <v>Contractor has been instructed to complete its Scope of Works to the laydown areas to the East of ST04 and RC02.</v>
      </c>
      <c r="J153" s="351">
        <f>'Variation Register'!AF193</f>
        <v>77906</v>
      </c>
      <c r="K153" s="352" t="e">
        <f>'Variation Register'!#REF!</f>
        <v>#REF!</v>
      </c>
      <c r="L153" s="353" t="s">
        <v>74</v>
      </c>
    </row>
    <row r="154" spans="1:12" ht="22.5" x14ac:dyDescent="0.25">
      <c r="A154" s="347" t="str">
        <f>'Variation Register'!A194</f>
        <v>HCV-160a</v>
      </c>
      <c r="B154" s="347" t="str">
        <f>+'Variation Register'!T194</f>
        <v>Contract Adjustment (SOR Qty Change)</v>
      </c>
      <c r="C154" s="347">
        <f>+'Variation Register'!B194</f>
        <v>0</v>
      </c>
      <c r="D154" s="347">
        <f>'Variation Register'!C194</f>
        <v>78</v>
      </c>
      <c r="E154" s="348" t="str">
        <f>'Variation Register'!J194</f>
        <v>9641-C-83588-CFC-0606</v>
      </c>
      <c r="F154" s="348" t="str">
        <f>'Variation Register'!D194</f>
        <v>9641-C-83588-CTC-0862</v>
      </c>
      <c r="G154" s="349">
        <f>'Variation Register'!AC194</f>
        <v>43678</v>
      </c>
      <c r="H154" s="350" t="str">
        <f>'Variation Register'!U194</f>
        <v>TK Laydown Area - Dayworls</v>
      </c>
      <c r="I154" s="350" t="str">
        <f>'Variation Register'!V194</f>
        <v>Contractor has been instructed to complete its Scope of Works to the laydown areas to the East of ST04 and RC02.</v>
      </c>
      <c r="J154" s="351">
        <f>'Variation Register'!AF194</f>
        <v>78419.8</v>
      </c>
      <c r="K154" s="352" t="e">
        <f>'Variation Register'!#REF!</f>
        <v>#REF!</v>
      </c>
      <c r="L154" s="353" t="s">
        <v>74</v>
      </c>
    </row>
    <row r="155" spans="1:12" ht="22.5" x14ac:dyDescent="0.25">
      <c r="A155" s="347" t="str">
        <f>'Variation Register'!A196</f>
        <v>HCV-162</v>
      </c>
      <c r="B155" s="347" t="str">
        <f>+'Variation Register'!T196</f>
        <v>Variation (Other than a Company Variation Direction)</v>
      </c>
      <c r="C155" s="347">
        <f>+'Variation Register'!B196</f>
        <v>0</v>
      </c>
      <c r="D155" s="347">
        <f>'Variation Register'!C196</f>
        <v>0</v>
      </c>
      <c r="E155" s="348" t="str">
        <f>'Variation Register'!J196</f>
        <v>9641-C-83588-CFC-0525</v>
      </c>
      <c r="F155" s="348">
        <f>'Variation Register'!D196</f>
        <v>0</v>
      </c>
      <c r="G155" s="349">
        <f>'Variation Register'!AC196</f>
        <v>43696</v>
      </c>
      <c r="H155" s="350" t="str">
        <f>'Variation Register'!U196</f>
        <v>Temporary Windrows - MS4c</v>
      </c>
      <c r="I155" s="350" t="str">
        <f>'Variation Register'!V196</f>
        <v>Contractor was verbally directed by Company's J. Farmer to construct temporary windrows in MS4c whilst the guardrails scope of work is finalised.</v>
      </c>
      <c r="J155" s="351">
        <f>'Variation Register'!AF196</f>
        <v>11762.15</v>
      </c>
      <c r="K155" s="352" t="e">
        <f>'Variation Register'!#REF!</f>
        <v>#REF!</v>
      </c>
      <c r="L155" s="353" t="s">
        <v>74</v>
      </c>
    </row>
    <row r="156" spans="1:12" ht="22.5" x14ac:dyDescent="0.25">
      <c r="A156" s="347" t="str">
        <f>'Variation Register'!A197</f>
        <v>HCV-163</v>
      </c>
      <c r="B156" s="347" t="str">
        <f>+'Variation Register'!T197</f>
        <v>Variation (Other than a Company Variation Direction)</v>
      </c>
      <c r="C156" s="347" t="str">
        <f>+'Variation Register'!B197</f>
        <v>VD-10</v>
      </c>
      <c r="D156" s="347">
        <f>'Variation Register'!C197</f>
        <v>0</v>
      </c>
      <c r="E156" s="348" t="str">
        <f>'Variation Register'!J197</f>
        <v>9641-C-83588-CFC-0524</v>
      </c>
      <c r="F156" s="348">
        <f>'Variation Register'!D197</f>
        <v>0</v>
      </c>
      <c r="G156" s="349">
        <f>'Variation Register'!AC197</f>
        <v>43696</v>
      </c>
      <c r="H156" s="350" t="str">
        <f>'Variation Register'!U197</f>
        <v>Inspection of 33kV Cable</v>
      </c>
      <c r="I156" s="350" t="str">
        <f>'Variation Register'!V197</f>
        <v>Contractor was verbally directed by Company to inspect the equipment latent defect encountered in the Company Supplied 33kV cable.</v>
      </c>
      <c r="J156" s="351">
        <f>'Variation Register'!AF197</f>
        <v>3069.1</v>
      </c>
      <c r="K156" s="352" t="e">
        <f>'Variation Register'!#REF!</f>
        <v>#REF!</v>
      </c>
      <c r="L156" s="353" t="s">
        <v>74</v>
      </c>
    </row>
    <row r="157" spans="1:12" ht="22.5" x14ac:dyDescent="0.25">
      <c r="A157" s="347" t="str">
        <f>'Variation Register'!A198</f>
        <v>HCV-164</v>
      </c>
      <c r="B157" s="347" t="str">
        <f>+'Variation Register'!T198</f>
        <v>Variation (Other than a Company Variation Direction)</v>
      </c>
      <c r="C157" s="347" t="str">
        <f>+'Variation Register'!B198</f>
        <v>VD-09 &amp; VD-11</v>
      </c>
      <c r="D157" s="347">
        <f>'Variation Register'!C198</f>
        <v>66</v>
      </c>
      <c r="E157" s="348" t="str">
        <f>'Variation Register'!J198</f>
        <v>9641-C-83588-CFC-0547</v>
      </c>
      <c r="F157" s="348">
        <f>'Variation Register'!D198</f>
        <v>0</v>
      </c>
      <c r="G157" s="349">
        <f>'Variation Register'!AC198</f>
        <v>43714</v>
      </c>
      <c r="H157" s="350" t="str">
        <f>'Variation Register'!U198</f>
        <v>Milestone 08 Extension of Rail Signal Pad – SI066</v>
      </c>
      <c r="I157" s="350" t="str">
        <f>'Variation Register'!V198</f>
        <v xml:space="preserve">SI066 directs the Contractor to extend the existing Rail
Signal Pad located at Milestone 8. </v>
      </c>
      <c r="J157" s="351">
        <f>'Variation Register'!AF198</f>
        <v>13305.83</v>
      </c>
      <c r="K157" s="352" t="e">
        <f>'Variation Register'!#REF!</f>
        <v>#REF!</v>
      </c>
      <c r="L157" s="353" t="s">
        <v>74</v>
      </c>
    </row>
    <row r="158" spans="1:12" ht="22.5" x14ac:dyDescent="0.25">
      <c r="A158" s="347" t="str">
        <f>'Variation Register'!A199</f>
        <v>HCV-165</v>
      </c>
      <c r="B158" s="347" t="str">
        <f>+'Variation Register'!T199</f>
        <v>Variation (Other than a Company Variation Direction)</v>
      </c>
      <c r="C158" s="347" t="str">
        <f>+'Variation Register'!B199</f>
        <v>VD-12</v>
      </c>
      <c r="D158" s="347">
        <f>'Variation Register'!C199</f>
        <v>0</v>
      </c>
      <c r="E158" s="348" t="str">
        <f>'Variation Register'!J199</f>
        <v>9641-C-83588-CFC-0538</v>
      </c>
      <c r="F158" s="348">
        <f>'Variation Register'!D199</f>
        <v>0</v>
      </c>
      <c r="G158" s="349">
        <f>'Variation Register'!AC199</f>
        <v>43708</v>
      </c>
      <c r="H158" s="350" t="str">
        <f>'Variation Register'!U199</f>
        <v>Puraceptor Piping</v>
      </c>
      <c r="I158" s="350" t="str">
        <f>'Variation Register'!V199</f>
        <v>The Company's revised design (Underground Services model Rev5) indicates new stainless steel pipe associated with substations</v>
      </c>
      <c r="J158" s="351">
        <f>'Variation Register'!AF199</f>
        <v>618953.59</v>
      </c>
      <c r="K158" s="352" t="e">
        <f>'Variation Register'!#REF!</f>
        <v>#REF!</v>
      </c>
      <c r="L158" s="353" t="s">
        <v>74</v>
      </c>
    </row>
    <row r="159" spans="1:12" ht="22.5" x14ac:dyDescent="0.25">
      <c r="A159" s="347" t="str">
        <f>'Variation Register'!A200</f>
        <v>HCV-165a</v>
      </c>
      <c r="B159" s="347" t="str">
        <f>+'Variation Register'!T200</f>
        <v>Variation (Other than a Company Variation Direction)</v>
      </c>
      <c r="C159" s="347" t="str">
        <f>+'Variation Register'!B200</f>
        <v>VD-18</v>
      </c>
      <c r="D159" s="347">
        <f>'Variation Register'!C200</f>
        <v>0</v>
      </c>
      <c r="E159" s="348" t="str">
        <f>'Variation Register'!J200</f>
        <v>9641-C-83588-CFC-0709</v>
      </c>
      <c r="F159" s="348">
        <f>'Variation Register'!D200</f>
        <v>0</v>
      </c>
      <c r="G159" s="349">
        <f>'Variation Register'!AC200</f>
        <v>43857</v>
      </c>
      <c r="H159" s="350" t="str">
        <f>'Variation Register'!U200</f>
        <v>Puraceptor Piping - SUB485</v>
      </c>
      <c r="I159" s="350" t="str">
        <f>'Variation Register'!V200</f>
        <v>Puraceptor Pipework to SUB485</v>
      </c>
      <c r="J159" s="351">
        <f>'Variation Register'!AF200</f>
        <v>134640</v>
      </c>
      <c r="K159" s="352" t="e">
        <f>'Variation Register'!#REF!</f>
        <v>#REF!</v>
      </c>
      <c r="L159" s="353" t="s">
        <v>74</v>
      </c>
    </row>
    <row r="160" spans="1:12" ht="22.5" x14ac:dyDescent="0.25">
      <c r="A160" s="347" t="str">
        <f>'Variation Register'!A201</f>
        <v>HCV-165b</v>
      </c>
      <c r="B160" s="347" t="str">
        <f>+'Variation Register'!T201</f>
        <v>Variation (Other than a Company Variation Direction)</v>
      </c>
      <c r="C160" s="347" t="str">
        <f>+'Variation Register'!B201</f>
        <v>VD-18</v>
      </c>
      <c r="D160" s="347">
        <f>'Variation Register'!C201</f>
        <v>0</v>
      </c>
      <c r="E160" s="348" t="str">
        <f>'Variation Register'!J201</f>
        <v>9641-C-83588-CFC-0885</v>
      </c>
      <c r="F160" s="348">
        <f>'Variation Register'!D201</f>
        <v>0</v>
      </c>
      <c r="G160" s="349">
        <f>'Variation Register'!AC201</f>
        <v>43967</v>
      </c>
      <c r="H160" s="350" t="str">
        <f>'Variation Register'!U201</f>
        <v>Puraceptor Piping - COS &amp; TLO MCC</v>
      </c>
      <c r="I160" s="350" t="str">
        <f>'Variation Register'!V201</f>
        <v>Puraceptor Pipework to TLO &amp; COS MCC</v>
      </c>
      <c r="J160" s="351">
        <f>'Variation Register'!AF201</f>
        <v>266207.18</v>
      </c>
      <c r="K160" s="352" t="e">
        <f>'Variation Register'!#REF!</f>
        <v>#REF!</v>
      </c>
      <c r="L160" s="353" t="s">
        <v>74</v>
      </c>
    </row>
    <row r="161" spans="1:12" ht="22.5" x14ac:dyDescent="0.25">
      <c r="A161" s="347" t="str">
        <f>'Variation Register'!A202</f>
        <v>HCV-166</v>
      </c>
      <c r="B161" s="347" t="str">
        <f>+'Variation Register'!T202</f>
        <v>Variation (Other than a Company Variation Direction)</v>
      </c>
      <c r="C161" s="347" t="str">
        <f>+'Variation Register'!B202</f>
        <v>VD-18</v>
      </c>
      <c r="D161" s="347">
        <f>'Variation Register'!C202</f>
        <v>0</v>
      </c>
      <c r="E161" s="348" t="str">
        <f>'Variation Register'!J202</f>
        <v>9641-C-83588-CFC-0571</v>
      </c>
      <c r="F161" s="348" t="str">
        <f>'Variation Register'!D202</f>
        <v>9641-C-83588-CTC-1017</v>
      </c>
      <c r="G161" s="349">
        <f>'Variation Register'!AC202</f>
        <v>43726</v>
      </c>
      <c r="H161" s="350" t="str">
        <f>'Variation Register'!U202</f>
        <v>BG440 F4 Footing P11 Reo - VSL Ducts Clash (TQ 517)</v>
      </c>
      <c r="I161" s="350" t="str">
        <f>'Variation Register'!V202</f>
        <v>Design clash between the N36 capping bars and VSL ducting in the P11 and P11A pedestals.</v>
      </c>
      <c r="J161" s="351">
        <f>'Variation Register'!AF202</f>
        <v>2745.23</v>
      </c>
      <c r="K161" s="352" t="e">
        <f>'Variation Register'!#REF!</f>
        <v>#REF!</v>
      </c>
      <c r="L161" s="353" t="s">
        <v>74</v>
      </c>
    </row>
    <row r="162" spans="1:12" ht="22.5" x14ac:dyDescent="0.25">
      <c r="A162" s="347" t="str">
        <f>'Variation Register'!A203</f>
        <v>HCV-167</v>
      </c>
      <c r="B162" s="347" t="str">
        <f>+'Variation Register'!T203</f>
        <v>Variation (Other than a Company Variation Direction)</v>
      </c>
      <c r="C162" s="347" t="str">
        <f>+'Variation Register'!B203</f>
        <v>VD-11</v>
      </c>
      <c r="D162" s="347">
        <f>'Variation Register'!C203</f>
        <v>77</v>
      </c>
      <c r="E162" s="348" t="str">
        <f>'Variation Register'!J203</f>
        <v>9641-C-83588-CFC-0548</v>
      </c>
      <c r="F162" s="348" t="str">
        <f>'Variation Register'!D203</f>
        <v>9641-C-83588-CTC-0735</v>
      </c>
      <c r="G162" s="349">
        <f>'Variation Register'!AC203</f>
        <v>43715</v>
      </c>
      <c r="H162" s="350" t="str">
        <f>'Variation Register'!U203</f>
        <v xml:space="preserve">Milestone 8 and 11 Netting Installation </v>
      </c>
      <c r="I162" s="350" t="str">
        <f>'Variation Register'!V203</f>
        <v xml:space="preserve">Contractor refers to Site Instruction SI077 wherein the Company has directed the Contractor to install netting beneath conveyors MC307 and MC315. </v>
      </c>
      <c r="J162" s="351">
        <f>'Variation Register'!AF203</f>
        <v>4853.96</v>
      </c>
      <c r="K162" s="352" t="e">
        <f>'Variation Register'!#REF!</f>
        <v>#REF!</v>
      </c>
      <c r="L162" s="353" t="s">
        <v>74</v>
      </c>
    </row>
    <row r="163" spans="1:12" ht="33.75" x14ac:dyDescent="0.25">
      <c r="A163" s="347" t="str">
        <f>'Variation Register'!A204</f>
        <v>HCV-168</v>
      </c>
      <c r="B163" s="347" t="str">
        <f>+'Variation Register'!T204</f>
        <v>Variation (Other than a Company Variation Direction)</v>
      </c>
      <c r="C163" s="347" t="str">
        <f>+'Variation Register'!B204</f>
        <v>VD-18</v>
      </c>
      <c r="D163" s="347">
        <f>'Variation Register'!C204</f>
        <v>0</v>
      </c>
      <c r="E163" s="348" t="str">
        <f>'Variation Register'!J204</f>
        <v>9641-C-83588-CFC-0570</v>
      </c>
      <c r="F163" s="348" t="str">
        <f>'Variation Register'!D204</f>
        <v>9641-C-83588-CTC-1018</v>
      </c>
      <c r="G163" s="349">
        <f>'Variation Register'!AC204</f>
        <v>43725</v>
      </c>
      <c r="H163" s="350" t="str">
        <f>'Variation Register'!U204</f>
        <v>Secondary Crusher Roof Rebar Clash</v>
      </c>
      <c r="I163" s="350" t="str">
        <f>'Variation Register'!V204</f>
        <v>Design clash in the Secondary Crusher Building BG450. The design on drawing 863-C-00081 does not allow for the PVC pipes. The pipe cast-in clashes with the bottom and top mat in the reinforcement beam.</v>
      </c>
      <c r="J163" s="351">
        <f>'Variation Register'!AF204</f>
        <v>2609.79</v>
      </c>
      <c r="K163" s="352" t="e">
        <f>'Variation Register'!#REF!</f>
        <v>#REF!</v>
      </c>
      <c r="L163" s="353" t="s">
        <v>74</v>
      </c>
    </row>
    <row r="164" spans="1:12" ht="33.75" x14ac:dyDescent="0.25">
      <c r="A164" s="347" t="str">
        <f>'Variation Register'!A205</f>
        <v>HCV-169</v>
      </c>
      <c r="B164" s="347" t="str">
        <f>+'Variation Register'!T205</f>
        <v>Variation (Other than a Company Variation Direction)</v>
      </c>
      <c r="C164" s="347" t="str">
        <f>+'Variation Register'!B205</f>
        <v>VD-13</v>
      </c>
      <c r="D164" s="347">
        <f>'Variation Register'!C205</f>
        <v>0</v>
      </c>
      <c r="E164" s="348" t="str">
        <f>'Variation Register'!J205</f>
        <v>9641-C-83588-CFC-0577</v>
      </c>
      <c r="F164" s="348" t="str">
        <f>'Variation Register'!D205</f>
        <v>9641-C-83588-CTC-0742</v>
      </c>
      <c r="G164" s="349">
        <f>'Variation Register'!AC205</f>
        <v>43731</v>
      </c>
      <c r="H164" s="350" t="str">
        <f>'Variation Register'!U205</f>
        <v>CV484 Drive Station Kerb Design Change Reworks</v>
      </c>
      <c r="I164" s="350" t="str">
        <f>'Variation Register'!V205</f>
        <v>The earthworks finished levels around the siltation pit area of CV484 drive station are higher than the concrete finished levels. At the highest point the finished ground level is approximately 150mm higher than the raft foundation.</v>
      </c>
      <c r="J164" s="351">
        <f>'Variation Register'!AF205</f>
        <v>13101.66</v>
      </c>
      <c r="K164" s="352" t="e">
        <f>'Variation Register'!#REF!</f>
        <v>#REF!</v>
      </c>
      <c r="L164" s="353" t="s">
        <v>74</v>
      </c>
    </row>
    <row r="165" spans="1:12" ht="22.5" x14ac:dyDescent="0.25">
      <c r="A165" s="347" t="str">
        <f>'Variation Register'!A206</f>
        <v>HCV-170</v>
      </c>
      <c r="B165" s="347" t="str">
        <f>+'Variation Register'!T206</f>
        <v>Variation (Other than a Company Variation Direction)</v>
      </c>
      <c r="C165" s="347" t="str">
        <f>+'Variation Register'!B206</f>
        <v>VD-18</v>
      </c>
      <c r="D165" s="347">
        <f>'Variation Register'!C206</f>
        <v>0</v>
      </c>
      <c r="E165" s="348" t="str">
        <f>'Variation Register'!J206</f>
        <v>9641-C-83588-CFC-0573</v>
      </c>
      <c r="F165" s="348">
        <f>'Variation Register'!D206</f>
        <v>0</v>
      </c>
      <c r="G165" s="349">
        <f>'Variation Register'!AC206</f>
        <v>43736</v>
      </c>
      <c r="H165" s="350" t="str">
        <f>'Variation Register'!U206</f>
        <v>Removal of Track Renewals Material</v>
      </c>
      <c r="I165" s="350" t="str">
        <f>'Variation Register'!V206</f>
        <v xml:space="preserve">Contractor has been directed by Company to remove materials such as contaminated ballast, ballast stockpile and sleepers. </v>
      </c>
      <c r="J165" s="351">
        <f>'Variation Register'!AF206</f>
        <v>2444.0700000000002</v>
      </c>
      <c r="K165" s="352" t="e">
        <f>'Variation Register'!#REF!</f>
        <v>#REF!</v>
      </c>
      <c r="L165" s="353" t="s">
        <v>74</v>
      </c>
    </row>
    <row r="166" spans="1:12" ht="22.5" x14ac:dyDescent="0.25">
      <c r="A166" s="347" t="str">
        <f>'Variation Register'!A207</f>
        <v>HCV-171</v>
      </c>
      <c r="B166" s="347" t="str">
        <f>+'Variation Register'!T207</f>
        <v>Variation (Other than a Company Variation Direction)</v>
      </c>
      <c r="C166" s="347" t="str">
        <f>+'Variation Register'!B207</f>
        <v>VD-18</v>
      </c>
      <c r="D166" s="347">
        <f>'Variation Register'!C207</f>
        <v>89</v>
      </c>
      <c r="E166" s="348" t="str">
        <f>'Variation Register'!J207</f>
        <v>9641-C-83588-CFC-0600</v>
      </c>
      <c r="F166" s="348">
        <f>'Variation Register'!D207</f>
        <v>0</v>
      </c>
      <c r="G166" s="349">
        <f>'Variation Register'!AC207</f>
        <v>43739</v>
      </c>
      <c r="H166" s="350" t="str">
        <f>'Variation Register'!U207</f>
        <v>RC02 Temporary Ramp Construction</v>
      </c>
      <c r="I166" s="350" t="str">
        <f>'Variation Register'!V207</f>
        <v>Company issued RVP-015 for the construction of a temporary ramp at reclaimer RC02.</v>
      </c>
      <c r="J166" s="351">
        <f>'Variation Register'!AF207</f>
        <v>32131.08</v>
      </c>
      <c r="K166" s="352" t="e">
        <f>'Variation Register'!#REF!</f>
        <v>#REF!</v>
      </c>
      <c r="L166" s="353" t="s">
        <v>74</v>
      </c>
    </row>
    <row r="167" spans="1:12" ht="22.5" x14ac:dyDescent="0.25">
      <c r="A167" s="347" t="str">
        <f>'Variation Register'!A208</f>
        <v>HCV-172</v>
      </c>
      <c r="B167" s="347" t="str">
        <f>+'Variation Register'!T208</f>
        <v>Variation (Other than a Company Variation Direction)</v>
      </c>
      <c r="C167" s="347" t="str">
        <f>+'Variation Register'!B208</f>
        <v>VD-14</v>
      </c>
      <c r="D167" s="347">
        <f>'Variation Register'!C208</f>
        <v>0</v>
      </c>
      <c r="E167" s="348" t="str">
        <f>'Variation Register'!J208</f>
        <v>9641-C-83588-CFC-0593</v>
      </c>
      <c r="F167" s="348" t="str">
        <f>'Variation Register'!D208</f>
        <v>9641-C-83588-CTC-0859</v>
      </c>
      <c r="G167" s="349">
        <f>'Variation Register'!AC208</f>
        <v>43736</v>
      </c>
      <c r="H167" s="350" t="str">
        <f>'Variation Register'!U208</f>
        <v>Switchyard Crane Pad</v>
      </c>
      <c r="I167" s="350" t="str">
        <f>'Variation Register'!V208</f>
        <v xml:space="preserve">Contractor has been directed by Company to construct a crane pad at MAC132/33kV Switchyard to be used by Company’s other contractor. </v>
      </c>
      <c r="J167" s="351">
        <f>'Variation Register'!AF208</f>
        <v>17290.509999999998</v>
      </c>
      <c r="K167" s="352" t="e">
        <f>'Variation Register'!#REF!</f>
        <v>#REF!</v>
      </c>
      <c r="L167" s="353" t="s">
        <v>74</v>
      </c>
    </row>
    <row r="168" spans="1:12" ht="22.5" x14ac:dyDescent="0.25">
      <c r="A168" s="347" t="str">
        <f>'Variation Register'!A209</f>
        <v>HCV-173</v>
      </c>
      <c r="B168" s="347" t="str">
        <f>+'Variation Register'!T209</f>
        <v>Variation (Other than a Company Variation Direction)</v>
      </c>
      <c r="C168" s="347" t="str">
        <f>+'Variation Register'!B209</f>
        <v>VD-12</v>
      </c>
      <c r="D168" s="347">
        <f>'Variation Register'!C209</f>
        <v>71</v>
      </c>
      <c r="E168" s="348" t="str">
        <f>'Variation Register'!J209</f>
        <v>9641-C-83588-CFC-0594</v>
      </c>
      <c r="F168" s="348" t="str">
        <f>'Variation Register'!D209</f>
        <v>9641-C-83588-CTC-0737</v>
      </c>
      <c r="G168" s="349">
        <f>'Variation Register'!AC209</f>
        <v>43736</v>
      </c>
      <c r="H168" s="350" t="str">
        <f>'Variation Register'!U209</f>
        <v>TK Laydown Access Track</v>
      </c>
      <c r="I168" s="350" t="str">
        <f>'Variation Register'!V209</f>
        <v xml:space="preserve">Contractor has been verbally directed by Company to construct an access track to the TK laydown yard. </v>
      </c>
      <c r="J168" s="351">
        <f>'Variation Register'!AF209</f>
        <v>21910.71</v>
      </c>
      <c r="K168" s="352" t="e">
        <f>'Variation Register'!#REF!</f>
        <v>#REF!</v>
      </c>
      <c r="L168" s="353" t="s">
        <v>74</v>
      </c>
    </row>
    <row r="169" spans="1:12" ht="22.5" x14ac:dyDescent="0.25">
      <c r="A169" s="347" t="str">
        <f>'Variation Register'!A210</f>
        <v>HCV-174</v>
      </c>
      <c r="B169" s="347" t="str">
        <f>+'Variation Register'!T210</f>
        <v>Variation (Other than a Company Variation Direction)</v>
      </c>
      <c r="C169" s="347" t="str">
        <f>+'Variation Register'!B210</f>
        <v>VD-12
VD-16</v>
      </c>
      <c r="D169" s="347">
        <f>'Variation Register'!C210</f>
        <v>0</v>
      </c>
      <c r="E169" s="348" t="str">
        <f>'Variation Register'!J210</f>
        <v>9641-C-83588-CFC-0623</v>
      </c>
      <c r="F169" s="348">
        <f>'Variation Register'!D210</f>
        <v>0</v>
      </c>
      <c r="G169" s="349">
        <f>'Variation Register'!AC210</f>
        <v>43757</v>
      </c>
      <c r="H169" s="350" t="str">
        <f>'Variation Register'!U210</f>
        <v>Rail Tunnel Demolition - Additional Haulage</v>
      </c>
      <c r="I169" s="350" t="str">
        <f>'Variation Register'!V210</f>
        <v>Requirement to remove the materials generated from the overpass to the packsaddle dump, which is greater than 3km from the Works.</v>
      </c>
      <c r="J169" s="351">
        <f>'Variation Register'!AF210</f>
        <v>29632.93</v>
      </c>
      <c r="K169" s="352" t="e">
        <f>'Variation Register'!#REF!</f>
        <v>#REF!</v>
      </c>
      <c r="L169" s="353" t="s">
        <v>74</v>
      </c>
    </row>
    <row r="170" spans="1:12" ht="33.75" x14ac:dyDescent="0.25">
      <c r="A170" s="347" t="str">
        <f>'Variation Register'!A211</f>
        <v>HCV-175</v>
      </c>
      <c r="B170" s="347" t="str">
        <f>+'Variation Register'!T211</f>
        <v>Variation (Other than a Company Variation Direction)</v>
      </c>
      <c r="C170" s="347" t="str">
        <f>+'Variation Register'!B211</f>
        <v>VD-17</v>
      </c>
      <c r="D170" s="347">
        <f>'Variation Register'!C211</f>
        <v>0</v>
      </c>
      <c r="E170" s="348" t="str">
        <f>'Variation Register'!J211</f>
        <v>9641-C-83588-CFC-0661</v>
      </c>
      <c r="F170" s="348" t="str">
        <f>'Variation Register'!D211</f>
        <v>9641-C-83588-CTC-0945</v>
      </c>
      <c r="G170" s="349">
        <f>'Variation Register'!AC211</f>
        <v>43790</v>
      </c>
      <c r="H170" s="350" t="str">
        <f>'Variation Register'!U211</f>
        <v>CV439 Pedestal Modification Works</v>
      </c>
      <c r="I170" s="350" t="str">
        <f>'Variation Register'!V211</f>
        <v xml:space="preserve">Rectification works to a pedestal due to a height discrepancy between the pedestal TOC RL specified on AFC drawing 860-C-12673/1 and the Navisworks model. </v>
      </c>
      <c r="J170" s="351">
        <f>'Variation Register'!AF211</f>
        <v>3698.62</v>
      </c>
      <c r="K170" s="352" t="e">
        <f>'Variation Register'!#REF!</f>
        <v>#REF!</v>
      </c>
      <c r="L170" s="353" t="s">
        <v>74</v>
      </c>
    </row>
    <row r="171" spans="1:12" ht="45" x14ac:dyDescent="0.25">
      <c r="A171" s="347" t="str">
        <f>'Variation Register'!A212</f>
        <v>HCV-176</v>
      </c>
      <c r="B171" s="347" t="str">
        <f>+'Variation Register'!T212</f>
        <v>Variation (Other than a Company Variation Direction)</v>
      </c>
      <c r="C171" s="347" t="str">
        <f>+'Variation Register'!B212</f>
        <v>VD-17</v>
      </c>
      <c r="D171" s="347">
        <f>'Variation Register'!C212</f>
        <v>0</v>
      </c>
      <c r="E171" s="348" t="str">
        <f>'Variation Register'!J212</f>
        <v>9641-C-83588-CFC-0629</v>
      </c>
      <c r="F171" s="348">
        <f>'Variation Register'!D212</f>
        <v>0</v>
      </c>
      <c r="G171" s="349">
        <f>'Variation Register'!AC212</f>
        <v>43776</v>
      </c>
      <c r="H171" s="350" t="str">
        <f>'Variation Register'!U212</f>
        <v>SY2 Berm Select-98pct MMDD</v>
      </c>
      <c r="I171" s="350" t="str">
        <f>'Variation Register'!V212</f>
        <v>The requirement for the select fill to be 98% compaction within the top 1m was first added to revision 0 of Drawing 860-C-12602, which was issued post Contract Award. Revision B of Drawing 860-C-12602 required the compaction to select fill to be 95%.</v>
      </c>
      <c r="J171" s="351">
        <f>'Variation Register'!AF212</f>
        <v>111425</v>
      </c>
      <c r="K171" s="352" t="e">
        <f>'Variation Register'!#REF!</f>
        <v>#REF!</v>
      </c>
      <c r="L171" s="353" t="s">
        <v>74</v>
      </c>
    </row>
    <row r="172" spans="1:12" ht="22.5" x14ac:dyDescent="0.25">
      <c r="A172" s="347" t="str">
        <f>'Variation Register'!A213</f>
        <v>HCV-177</v>
      </c>
      <c r="B172" s="347" t="str">
        <f>+'Variation Register'!T213</f>
        <v>Variation (Other than a Company Variation Direction)</v>
      </c>
      <c r="C172" s="347" t="str">
        <f>+'Variation Register'!B213</f>
        <v>VD-17</v>
      </c>
      <c r="D172" s="347">
        <f>'Variation Register'!C213</f>
        <v>0</v>
      </c>
      <c r="E172" s="348" t="str">
        <f>'Variation Register'!J213</f>
        <v>9641-C-83588-CFC-0611</v>
      </c>
      <c r="F172" s="348">
        <f>'Variation Register'!D213</f>
        <v>0</v>
      </c>
      <c r="G172" s="349">
        <f>'Variation Register'!AC213</f>
        <v>43752</v>
      </c>
      <c r="H172" s="350" t="str">
        <f>'Variation Register'!U213</f>
        <v>MS6 Descope - Earthing &amp; Rebar Materials</v>
      </c>
      <c r="I172" s="350" t="str">
        <f>'Variation Register'!V213</f>
        <v>Contractor has been directed to procure, but not install materials to the MAC 132/33kV Substation.</v>
      </c>
      <c r="J172" s="351">
        <f>'Variation Register'!AF213</f>
        <v>34777.99</v>
      </c>
      <c r="K172" s="352" t="e">
        <f>'Variation Register'!#REF!</f>
        <v>#REF!</v>
      </c>
      <c r="L172" s="353" t="s">
        <v>74</v>
      </c>
    </row>
    <row r="173" spans="1:12" ht="22.5" x14ac:dyDescent="0.25">
      <c r="A173" s="347" t="str">
        <f>'Variation Register'!A215</f>
        <v>HCV-178</v>
      </c>
      <c r="B173" s="347" t="str">
        <f>+'Variation Register'!T215</f>
        <v>Variation (Other than a Company Variation Direction)</v>
      </c>
      <c r="C173" s="347" t="str">
        <f>+'Variation Register'!B215</f>
        <v>VD-13</v>
      </c>
      <c r="D173" s="347">
        <f>'Variation Register'!C215</f>
        <v>87</v>
      </c>
      <c r="E173" s="348" t="str">
        <f>'Variation Register'!J215</f>
        <v>9641-C-83588-CFC-0699</v>
      </c>
      <c r="F173" s="348" t="str">
        <f>'Variation Register'!D215</f>
        <v>9641-C-83588-CTC-0748</v>
      </c>
      <c r="G173" s="349" t="str">
        <f>'Variation Register'!AC215</f>
        <v>SI087</v>
      </c>
      <c r="H173" s="350" t="str">
        <f>'Variation Register'!U215</f>
        <v>ST03 Temporary Storm Cradle Pad (SI087)</v>
      </c>
      <c r="I173" s="350" t="str">
        <f>'Variation Register'!V215</f>
        <v>Construction of the stacker ST03 temporary storm cradle pad.</v>
      </c>
      <c r="J173" s="351">
        <f>'Variation Register'!AF215</f>
        <v>140299</v>
      </c>
      <c r="K173" s="352" t="e">
        <f>'Variation Register'!#REF!</f>
        <v>#REF!</v>
      </c>
      <c r="L173" s="353" t="s">
        <v>74</v>
      </c>
    </row>
    <row r="174" spans="1:12" ht="22.5" x14ac:dyDescent="0.25">
      <c r="A174" s="347" t="str">
        <f>'Variation Register'!A217</f>
        <v>HCV-180</v>
      </c>
      <c r="B174" s="347" t="str">
        <f>+'Variation Register'!T217</f>
        <v>Variation (Other than a Company Variation Direction)</v>
      </c>
      <c r="C174" s="347" t="str">
        <f>+'Variation Register'!B217</f>
        <v>TBA</v>
      </c>
      <c r="D174" s="347">
        <f>'Variation Register'!C217</f>
        <v>0</v>
      </c>
      <c r="E174" s="348" t="str">
        <f>'Variation Register'!J217</f>
        <v>9641-C-83588-CFC-0610</v>
      </c>
      <c r="F174" s="348">
        <f>'Variation Register'!D217</f>
        <v>0</v>
      </c>
      <c r="G174" s="349">
        <f>'Variation Register'!AC217</f>
        <v>43757</v>
      </c>
      <c r="H174" s="350" t="str">
        <f>'Variation Register'!U217</f>
        <v>Design Changes to Substations</v>
      </c>
      <c r="I174" s="350" t="str">
        <f>'Variation Register'!V217</f>
        <v xml:space="preserve">IFC drawings (upon review by Contractor) indicate changes to Work. </v>
      </c>
      <c r="J174" s="351">
        <f>'Variation Register'!AF217</f>
        <v>0</v>
      </c>
      <c r="K174" s="352" t="e">
        <f>'Variation Register'!#REF!</f>
        <v>#REF!</v>
      </c>
      <c r="L174" s="353" t="s">
        <v>74</v>
      </c>
    </row>
    <row r="175" spans="1:12" ht="22.5" x14ac:dyDescent="0.25">
      <c r="A175" s="347" t="str">
        <f>'Variation Register'!A218</f>
        <v>HCV-181</v>
      </c>
      <c r="B175" s="347" t="str">
        <f>+'Variation Register'!T218</f>
        <v>Variation (Other than a Company Variation Direction)</v>
      </c>
      <c r="C175" s="347" t="str">
        <f>+'Variation Register'!B218</f>
        <v>TBA</v>
      </c>
      <c r="D175" s="347">
        <f>'Variation Register'!C218</f>
        <v>0</v>
      </c>
      <c r="E175" s="348" t="str">
        <f>'Variation Register'!J218</f>
        <v>9641-C-83588-CFC-0607</v>
      </c>
      <c r="F175" s="348">
        <f>'Variation Register'!D218</f>
        <v>0</v>
      </c>
      <c r="G175" s="349">
        <f>'Variation Register'!AC218</f>
        <v>43751</v>
      </c>
      <c r="H175" s="350" t="str">
        <f>'Variation Register'!U218</f>
        <v xml:space="preserve">Design Changes - Overland Conveyor CV413 </v>
      </c>
      <c r="I175" s="350" t="str">
        <f>'Variation Register'!V218</f>
        <v xml:space="preserve">IFC drawings (upon review by Contractor) indicate changes to Work relating to embedment and reinforcement. </v>
      </c>
      <c r="J175" s="351">
        <f>'Variation Register'!AF218</f>
        <v>0</v>
      </c>
      <c r="K175" s="352" t="e">
        <f>'Variation Register'!#REF!</f>
        <v>#REF!</v>
      </c>
      <c r="L175" s="353" t="s">
        <v>74</v>
      </c>
    </row>
    <row r="176" spans="1:12" ht="22.5" x14ac:dyDescent="0.25">
      <c r="A176" s="347" t="str">
        <f>'Variation Register'!A219</f>
        <v>HCV-182</v>
      </c>
      <c r="B176" s="347" t="str">
        <f>+'Variation Register'!T219</f>
        <v>Contract Adjustment (SOR Qty Change)</v>
      </c>
      <c r="C176" s="347" t="str">
        <f>+'Variation Register'!B219</f>
        <v>TBA</v>
      </c>
      <c r="D176" s="347">
        <f>'Variation Register'!C219</f>
        <v>0</v>
      </c>
      <c r="E176" s="348" t="str">
        <f>'Variation Register'!J219</f>
        <v>9641-C-83588-CFC-0617</v>
      </c>
      <c r="F176" s="348">
        <f>'Variation Register'!D219</f>
        <v>0</v>
      </c>
      <c r="G176" s="349">
        <f>'Variation Register'!AC219</f>
        <v>43755</v>
      </c>
      <c r="H176" s="350" t="str">
        <f>'Variation Register'!U219</f>
        <v>Design Changes - COS Ventilation Room</v>
      </c>
      <c r="I176" s="350" t="str">
        <f>'Variation Register'!V219</f>
        <v>IFC drawings (upon review by Contractor) indicate changes to Work relating to the COS walls and suspended slab</v>
      </c>
      <c r="J176" s="351">
        <f>'Variation Register'!AF219</f>
        <v>0</v>
      </c>
      <c r="K176" s="352" t="e">
        <f>'Variation Register'!#REF!</f>
        <v>#REF!</v>
      </c>
      <c r="L176" s="353" t="s">
        <v>74</v>
      </c>
    </row>
    <row r="177" spans="1:12" ht="22.5" x14ac:dyDescent="0.25">
      <c r="A177" s="347" t="str">
        <f>'Variation Register'!A220</f>
        <v>HCV-183</v>
      </c>
      <c r="B177" s="347" t="str">
        <f>+'Variation Register'!T220</f>
        <v>Variation (Other than a Company Variation Direction)</v>
      </c>
      <c r="C177" s="347" t="str">
        <f>+'Variation Register'!B220</f>
        <v>TBA</v>
      </c>
      <c r="D177" s="347">
        <f>'Variation Register'!C220</f>
        <v>0</v>
      </c>
      <c r="E177" s="348" t="str">
        <f>'Variation Register'!J220</f>
        <v>9641-C-83588-CFC-0683</v>
      </c>
      <c r="F177" s="348">
        <f>'Variation Register'!D220</f>
        <v>0</v>
      </c>
      <c r="G177" s="349">
        <f>'Variation Register'!AC220</f>
        <v>43819</v>
      </c>
      <c r="H177" s="350" t="str">
        <f>'Variation Register'!U220</f>
        <v>MS9D Additional Works</v>
      </c>
      <c r="I177" s="350" t="str">
        <f>'Variation Register'!V220</f>
        <v xml:space="preserve">Contractor has been instructed to undertake additional works to MS9 </v>
      </c>
      <c r="J177" s="351">
        <f>'Variation Register'!AF220</f>
        <v>44405.41</v>
      </c>
      <c r="K177" s="352" t="e">
        <f>'Variation Register'!#REF!</f>
        <v>#REF!</v>
      </c>
      <c r="L177" s="353" t="s">
        <v>74</v>
      </c>
    </row>
    <row r="178" spans="1:12" ht="22.5" x14ac:dyDescent="0.25">
      <c r="A178" s="347" t="str">
        <f>'Variation Register'!A221</f>
        <v>HCV-184</v>
      </c>
      <c r="B178" s="347" t="str">
        <f>+'Variation Register'!T221</f>
        <v>Variation (Other than a Company Variation Direction)</v>
      </c>
      <c r="C178" s="347" t="str">
        <f>+'Variation Register'!B221</f>
        <v>VD-15</v>
      </c>
      <c r="D178" s="347">
        <f>'Variation Register'!C221</f>
        <v>0</v>
      </c>
      <c r="E178" s="348" t="str">
        <f>'Variation Register'!J221</f>
        <v>9641-C-83588-CFC-0682</v>
      </c>
      <c r="F178" s="348">
        <f>'Variation Register'!D221</f>
        <v>0</v>
      </c>
      <c r="G178" s="349">
        <f>'Variation Register'!AC221</f>
        <v>43813</v>
      </c>
      <c r="H178" s="350" t="str">
        <f>'Variation Register'!U221</f>
        <v>Lube Room Drainage Pit</v>
      </c>
      <c r="I178" s="350" t="str">
        <f>'Variation Register'!V221</f>
        <v>Contractor has been directed to supply and install the DN150 STD WT PIPE as shown in section 2 of drawing 863-C-00076/0.</v>
      </c>
      <c r="J178" s="351">
        <f>'Variation Register'!AF221</f>
        <v>4125.43</v>
      </c>
      <c r="K178" s="352" t="e">
        <f>'Variation Register'!#REF!</f>
        <v>#REF!</v>
      </c>
      <c r="L178" s="353" t="s">
        <v>74</v>
      </c>
    </row>
    <row r="179" spans="1:12" ht="22.5" x14ac:dyDescent="0.25">
      <c r="A179" s="347" t="str">
        <f>'Variation Register'!A223</f>
        <v>HCV-186</v>
      </c>
      <c r="B179" s="347" t="str">
        <f>+'Variation Register'!T223</f>
        <v>Variation (Other than a Company Variation Direction)</v>
      </c>
      <c r="C179" s="347" t="str">
        <f>+'Variation Register'!B223</f>
        <v>TBA</v>
      </c>
      <c r="D179" s="347">
        <f>'Variation Register'!C223</f>
        <v>0</v>
      </c>
      <c r="E179" s="348" t="str">
        <f>'Variation Register'!J223</f>
        <v>9641-C-83588-CFC-0612</v>
      </c>
      <c r="F179" s="348">
        <f>'Variation Register'!D223</f>
        <v>0</v>
      </c>
      <c r="G179" s="349">
        <f>'Variation Register'!AC223</f>
        <v>43755</v>
      </c>
      <c r="H179" s="350" t="str">
        <f>'Variation Register'!U223</f>
        <v>TK Laydown Yard Acceleration</v>
      </c>
      <c r="I179" s="350" t="str">
        <f>'Variation Register'!V223</f>
        <v>Contractor has been directed to accelerate its Scope of Works in the TK Laydown Areas to expedite handover of the laydown.</v>
      </c>
      <c r="J179" s="351">
        <f>'Variation Register'!AF223</f>
        <v>162979.26</v>
      </c>
      <c r="K179" s="352" t="e">
        <f>'Variation Register'!#REF!</f>
        <v>#REF!</v>
      </c>
      <c r="L179" s="353" t="s">
        <v>74</v>
      </c>
    </row>
    <row r="180" spans="1:12" ht="22.5" x14ac:dyDescent="0.25">
      <c r="A180" s="347" t="str">
        <f>'Variation Register'!A224</f>
        <v>HCV-187</v>
      </c>
      <c r="B180" s="347" t="str">
        <f>+'Variation Register'!T224</f>
        <v>Variation (Other than a Company Variation Direction)</v>
      </c>
      <c r="C180" s="347" t="str">
        <f>+'Variation Register'!B224</f>
        <v>VD-13</v>
      </c>
      <c r="D180" s="347">
        <f>'Variation Register'!C224</f>
        <v>85</v>
      </c>
      <c r="E180" s="348" t="str">
        <f>'Variation Register'!J224</f>
        <v>9641-C-83588-CFC-0646</v>
      </c>
      <c r="F180" s="348" t="str">
        <f>'Variation Register'!D224</f>
        <v>9641-C-83588-CTC-0796</v>
      </c>
      <c r="G180" s="349" t="str">
        <f>'Variation Register'!AC224</f>
        <v>SI085</v>
      </c>
      <c r="H180" s="350" t="str">
        <f>'Variation Register'!U224</f>
        <v>Stab Sand Supply - Track Renewals</v>
      </c>
      <c r="I180" s="350" t="str">
        <f>'Variation Register'!V224</f>
        <v>Contractor has been directed to supply 3m3 of structural cement stabilised sand to Company’s Separate Contractor on 21 September 2019.</v>
      </c>
      <c r="J180" s="351">
        <f>'Variation Register'!AF224</f>
        <v>558</v>
      </c>
      <c r="K180" s="352" t="e">
        <f>'Variation Register'!#REF!</f>
        <v>#REF!</v>
      </c>
      <c r="L180" s="353" t="s">
        <v>74</v>
      </c>
    </row>
    <row r="181" spans="1:12" ht="33.75" x14ac:dyDescent="0.25">
      <c r="A181" s="347" t="str">
        <f>'Variation Register'!A225</f>
        <v>HCV-188</v>
      </c>
      <c r="B181" s="347" t="str">
        <f>+'Variation Register'!T225</f>
        <v>Variation (Other than a Company Variation Direction)</v>
      </c>
      <c r="C181" s="347" t="str">
        <f>+'Variation Register'!B225</f>
        <v>TBA</v>
      </c>
      <c r="D181" s="347">
        <f>'Variation Register'!C225</f>
        <v>0</v>
      </c>
      <c r="E181" s="348" t="str">
        <f>'Variation Register'!J225</f>
        <v>9641-C-83588-CFC-0613</v>
      </c>
      <c r="F181" s="348">
        <f>'Variation Register'!D225</f>
        <v>0</v>
      </c>
      <c r="G181" s="349">
        <f>'Variation Register'!AC225</f>
        <v>43757</v>
      </c>
      <c r="H181" s="350" t="str">
        <f>'Variation Register'!U225</f>
        <v>CV411 &amp; CV413 Design Changes</v>
      </c>
      <c r="I181" s="350" t="str">
        <f>'Variation Register'!V225</f>
        <v>Design changes to Conveyors CV413 &amp; CV411. These include, but not limited to, placement temperature of concrete and insulation of concrete slab and walls with 18mm plywood formwork.</v>
      </c>
      <c r="J181" s="351">
        <f>'Variation Register'!AF225</f>
        <v>0</v>
      </c>
      <c r="K181" s="352" t="e">
        <f>'Variation Register'!#REF!</f>
        <v>#REF!</v>
      </c>
      <c r="L181" s="353" t="s">
        <v>74</v>
      </c>
    </row>
    <row r="182" spans="1:12" ht="33.75" x14ac:dyDescent="0.25">
      <c r="A182" s="347" t="str">
        <f>'Variation Register'!A229</f>
        <v>HCV-192</v>
      </c>
      <c r="B182" s="347" t="str">
        <f>+'Variation Register'!T229</f>
        <v>Variation (Other than a Company Variation Direction)</v>
      </c>
      <c r="C182" s="347" t="str">
        <f>+'Variation Register'!B229</f>
        <v>VD-15</v>
      </c>
      <c r="D182" s="347">
        <f>'Variation Register'!C229</f>
        <v>97</v>
      </c>
      <c r="E182" s="348" t="str">
        <f>'Variation Register'!J229</f>
        <v>9641-C-83588-CFC-0644</v>
      </c>
      <c r="F182" s="348">
        <f>'Variation Register'!D229</f>
        <v>0</v>
      </c>
      <c r="G182" s="349">
        <f>'Variation Register'!AC229</f>
        <v>43773</v>
      </c>
      <c r="H182" s="350" t="str">
        <f>'Variation Register'!U229</f>
        <v>Service Pit Modification</v>
      </c>
      <c r="I182" s="350" t="str">
        <f>'Variation Register'!V229</f>
        <v>Contractor was verbally directed by Company to install 150mm diameter bell mouths to service pits MAC-UP-0011, MAC-UP-0012, MAC-UP-0013 and MAC-UP-0035, as detailed in marked up drawing 867-E-13036.</v>
      </c>
      <c r="J182" s="351">
        <f>'Variation Register'!AF229</f>
        <v>3257.16</v>
      </c>
      <c r="K182" s="352" t="e">
        <f>'Variation Register'!#REF!</f>
        <v>#REF!</v>
      </c>
      <c r="L182" s="353" t="s">
        <v>74</v>
      </c>
    </row>
    <row r="183" spans="1:12" ht="33.75" x14ac:dyDescent="0.25">
      <c r="A183" s="347" t="str">
        <f>'Variation Register'!A230</f>
        <v>HCV-192.1</v>
      </c>
      <c r="B183" s="347" t="str">
        <f>+'Variation Register'!T230</f>
        <v>Variation (Other than a Company Variation Direction)</v>
      </c>
      <c r="C183" s="347">
        <f>+'Variation Register'!B230</f>
        <v>0</v>
      </c>
      <c r="D183" s="347">
        <f>'Variation Register'!C230</f>
        <v>97</v>
      </c>
      <c r="E183" s="348" t="str">
        <f>'Variation Register'!J230</f>
        <v>9641-C-83588-CFC-0893</v>
      </c>
      <c r="F183" s="348">
        <f>'Variation Register'!D230</f>
        <v>0</v>
      </c>
      <c r="G183" s="349">
        <f>'Variation Register'!AC230</f>
        <v>43773</v>
      </c>
      <c r="H183" s="350" t="str">
        <f>'Variation Register'!U230</f>
        <v>SUB207 - TK301 Additional DN150 Conduit</v>
      </c>
      <c r="I183" s="350" t="str">
        <f>'Variation Register'!V230</f>
        <v>Installation of an additional 1No. DN150 CONDUIT PVC H.D. (ORANGE) in accordance with marked up Drawing 867-E-
13036/0.</v>
      </c>
      <c r="J183" s="351">
        <f>'Variation Register'!AF230</f>
        <v>8555.0400000000009</v>
      </c>
      <c r="K183" s="352" t="e">
        <f>'Variation Register'!#REF!</f>
        <v>#REF!</v>
      </c>
      <c r="L183" s="353" t="s">
        <v>74</v>
      </c>
    </row>
    <row r="184" spans="1:12" ht="22.5" x14ac:dyDescent="0.25">
      <c r="A184" s="347" t="str">
        <f>'Variation Register'!A231</f>
        <v>HCV-193</v>
      </c>
      <c r="B184" s="347" t="str">
        <f>+'Variation Register'!T231</f>
        <v>Variation (Other than a Company Variation Direction)</v>
      </c>
      <c r="C184" s="347" t="str">
        <f>+'Variation Register'!B231</f>
        <v>VD-18</v>
      </c>
      <c r="D184" s="347">
        <f>'Variation Register'!C231</f>
        <v>90</v>
      </c>
      <c r="E184" s="348" t="str">
        <f>'Variation Register'!J231</f>
        <v>9641-C-83588-CFC-0710</v>
      </c>
      <c r="F184" s="348" t="str">
        <f>'Variation Register'!D231</f>
        <v>9641-C-83588-CTC-1022</v>
      </c>
      <c r="G184" s="349" t="str">
        <f>'Variation Register'!AC231</f>
        <v>SI090</v>
      </c>
      <c r="H184" s="350" t="str">
        <f>'Variation Register'!U231</f>
        <v>SI090 TK31 Temporary Piping</v>
      </c>
      <c r="I184" s="350" t="str">
        <f>'Variation Register'!V231</f>
        <v>Contractor has been instructed to construct temporary piping to tie-in to TK301</v>
      </c>
      <c r="J184" s="351">
        <f>'Variation Register'!AF231</f>
        <v>63264.51</v>
      </c>
      <c r="K184" s="352" t="e">
        <f>'Variation Register'!#REF!</f>
        <v>#REF!</v>
      </c>
      <c r="L184" s="353" t="s">
        <v>74</v>
      </c>
    </row>
    <row r="185" spans="1:12" ht="22.5" x14ac:dyDescent="0.25">
      <c r="A185" s="347" t="str">
        <f>'Variation Register'!A232</f>
        <v>HCV-194</v>
      </c>
      <c r="B185" s="347" t="str">
        <f>+'Variation Register'!T232</f>
        <v>Variation (Other than a Company Variation Direction)</v>
      </c>
      <c r="C185" s="347">
        <f>+'Variation Register'!B232</f>
        <v>0</v>
      </c>
      <c r="D185" s="347">
        <f>'Variation Register'!C232</f>
        <v>91</v>
      </c>
      <c r="E185" s="348" t="str">
        <f>'Variation Register'!J232</f>
        <v>9641-C-83588-CFC-0853</v>
      </c>
      <c r="F185" s="348" t="str">
        <f>'Variation Register'!D232</f>
        <v>9641-C-83588-CTC-1058</v>
      </c>
      <c r="G185" s="349" t="str">
        <f>'Variation Register'!AC232</f>
        <v>SI091</v>
      </c>
      <c r="H185" s="350" t="str">
        <f>'Variation Register'!U232</f>
        <v>SI091 ST03 Earthing (West End)</v>
      </c>
      <c r="I185" s="350" t="str">
        <f>'Variation Register'!V232</f>
        <v>Contractor has been directed to install lightning protection at stacker ST03.</v>
      </c>
      <c r="J185" s="351">
        <f>'Variation Register'!AF232</f>
        <v>17788.52</v>
      </c>
      <c r="K185" s="352" t="e">
        <f>'Variation Register'!#REF!</f>
        <v>#REF!</v>
      </c>
      <c r="L185" s="353" t="s">
        <v>74</v>
      </c>
    </row>
    <row r="186" spans="1:12" ht="22.5" x14ac:dyDescent="0.25">
      <c r="A186" s="347" t="str">
        <f>'Variation Register'!A233</f>
        <v>HCV-195</v>
      </c>
      <c r="B186" s="347" t="str">
        <f>+'Variation Register'!T233</f>
        <v>Variation (Other than a Company Variation Direction)</v>
      </c>
      <c r="C186" s="347">
        <f>+'Variation Register'!B233</f>
        <v>0</v>
      </c>
      <c r="D186" s="347">
        <f>'Variation Register'!C233</f>
        <v>92</v>
      </c>
      <c r="E186" s="348">
        <f>'Variation Register'!J233</f>
        <v>0</v>
      </c>
      <c r="F186" s="348">
        <f>'Variation Register'!D233</f>
        <v>0</v>
      </c>
      <c r="G186" s="349" t="str">
        <f>'Variation Register'!AC233</f>
        <v>SI092</v>
      </c>
      <c r="H186" s="350" t="str">
        <f>'Variation Register'!U233</f>
        <v>SI092 Valve Labels &amp; Company Supplied</v>
      </c>
      <c r="I186" s="350" t="str">
        <f>'Variation Register'!V233</f>
        <v>Contractor has been directed to supply and install valve tags for Company supplied items.</v>
      </c>
      <c r="J186" s="351">
        <f>'Variation Register'!AF233</f>
        <v>183.96</v>
      </c>
      <c r="K186" s="352" t="e">
        <f>'Variation Register'!#REF!</f>
        <v>#REF!</v>
      </c>
      <c r="L186" s="353" t="s">
        <v>74</v>
      </c>
    </row>
    <row r="187" spans="1:12" ht="22.5" x14ac:dyDescent="0.25">
      <c r="A187" s="347" t="str">
        <f>'Variation Register'!A234</f>
        <v>HCV-196</v>
      </c>
      <c r="B187" s="347" t="str">
        <f>+'Variation Register'!T234</f>
        <v>Variation (Other than a Company Variation Direction)</v>
      </c>
      <c r="C187" s="347" t="str">
        <f>+'Variation Register'!B234</f>
        <v>VD-17</v>
      </c>
      <c r="D187" s="347">
        <f>'Variation Register'!C234</f>
        <v>94</v>
      </c>
      <c r="E187" s="348">
        <f>'Variation Register'!J234</f>
        <v>0</v>
      </c>
      <c r="F187" s="348">
        <f>'Variation Register'!D234</f>
        <v>0</v>
      </c>
      <c r="G187" s="349" t="str">
        <f>'Variation Register'!AC234</f>
        <v>SI094</v>
      </c>
      <c r="H187" s="350" t="str">
        <f>'Variation Register'!U234</f>
        <v>SI094 SUB710 Temp Ramp (SI094)</v>
      </c>
      <c r="I187" s="350" t="str">
        <f>'Variation Register'!V234</f>
        <v>Contractor has been directed to construct a temporary ramp to SUB710</v>
      </c>
      <c r="J187" s="351">
        <f>'Variation Register'!AF234</f>
        <v>8490</v>
      </c>
      <c r="K187" s="352" t="e">
        <f>'Variation Register'!#REF!</f>
        <v>#REF!</v>
      </c>
      <c r="L187" s="353" t="s">
        <v>74</v>
      </c>
    </row>
    <row r="188" spans="1:12" ht="22.5" x14ac:dyDescent="0.25">
      <c r="A188" s="347" t="str">
        <f>'Variation Register'!A235</f>
        <v>HCV-197</v>
      </c>
      <c r="B188" s="347" t="str">
        <f>+'Variation Register'!T235</f>
        <v>Variation (Other than a Company Variation Direction)</v>
      </c>
      <c r="C188" s="347" t="str">
        <f>+'Variation Register'!B235</f>
        <v>VD-17</v>
      </c>
      <c r="D188" s="347">
        <f>'Variation Register'!C235</f>
        <v>82</v>
      </c>
      <c r="E188" s="348" t="str">
        <f>'Variation Register'!J235</f>
        <v>9641-C-83588-CFC-0649</v>
      </c>
      <c r="F188" s="348">
        <f>'Variation Register'!D235</f>
        <v>0</v>
      </c>
      <c r="G188" s="349" t="str">
        <f>'Variation Register'!AC235</f>
        <v>SI082</v>
      </c>
      <c r="H188" s="350" t="str">
        <f>'Variation Register'!U235</f>
        <v>MAC-C81 Extension &amp; Pad (SI082)</v>
      </c>
      <c r="I188" s="350" t="str">
        <f>'Variation Register'!V235</f>
        <v xml:space="preserve">Earthworks and drainage Works to construct the rail maintenance pad and extend existing culvert MAC-C81. </v>
      </c>
      <c r="J188" s="351">
        <f>'Variation Register'!AF235</f>
        <v>13197.17</v>
      </c>
      <c r="K188" s="352" t="e">
        <f>'Variation Register'!#REF!</f>
        <v>#REF!</v>
      </c>
      <c r="L188" s="353" t="s">
        <v>74</v>
      </c>
    </row>
    <row r="189" spans="1:12" ht="45" x14ac:dyDescent="0.25">
      <c r="A189" s="347" t="str">
        <f>'Variation Register'!A236</f>
        <v>HCV-198</v>
      </c>
      <c r="B189" s="347" t="str">
        <f>+'Variation Register'!T236</f>
        <v>Variation (Other than a Company Variation Direction)</v>
      </c>
      <c r="C189" s="347">
        <f>+'Variation Register'!B236</f>
        <v>0</v>
      </c>
      <c r="D189" s="347">
        <f>'Variation Register'!C236</f>
        <v>0</v>
      </c>
      <c r="E189" s="348" t="str">
        <f>'Variation Register'!J236</f>
        <v>9641-C-83588-CFC-1023</v>
      </c>
      <c r="F189" s="348">
        <f>'Variation Register'!D236</f>
        <v>0</v>
      </c>
      <c r="G189" s="349" t="str">
        <f>'Variation Register'!AC236</f>
        <v>SI082</v>
      </c>
      <c r="H189" s="350" t="str">
        <f>'Variation Register'!U236</f>
        <v>20 October 2019 Additional Travel Time / Lost RDO</v>
      </c>
      <c r="I189" s="350" t="str">
        <f>'Variation Register'!V236</f>
        <v>Closure of the access road, extending Contractor’s Sunday shift to between 10.5 – 11.5 hours (based on alternate access between 5-6pm) by preventing Contractor’s personnel retuning to Mulla Mulla Village at the end of its scheduled shift.</v>
      </c>
      <c r="J189" s="351">
        <f>'Variation Register'!AF236</f>
        <v>182728.33</v>
      </c>
      <c r="K189" s="352" t="e">
        <f>'Variation Register'!#REF!</f>
        <v>#REF!</v>
      </c>
      <c r="L189" s="353" t="s">
        <v>74</v>
      </c>
    </row>
    <row r="190" spans="1:12" ht="22.5" x14ac:dyDescent="0.25">
      <c r="A190" s="347" t="str">
        <f>'Variation Register'!A238</f>
        <v>HCV-200</v>
      </c>
      <c r="B190" s="347" t="str">
        <f>+'Variation Register'!T238</f>
        <v>Variation (Other than a Company Variation Direction)</v>
      </c>
      <c r="C190" s="347" t="str">
        <f>+'Variation Register'!B238</f>
        <v>VD-17</v>
      </c>
      <c r="D190" s="347">
        <f>'Variation Register'!C238</f>
        <v>96</v>
      </c>
      <c r="E190" s="348">
        <f>'Variation Register'!J238</f>
        <v>0</v>
      </c>
      <c r="F190" s="348">
        <f>'Variation Register'!D238</f>
        <v>0</v>
      </c>
      <c r="G190" s="349" t="str">
        <f>'Variation Register'!AC238</f>
        <v>SI096</v>
      </c>
      <c r="H190" s="350" t="str">
        <f>'Variation Register'!U238</f>
        <v>TS314 Crane Pad &amp; Module Route (SI096)</v>
      </c>
      <c r="I190" s="350" t="str">
        <f>'Variation Register'!V238</f>
        <v>Construction of the TS314 crane pad and module route</v>
      </c>
      <c r="J190" s="351">
        <f>'Variation Register'!AF238</f>
        <v>94403.64</v>
      </c>
      <c r="K190" s="352" t="e">
        <f>'Variation Register'!#REF!</f>
        <v>#REF!</v>
      </c>
      <c r="L190" s="353" t="s">
        <v>74</v>
      </c>
    </row>
    <row r="191" spans="1:12" ht="22.5" x14ac:dyDescent="0.25">
      <c r="A191" s="347" t="str">
        <f>'Variation Register'!A239</f>
        <v>HCV-201</v>
      </c>
      <c r="B191" s="347" t="str">
        <f>+'Variation Register'!T239</f>
        <v>Variation (Other than a Company Variation Direction)</v>
      </c>
      <c r="C191" s="347">
        <f>+'Variation Register'!B239</f>
        <v>0</v>
      </c>
      <c r="D191" s="347">
        <f>'Variation Register'!C239</f>
        <v>98</v>
      </c>
      <c r="E191" s="348">
        <f>'Variation Register'!J239</f>
        <v>0</v>
      </c>
      <c r="F191" s="348">
        <f>'Variation Register'!D239</f>
        <v>0</v>
      </c>
      <c r="G191" s="349" t="str">
        <f>'Variation Register'!AC239</f>
        <v>SI098</v>
      </c>
      <c r="H191" s="350" t="str">
        <f>'Variation Register'!U239</f>
        <v>Additional Conduits TLO2 (SI098)</v>
      </c>
      <c r="I191" s="350" t="str">
        <f>'Variation Register'!V239</f>
        <v>Installation of additional 2No. 63mm CONDUIT PVC H.D. (ORANGE)</v>
      </c>
      <c r="J191" s="351">
        <f>'Variation Register'!AF239</f>
        <v>2366.98</v>
      </c>
      <c r="K191" s="352" t="e">
        <f>'Variation Register'!#REF!</f>
        <v>#REF!</v>
      </c>
      <c r="L191" s="353" t="s">
        <v>74</v>
      </c>
    </row>
    <row r="192" spans="1:12" ht="33.75" x14ac:dyDescent="0.25">
      <c r="A192" s="347" t="str">
        <f>'Variation Register'!A240</f>
        <v>HCV-202</v>
      </c>
      <c r="B192" s="347" t="str">
        <f>+'Variation Register'!T240</f>
        <v>Variation (Other than a Company Variation Direction)</v>
      </c>
      <c r="C192" s="347" t="str">
        <f>+'Variation Register'!B240</f>
        <v>VD-15</v>
      </c>
      <c r="D192" s="347">
        <f>'Variation Register'!C240</f>
        <v>93</v>
      </c>
      <c r="E192" s="348" t="str">
        <f>'Variation Register'!J240</f>
        <v>9641-C-83588-CFC-0681</v>
      </c>
      <c r="F192" s="348" t="str">
        <f>'Variation Register'!D240</f>
        <v>9641-C-83588-CTC-0873</v>
      </c>
      <c r="G192" s="349" t="str">
        <f>'Variation Register'!AC240</f>
        <v>SI093</v>
      </c>
      <c r="H192" s="350" t="str">
        <f>'Variation Register'!U240</f>
        <v>Removal of Existing Ballast</v>
      </c>
      <c r="I192" s="350" t="str">
        <f>'Variation Register'!V240</f>
        <v>Removal of existing ballast from the rail alignment and place it in the nominated stockpile areas as indicated on
the attached sketches.</v>
      </c>
      <c r="J192" s="351">
        <f>'Variation Register'!AF240</f>
        <v>28853.55</v>
      </c>
      <c r="K192" s="352" t="e">
        <f>'Variation Register'!#REF!</f>
        <v>#REF!</v>
      </c>
      <c r="L192" s="353" t="s">
        <v>74</v>
      </c>
    </row>
    <row r="193" spans="1:12" ht="22.5" x14ac:dyDescent="0.25">
      <c r="A193" s="347" t="str">
        <f>'Variation Register'!A241</f>
        <v>HCV-203</v>
      </c>
      <c r="B193" s="347" t="str">
        <f>+'Variation Register'!T241</f>
        <v>Variation (Other than a Company Variation Direction)</v>
      </c>
      <c r="C193" s="347" t="str">
        <f>+'Variation Register'!B241</f>
        <v>VD-14</v>
      </c>
      <c r="D193" s="347">
        <f>'Variation Register'!C241</f>
        <v>0</v>
      </c>
      <c r="E193" s="348" t="str">
        <f>'Variation Register'!J241</f>
        <v>9641-C-83588-CFC-0658</v>
      </c>
      <c r="F193" s="348" t="str">
        <f>'Variation Register'!D241</f>
        <v>9641-C-83588-CTC-0860</v>
      </c>
      <c r="G193" s="349">
        <f>'Variation Register'!AC241</f>
        <v>43790</v>
      </c>
      <c r="H193" s="350" t="str">
        <f>'Variation Register'!U241</f>
        <v>ConstructIon of ramps to SUB310, SUB450 &amp; SUB520</v>
      </c>
      <c r="I193" s="350" t="str">
        <f>'Variation Register'!V241</f>
        <v>Contractor has been directed to construct ramps to substations SUB310, SUB450 and SUB520</v>
      </c>
      <c r="J193" s="351">
        <f>'Variation Register'!AF241</f>
        <v>13854.89</v>
      </c>
      <c r="K193" s="352" t="e">
        <f>'Variation Register'!#REF!</f>
        <v>#REF!</v>
      </c>
      <c r="L193" s="353" t="s">
        <v>74</v>
      </c>
    </row>
    <row r="194" spans="1:12" ht="33.75" x14ac:dyDescent="0.25">
      <c r="A194" s="347" t="str">
        <f>'Variation Register'!A242</f>
        <v>HCV-204</v>
      </c>
      <c r="B194" s="347" t="str">
        <f>+'Variation Register'!T242</f>
        <v>Variation (Other than a Company Variation Direction)</v>
      </c>
      <c r="C194" s="347" t="str">
        <f>+'Variation Register'!B242</f>
        <v>VD-15</v>
      </c>
      <c r="D194" s="347">
        <f>'Variation Register'!C242</f>
        <v>0</v>
      </c>
      <c r="E194" s="348" t="str">
        <f>'Variation Register'!J242</f>
        <v>9641-C-83588-CFC-0673</v>
      </c>
      <c r="F194" s="348">
        <f>'Variation Register'!D242</f>
        <v>0</v>
      </c>
      <c r="G194" s="349">
        <f>'Variation Register'!AC242</f>
        <v>43812</v>
      </c>
      <c r="H194" s="350" t="str">
        <f>'Variation Register'!U242</f>
        <v xml:space="preserve">Reworks to SUB310 Earthing </v>
      </c>
      <c r="I194" s="350" t="str">
        <f>'Variation Register'!V242</f>
        <v xml:space="preserve">Due to Company direction to install puraceptor piping to the substations (excl 710), Contractor had to undertake re-works to the earthing cables that were installed prior to receiving Company Direction. </v>
      </c>
      <c r="J194" s="351">
        <f>'Variation Register'!AF242</f>
        <v>3620.58</v>
      </c>
      <c r="K194" s="352" t="e">
        <f>'Variation Register'!#REF!</f>
        <v>#REF!</v>
      </c>
      <c r="L194" s="353" t="s">
        <v>74</v>
      </c>
    </row>
    <row r="195" spans="1:12" ht="22.5" x14ac:dyDescent="0.25">
      <c r="A195" s="347" t="str">
        <f>'Variation Register'!A245</f>
        <v>HCV-207</v>
      </c>
      <c r="B195" s="347" t="str">
        <f>+'Variation Register'!T245</f>
        <v>Variation (Other than a Company Variation Direction)</v>
      </c>
      <c r="C195" s="347">
        <f>+'Variation Register'!B245</f>
        <v>0</v>
      </c>
      <c r="D195" s="347">
        <f>'Variation Register'!C245</f>
        <v>0</v>
      </c>
      <c r="E195" s="348" t="str">
        <f>'Variation Register'!J245</f>
        <v>9641-C-83588-CFC-0694</v>
      </c>
      <c r="F195" s="348">
        <f>'Variation Register'!D245</f>
        <v>0</v>
      </c>
      <c r="G195" s="349">
        <f>'Variation Register'!AC245</f>
        <v>43476</v>
      </c>
      <c r="H195" s="350" t="str">
        <f>'Variation Register'!U245</f>
        <v>Flame Traps</v>
      </c>
      <c r="I195" s="350" t="str">
        <f>'Variation Register'!V245</f>
        <v xml:space="preserve">Contractor has received new drawings which have added SS Pipe Flame Traps to Contractors SOW. </v>
      </c>
      <c r="J195" s="351">
        <f>'Variation Register'!AF245</f>
        <v>179861</v>
      </c>
      <c r="K195" s="352" t="e">
        <f>'Variation Register'!#REF!</f>
        <v>#REF!</v>
      </c>
      <c r="L195" s="353" t="s">
        <v>74</v>
      </c>
    </row>
    <row r="196" spans="1:12" ht="90" x14ac:dyDescent="0.25">
      <c r="A196" s="347" t="str">
        <f>'Variation Register'!A246</f>
        <v>HCV-208</v>
      </c>
      <c r="B196" s="347" t="str">
        <f>+'Variation Register'!T246</f>
        <v>Variation (Other than a Company Variation Direction)</v>
      </c>
      <c r="C196" s="347">
        <f>+'Variation Register'!B246</f>
        <v>0</v>
      </c>
      <c r="D196" s="347">
        <f>'Variation Register'!C246</f>
        <v>99</v>
      </c>
      <c r="E196" s="348" t="str">
        <f>'Variation Register'!J246</f>
        <v>9641-C-83588-CFC-0854</v>
      </c>
      <c r="F196" s="348">
        <f>'Variation Register'!D246</f>
        <v>0</v>
      </c>
      <c r="G196" s="349" t="str">
        <f>'Variation Register'!AC246</f>
        <v>SI099</v>
      </c>
      <c r="H196" s="350" t="str">
        <f>'Variation Register'!U246</f>
        <v>RC02 &amp; ST03 Services SOW Interface Delineation</v>
      </c>
      <c r="I196" s="350" t="str">
        <f>'Variation Register'!V246</f>
        <v>1. Installation of additional 2x DN355 flanges as per mark ups in yellow on enclosed STK03 model extract;
2. Underboring beneath existing infrastructure as per mark ups in orange on enclosed RC02 model extract;
3. Procurement of HDPE piping materials as per mark ups in magenta on enclosed RC02 and STK03 model extracts.
Contractor shall make the materials available to Company for collection at Contractor’s Laydown Area.</v>
      </c>
      <c r="J196" s="351">
        <f>'Variation Register'!AF246</f>
        <v>58853.41</v>
      </c>
      <c r="K196" s="352" t="e">
        <f>'Variation Register'!#REF!</f>
        <v>#REF!</v>
      </c>
      <c r="L196" s="353" t="s">
        <v>74</v>
      </c>
    </row>
    <row r="197" spans="1:12" ht="22.5" x14ac:dyDescent="0.25">
      <c r="A197" s="347" t="str">
        <f>'Variation Register'!A247</f>
        <v>HCV-209</v>
      </c>
      <c r="B197" s="347" t="str">
        <f>+'Variation Register'!T247</f>
        <v>Variation (Other than a Company Variation Direction)</v>
      </c>
      <c r="C197" s="347" t="str">
        <f>+'Variation Register'!B247</f>
        <v>VD-16</v>
      </c>
      <c r="D197" s="347">
        <f>'Variation Register'!C247</f>
        <v>100</v>
      </c>
      <c r="E197" s="348" t="str">
        <f>'Variation Register'!J247</f>
        <v>9641-C-83588-CFC-0697</v>
      </c>
      <c r="F197" s="348">
        <f>'Variation Register'!D247</f>
        <v>0</v>
      </c>
      <c r="G197" s="349" t="str">
        <f>'Variation Register'!AC247</f>
        <v>SI100</v>
      </c>
      <c r="H197" s="350" t="str">
        <f>'Variation Register'!U247</f>
        <v>ST05 Ramp Widening (SI100)</v>
      </c>
      <c r="I197" s="350" t="str">
        <f>'Variation Register'!V247</f>
        <v>Contractor has been instructed to widen ST05. Contractor notes ST05 was constructed to design prior to receivng direction. Works recorded on dayworks.</v>
      </c>
      <c r="J197" s="351">
        <f>'Variation Register'!AF247</f>
        <v>27442.35</v>
      </c>
      <c r="K197" s="352" t="e">
        <f>'Variation Register'!#REF!</f>
        <v>#REF!</v>
      </c>
      <c r="L197" s="353" t="s">
        <v>74</v>
      </c>
    </row>
    <row r="198" spans="1:12" ht="22.5" x14ac:dyDescent="0.25">
      <c r="A198" s="347" t="str">
        <f>'Variation Register'!A248</f>
        <v>HCV-210</v>
      </c>
      <c r="B198" s="347" t="str">
        <f>+'Variation Register'!T248</f>
        <v>Variation (Other than a Company Variation Direction)</v>
      </c>
      <c r="C198" s="347" t="str">
        <f>+'Variation Register'!B248</f>
        <v>VD-18</v>
      </c>
      <c r="D198" s="347">
        <f>'Variation Register'!C248</f>
        <v>101</v>
      </c>
      <c r="E198" s="348">
        <f>'Variation Register'!J248</f>
        <v>0</v>
      </c>
      <c r="F198" s="348">
        <f>'Variation Register'!D248</f>
        <v>0</v>
      </c>
      <c r="G198" s="349" t="str">
        <f>'Variation Register'!AC248</f>
        <v>SI101</v>
      </c>
      <c r="H198" s="350" t="str">
        <f>'Variation Register'!U248</f>
        <v>Outflow Crane Pads - TS314, TS472, TS476, TS477 &amp; TS513 (SI101)</v>
      </c>
      <c r="I198" s="350" t="str">
        <f>'Variation Register'!V248</f>
        <v>Construction of the TS314, TS472, TS476, TS477 &amp; TS513  crane pads</v>
      </c>
      <c r="J198" s="351">
        <f>'Variation Register'!AF248</f>
        <v>87658.84</v>
      </c>
      <c r="K198" s="352" t="e">
        <f>'Variation Register'!#REF!</f>
        <v>#REF!</v>
      </c>
      <c r="L198" s="353" t="s">
        <v>74</v>
      </c>
    </row>
    <row r="199" spans="1:12" ht="67.5" x14ac:dyDescent="0.25">
      <c r="A199" s="347" t="str">
        <f>'Variation Register'!A249</f>
        <v>HCV-211</v>
      </c>
      <c r="B199" s="347" t="str">
        <f>+'Variation Register'!T249</f>
        <v>Variation (Other than a Company Variation Direction)</v>
      </c>
      <c r="C199" s="347" t="str">
        <f>+'Variation Register'!B249</f>
        <v>VD-18</v>
      </c>
      <c r="D199" s="347">
        <f>'Variation Register'!C249</f>
        <v>0</v>
      </c>
      <c r="E199" s="348" t="str">
        <f>'Variation Register'!J249</f>
        <v>9641-C-83588-CFC-0718</v>
      </c>
      <c r="F199" s="348" t="str">
        <f>'Variation Register'!D249</f>
        <v>9641-C-83588-CTC-1025</v>
      </c>
      <c r="G199" s="349">
        <f>'Variation Register'!AC249</f>
        <v>43863</v>
      </c>
      <c r="H199" s="350" t="str">
        <f>'Variation Register'!U249</f>
        <v>SUB440 Footing and Firewall</v>
      </c>
      <c r="I199" s="350" t="str">
        <f>'Variation Register'!V249</f>
        <v>Company has made the following changes:
• 1 number F1 footing has been changed to an F1A footing. The reinforcement for the F1 footing had been delivered to site and prefabbed prior to receiving the revised drawings.
• 2 number precast firewall panels have been changed. The 2 precast panels had been manufactured and delivered to site prior to receiving the revised drawings.</v>
      </c>
      <c r="J199" s="351">
        <f>'Variation Register'!AF249</f>
        <v>15918.93</v>
      </c>
      <c r="K199" s="352" t="e">
        <f>'Variation Register'!#REF!</f>
        <v>#REF!</v>
      </c>
      <c r="L199" s="353" t="s">
        <v>74</v>
      </c>
    </row>
    <row r="200" spans="1:12" ht="33.75" x14ac:dyDescent="0.25">
      <c r="A200" s="347" t="str">
        <f>'Variation Register'!A250</f>
        <v>HCV-212</v>
      </c>
      <c r="B200" s="347" t="str">
        <f>+'Variation Register'!T250</f>
        <v>Variation (Other than a Company Variation Direction)</v>
      </c>
      <c r="C200" s="347">
        <f>+'Variation Register'!B250</f>
        <v>0</v>
      </c>
      <c r="D200" s="347">
        <f>'Variation Register'!C250</f>
        <v>0</v>
      </c>
      <c r="E200" s="348" t="str">
        <f>'Variation Register'!J250</f>
        <v>9641-C-83588-CFC-0743</v>
      </c>
      <c r="F200" s="348">
        <f>'Variation Register'!D250</f>
        <v>0</v>
      </c>
      <c r="G200" s="349" t="str">
        <f>'Variation Register'!AC250</f>
        <v>RVP-017</v>
      </c>
      <c r="H200" s="350" t="str">
        <f>'Variation Register'!U250</f>
        <v>RVP-016 CV413 F4 Footing Permeation Grouting</v>
      </c>
      <c r="I200" s="350" t="str">
        <f>'Variation Register'!V250</f>
        <v>Contractor is requested to provide Company with a Variation
Proposal for Works pertaining to permeation grouting of the F4 footing at CV413.</v>
      </c>
      <c r="J200" s="351">
        <f>'Variation Register'!AF250</f>
        <v>896079.07</v>
      </c>
      <c r="K200" s="352" t="e">
        <f>'Variation Register'!#REF!</f>
        <v>#REF!</v>
      </c>
      <c r="L200" s="353" t="s">
        <v>74</v>
      </c>
    </row>
    <row r="201" spans="1:12" ht="33.75" x14ac:dyDescent="0.25">
      <c r="A201" s="347" t="str">
        <f>'Variation Register'!A251</f>
        <v>LC-005</v>
      </c>
      <c r="B201" s="347" t="str">
        <f>+'Variation Register'!T251</f>
        <v>Variation (Other than a Company Variation Direction)</v>
      </c>
      <c r="C201" s="347">
        <f>+'Variation Register'!B251</f>
        <v>0</v>
      </c>
      <c r="D201" s="347">
        <f>'Variation Register'!C251</f>
        <v>0</v>
      </c>
      <c r="E201" s="348" t="str">
        <f>'Variation Register'!J251</f>
        <v>9641-C-83588-CFC-0671</v>
      </c>
      <c r="F201" s="348">
        <f>'Variation Register'!D251</f>
        <v>0</v>
      </c>
      <c r="G201" s="349">
        <f>'Variation Register'!AC251</f>
        <v>43799</v>
      </c>
      <c r="H201" s="350" t="str">
        <f>'Variation Register'!U251</f>
        <v>Conditions Encountered in Relation to the Location and Extent of Rock</v>
      </c>
      <c r="I201" s="350" t="str">
        <f>'Variation Register'!V251</f>
        <v>Rock Excavation MS3, 18A &amp; 23</v>
      </c>
      <c r="J201" s="351">
        <f>'Variation Register'!AF251</f>
        <v>4496767.6500000004</v>
      </c>
      <c r="K201" s="352" t="e">
        <f>'Variation Register'!#REF!</f>
        <v>#REF!</v>
      </c>
      <c r="L201" s="353" t="s">
        <v>74</v>
      </c>
    </row>
    <row r="202" spans="1:12" ht="33.75" x14ac:dyDescent="0.25">
      <c r="A202" s="347" t="str">
        <f>'Variation Register'!A254</f>
        <v>HCV-215</v>
      </c>
      <c r="B202" s="347" t="str">
        <f>+'Variation Register'!T254</f>
        <v>Variation (Other than a Company Variation Direction)</v>
      </c>
      <c r="C202" s="347">
        <f>+'Variation Register'!B254</f>
        <v>0</v>
      </c>
      <c r="D202" s="347">
        <f>'Variation Register'!C254</f>
        <v>0</v>
      </c>
      <c r="E202" s="348" t="str">
        <f>'Variation Register'!J254</f>
        <v>9641-C-83588-CFC-0719</v>
      </c>
      <c r="F202" s="348">
        <f>'Variation Register'!D254</f>
        <v>0</v>
      </c>
      <c r="G202" s="349">
        <f>'Variation Register'!AC254</f>
        <v>43862</v>
      </c>
      <c r="H202" s="350" t="str">
        <f>'Variation Register'!U254</f>
        <v>BG450 P16 Reo &amp; VSL Duct Clash</v>
      </c>
      <c r="I202" s="350" t="str">
        <f>'Variation Register'!V254</f>
        <v>The P16 pedestals have had additional reinforcement and VSL ducts added from the tender drawings.  The VSL ducts are also larger.</v>
      </c>
      <c r="J202" s="351">
        <f>'Variation Register'!AF254</f>
        <v>3199.23</v>
      </c>
      <c r="K202" s="352" t="e">
        <f>'Variation Register'!#REF!</f>
        <v>#REF!</v>
      </c>
      <c r="L202" s="353" t="s">
        <v>74</v>
      </c>
    </row>
    <row r="203" spans="1:12" ht="45" x14ac:dyDescent="0.25">
      <c r="A203" s="347" t="str">
        <f>'Variation Register'!A255</f>
        <v>HCV-216</v>
      </c>
      <c r="B203" s="347" t="str">
        <f>+'Variation Register'!T255</f>
        <v>Variation (Other than a Company Variation Direction)</v>
      </c>
      <c r="C203" s="347" t="str">
        <f>+'Variation Register'!B255</f>
        <v>VD-18</v>
      </c>
      <c r="D203" s="347">
        <f>'Variation Register'!C255</f>
        <v>0</v>
      </c>
      <c r="E203" s="348" t="str">
        <f>'Variation Register'!J255</f>
        <v>9641-C-83588-CFC-0691</v>
      </c>
      <c r="F203" s="348">
        <f>'Variation Register'!D255</f>
        <v>0</v>
      </c>
      <c r="G203" s="349">
        <f>'Variation Register'!AC255</f>
        <v>43840</v>
      </c>
      <c r="H203" s="350" t="str">
        <f>'Variation Register'!U255</f>
        <v>Liquid Waste Disposal</v>
      </c>
      <c r="I203" s="350" t="str">
        <f>'Variation Register'!V255</f>
        <v xml:space="preserve">Contractor has been advised that the discharge point at Mulla Mulla Village shall no longer be available for use by Contractor, and that Contractor shall make alternative arrangements at an off-Site Treatment Facility for all future requirements. </v>
      </c>
      <c r="J203" s="351">
        <f>'Variation Register'!AF255</f>
        <v>404844.6</v>
      </c>
      <c r="K203" s="352" t="e">
        <f>'Variation Register'!#REF!</f>
        <v>#REF!</v>
      </c>
      <c r="L203" s="353" t="s">
        <v>74</v>
      </c>
    </row>
    <row r="204" spans="1:12" ht="33.75" x14ac:dyDescent="0.25">
      <c r="A204" s="347" t="str">
        <f>'Variation Register'!A257</f>
        <v>HCV-217</v>
      </c>
      <c r="B204" s="347" t="str">
        <f>+'Variation Register'!T257</f>
        <v>Variation (Other than a Company Variation Direction)</v>
      </c>
      <c r="C204" s="347">
        <f>+'Variation Register'!B257</f>
        <v>0</v>
      </c>
      <c r="D204" s="347">
        <f>'Variation Register'!C257</f>
        <v>0</v>
      </c>
      <c r="E204" s="348" t="str">
        <f>'Variation Register'!J257</f>
        <v>9641-C-83588-CFC-0815</v>
      </c>
      <c r="F204" s="348">
        <f>'Variation Register'!D257</f>
        <v>0</v>
      </c>
      <c r="G204" s="349">
        <f>'Variation Register'!AC257</f>
        <v>43924</v>
      </c>
      <c r="H204" s="350" t="str">
        <f>'Variation Register'!U257</f>
        <v>Pit and Earth Electrodes</v>
      </c>
      <c r="I204" s="350" t="str">
        <f>'Variation Register'!V257</f>
        <v>The scope and quantity of the electrodes to be installed was chagned. Previosly, all electrodes were to be 8m in length, This has now been revised to 8m, 10m, 15m and 24m lengths</v>
      </c>
      <c r="J204" s="351">
        <f>'Variation Register'!AF257</f>
        <v>300915.28999999998</v>
      </c>
      <c r="K204" s="352" t="e">
        <f>'Variation Register'!#REF!</f>
        <v>#REF!</v>
      </c>
      <c r="L204" s="353" t="s">
        <v>74</v>
      </c>
    </row>
    <row r="205" spans="1:12" ht="33.75" x14ac:dyDescent="0.25">
      <c r="A205" s="347" t="str">
        <f>'Variation Register'!A258</f>
        <v>HCV-218</v>
      </c>
      <c r="B205" s="347" t="str">
        <f>+'Variation Register'!T258</f>
        <v>Variation (Other than a Company Variation Direction)</v>
      </c>
      <c r="C205" s="347">
        <f>+'Variation Register'!B258</f>
        <v>0</v>
      </c>
      <c r="D205" s="347">
        <f>'Variation Register'!C258</f>
        <v>0</v>
      </c>
      <c r="E205" s="348" t="str">
        <f>'Variation Register'!J258</f>
        <v>9641-C-83588-CFC-0698</v>
      </c>
      <c r="F205" s="348">
        <f>'Variation Register'!D258</f>
        <v>0</v>
      </c>
      <c r="G205" s="349">
        <f>'Variation Register'!AC258</f>
        <v>43843</v>
      </c>
      <c r="H205" s="350" t="str">
        <f>'Variation Register'!U258</f>
        <v>Stacker ST03 - Demolition Works</v>
      </c>
      <c r="I205" s="350" t="str">
        <f>'Variation Register'!V258</f>
        <v>Contractor has been instructed to demolish and remove existing infrastructre in Stacker ST03.</v>
      </c>
      <c r="J205" s="351">
        <f>'Variation Register'!AF258</f>
        <v>0</v>
      </c>
      <c r="K205" s="352" t="e">
        <f>'Variation Register'!#REF!</f>
        <v>#REF!</v>
      </c>
      <c r="L205" s="353" t="s">
        <v>74</v>
      </c>
    </row>
    <row r="206" spans="1:12" ht="33.75" x14ac:dyDescent="0.25">
      <c r="A206" s="347" t="str">
        <f>'Variation Register'!A261</f>
        <v>HCV-221</v>
      </c>
      <c r="B206" s="347" t="str">
        <f>+'Variation Register'!T261</f>
        <v>Variation (Other than a Company Variation Direction)</v>
      </c>
      <c r="C206" s="347" t="str">
        <f>+'Variation Register'!B261</f>
        <v>VD-17</v>
      </c>
      <c r="D206" s="347">
        <f>'Variation Register'!C261</f>
        <v>0</v>
      </c>
      <c r="E206" s="348" t="str">
        <f>'Variation Register'!J261</f>
        <v>9641-C-83588-CFC-0715</v>
      </c>
      <c r="F206" s="348">
        <f>'Variation Register'!D261</f>
        <v>0</v>
      </c>
      <c r="G206" s="349">
        <f>'Variation Register'!AC261</f>
        <v>43863</v>
      </c>
      <c r="H206" s="350" t="str">
        <f>'Variation Register'!U261</f>
        <v>Rail Monitoring</v>
      </c>
      <c r="I206" s="350" t="str">
        <f>'Variation Register'!V261</f>
        <v>Contractor has been directed to monitor the rail formation for cracking at MS4</v>
      </c>
      <c r="J206" s="351">
        <f>'Variation Register'!AF261</f>
        <v>1708.63</v>
      </c>
      <c r="K206" s="352" t="e">
        <f>'Variation Register'!#REF!</f>
        <v>#REF!</v>
      </c>
      <c r="L206" s="353" t="s">
        <v>74</v>
      </c>
    </row>
    <row r="207" spans="1:12" ht="33.75" x14ac:dyDescent="0.25">
      <c r="A207" s="347" t="str">
        <f>'Variation Register'!A262</f>
        <v>HCV-222</v>
      </c>
      <c r="B207" s="347" t="str">
        <f>+'Variation Register'!T262</f>
        <v>Variation (Other than a Company Variation Direction)</v>
      </c>
      <c r="C207" s="347" t="str">
        <f>+'Variation Register'!B262</f>
        <v>VD-17</v>
      </c>
      <c r="D207" s="347">
        <f>'Variation Register'!C262</f>
        <v>103</v>
      </c>
      <c r="E207" s="348">
        <f>'Variation Register'!J262</f>
        <v>0</v>
      </c>
      <c r="F207" s="348">
        <f>'Variation Register'!D262</f>
        <v>0</v>
      </c>
      <c r="G207" s="349" t="str">
        <f>'Variation Register'!AC262</f>
        <v>SI103</v>
      </c>
      <c r="H207" s="350" t="str">
        <f>'Variation Register'!U262</f>
        <v xml:space="preserve"> TS472 East Crane Pad</v>
      </c>
      <c r="I207" s="350" t="str">
        <f>'Variation Register'!V262</f>
        <v>Construction of the eastern TS472 crane pad as defined in attached sketch SFP-C-1351/A and enclosed design models.</v>
      </c>
      <c r="J207" s="351">
        <f>'Variation Register'!AF262</f>
        <v>22552.81</v>
      </c>
      <c r="K207" s="352" t="e">
        <f>'Variation Register'!#REF!</f>
        <v>#REF!</v>
      </c>
      <c r="L207" s="353" t="s">
        <v>74</v>
      </c>
    </row>
    <row r="208" spans="1:12" ht="45" x14ac:dyDescent="0.25">
      <c r="A208" s="347" t="str">
        <f>'Variation Register'!A263</f>
        <v>HCV-223</v>
      </c>
      <c r="B208" s="347" t="str">
        <f>+'Variation Register'!T263</f>
        <v>Variation (Other than a Company Variation Direction)</v>
      </c>
      <c r="C208" s="347">
        <f>+'Variation Register'!B263</f>
        <v>0</v>
      </c>
      <c r="D208" s="347">
        <f>'Variation Register'!C263</f>
        <v>0</v>
      </c>
      <c r="E208" s="348" t="str">
        <f>'Variation Register'!J263</f>
        <v>9641-C-83588-CFC-0774</v>
      </c>
      <c r="F208" s="348">
        <f>'Variation Register'!D263</f>
        <v>0</v>
      </c>
      <c r="G208" s="349">
        <f>'Variation Register'!AC263</f>
        <v>43845</v>
      </c>
      <c r="H208" s="350" t="str">
        <f>'Variation Register'!U263</f>
        <v>Rain Event 2020.01.08</v>
      </c>
      <c r="I208" s="350" t="str">
        <f>'Variation Register'!V263</f>
        <v>The weather conditions that occurred prevented Contractor from undertaking its Scope of Works under Contract. Furthermore, the weather conditions resulted in Unsafe conditions to the Site for which Contractor had to undertake additional work as a result of complying with its obligations under clause 5.3(c).</v>
      </c>
      <c r="J208" s="351">
        <f>'Variation Register'!AF263</f>
        <v>2524827.98</v>
      </c>
      <c r="K208" s="352" t="e">
        <f>'Variation Register'!#REF!</f>
        <v>#REF!</v>
      </c>
      <c r="L208" s="353" t="s">
        <v>74</v>
      </c>
    </row>
    <row r="209" spans="1:12" ht="45" x14ac:dyDescent="0.25">
      <c r="A209" s="347" t="str">
        <f>'Variation Register'!A264</f>
        <v>HCV-224</v>
      </c>
      <c r="B209" s="347" t="str">
        <f>+'Variation Register'!T264</f>
        <v>Variation (Other than a Company Variation Direction)</v>
      </c>
      <c r="C209" s="347">
        <f>+'Variation Register'!B264</f>
        <v>0</v>
      </c>
      <c r="D209" s="347">
        <f>'Variation Register'!C264</f>
        <v>105</v>
      </c>
      <c r="E209" s="348">
        <f>'Variation Register'!J264</f>
        <v>0</v>
      </c>
      <c r="F209" s="348" t="str">
        <f>'Variation Register'!D264</f>
        <v>9641-C-83588-CTC-1062</v>
      </c>
      <c r="G209" s="349" t="str">
        <f>'Variation Register'!AC264</f>
        <v>SI105</v>
      </c>
      <c r="H209" s="350" t="str">
        <f>'Variation Register'!U264</f>
        <v>SUB450 Firewall Penetrations</v>
      </c>
      <c r="I209" s="350" t="str">
        <f>'Variation Register'!V264</f>
        <v>1. Remediation of the substation SUB450 precast firewall panels to conform with Drawing 864-C-0083/2 including:
· Installation of new penetrations (2 No.);
· Grout fill of existing penetrations (2No.)</v>
      </c>
      <c r="J209" s="351">
        <f>'Variation Register'!AF264</f>
        <v>5461.37</v>
      </c>
      <c r="K209" s="352" t="e">
        <f>'Variation Register'!#REF!</f>
        <v>#REF!</v>
      </c>
      <c r="L209" s="353" t="s">
        <v>74</v>
      </c>
    </row>
    <row r="210" spans="1:12" ht="33.75" x14ac:dyDescent="0.25">
      <c r="A210" s="347" t="str">
        <f>'Variation Register'!A265</f>
        <v>HCV-225</v>
      </c>
      <c r="B210" s="347" t="str">
        <f>+'Variation Register'!T265</f>
        <v>Variation (Other than a Company Variation Direction)</v>
      </c>
      <c r="C210" s="347">
        <f>+'Variation Register'!B265</f>
        <v>0</v>
      </c>
      <c r="D210" s="347">
        <f>'Variation Register'!C265</f>
        <v>106</v>
      </c>
      <c r="E210" s="348" t="str">
        <f>'Variation Register'!J265</f>
        <v>9641-C-83588-CFC-0724</v>
      </c>
      <c r="F210" s="348" t="str">
        <f>'Variation Register'!D265</f>
        <v>9641-C-83588-CTC-1059</v>
      </c>
      <c r="G210" s="349" t="str">
        <f>'Variation Register'!AC265</f>
        <v>SI106</v>
      </c>
      <c r="H210" s="350" t="str">
        <f>'Variation Register'!U265</f>
        <v>Void Filling</v>
      </c>
      <c r="I210" s="350" t="str">
        <f>'Variation Register'!V265</f>
        <v>Filling of the hole in the vicinity of Culvert C95 as detailed in Attachment 1 under Company supervision. Contractor shall fill the hole with larger granular material and then cap with Cement Stabilised Fill.</v>
      </c>
      <c r="J210" s="351">
        <f>'Variation Register'!AF265</f>
        <v>6888.05</v>
      </c>
      <c r="K210" s="352" t="e">
        <f>'Variation Register'!#REF!</f>
        <v>#REF!</v>
      </c>
      <c r="L210" s="353" t="s">
        <v>74</v>
      </c>
    </row>
    <row r="211" spans="1:12" ht="33.75" x14ac:dyDescent="0.25">
      <c r="A211" s="347" t="str">
        <f>'Variation Register'!A267</f>
        <v>HCV-227</v>
      </c>
      <c r="B211" s="347" t="str">
        <f>+'Variation Register'!T267</f>
        <v>Variation (Other than a Company Variation Direction)</v>
      </c>
      <c r="C211" s="347">
        <f>+'Variation Register'!B267</f>
        <v>0</v>
      </c>
      <c r="D211" s="347">
        <f>'Variation Register'!C267</f>
        <v>0</v>
      </c>
      <c r="E211" s="348" t="str">
        <f>'Variation Register'!J267</f>
        <v>9641-C-83588-CFC-0716</v>
      </c>
      <c r="F211" s="348">
        <f>'Variation Register'!D267</f>
        <v>0</v>
      </c>
      <c r="G211" s="349">
        <f>'Variation Register'!AC267</f>
        <v>43862</v>
      </c>
      <c r="H211" s="350" t="str">
        <f>'Variation Register'!U267</f>
        <v>Hauling Material on RMT - BHP Direction</v>
      </c>
      <c r="I211" s="350" t="str">
        <f>'Variation Register'!V267</f>
        <v>Company has directed Contractor that vehicles exceeding 10 tonnes are not to run within the vicinity of the cracked rail formation. As a result, the Contractor has had divert its heavy vehicles onto the RMT.</v>
      </c>
      <c r="J211" s="351">
        <f>'Variation Register'!AF267</f>
        <v>0</v>
      </c>
      <c r="K211" s="352" t="e">
        <f>'Variation Register'!#REF!</f>
        <v>#REF!</v>
      </c>
      <c r="L211" s="353" t="s">
        <v>74</v>
      </c>
    </row>
    <row r="212" spans="1:12" ht="45" x14ac:dyDescent="0.25">
      <c r="A212" s="347" t="str">
        <f>'Variation Register'!A270</f>
        <v>HCV-230</v>
      </c>
      <c r="B212" s="347" t="str">
        <f>+'Variation Register'!T270</f>
        <v>Variation (Other than a Company Variation Direction)</v>
      </c>
      <c r="C212" s="347">
        <f>+'Variation Register'!B270</f>
        <v>0</v>
      </c>
      <c r="D212" s="347">
        <f>'Variation Register'!C270</f>
        <v>0</v>
      </c>
      <c r="E212" s="348" t="str">
        <f>'Variation Register'!J270</f>
        <v>9641-C-83588-CFC-0775</v>
      </c>
      <c r="F212" s="348">
        <f>'Variation Register'!D270</f>
        <v>0</v>
      </c>
      <c r="G212" s="349">
        <f>'Variation Register'!AC270</f>
        <v>43852</v>
      </c>
      <c r="H212" s="350" t="str">
        <f>'Variation Register'!U270</f>
        <v>Rain Event 2020.01.15</v>
      </c>
      <c r="I212" s="350" t="str">
        <f>'Variation Register'!V270</f>
        <v>The weather conditions that occurred prevented Contractor from undertaking its Scope of Works under Contract. Furthermore, the weather conditions resulted in Unsafe conditions to the Site for which Contractor had to undertake additional work as a result of complying with its obligations under clause 5.3(c).</v>
      </c>
      <c r="J212" s="351">
        <f>'Variation Register'!AF270</f>
        <v>4644738.17</v>
      </c>
      <c r="K212" s="352" t="e">
        <f>'Variation Register'!#REF!</f>
        <v>#REF!</v>
      </c>
      <c r="L212" s="353" t="s">
        <v>74</v>
      </c>
    </row>
    <row r="213" spans="1:12" ht="33.75" x14ac:dyDescent="0.25">
      <c r="A213" s="347" t="str">
        <f>'Variation Register'!A271</f>
        <v>HCV-231</v>
      </c>
      <c r="B213" s="347" t="str">
        <f>+'Variation Register'!T271</f>
        <v>Variation (Other than a Company Variation Direction)</v>
      </c>
      <c r="C213" s="347" t="str">
        <f>+'Variation Register'!B271</f>
        <v>VD-17</v>
      </c>
      <c r="D213" s="347">
        <f>'Variation Register'!C271</f>
        <v>0</v>
      </c>
      <c r="E213" s="348" t="str">
        <f>'Variation Register'!J271</f>
        <v>9641-C-83588-CFC-0714</v>
      </c>
      <c r="F213" s="348">
        <f>'Variation Register'!D271</f>
        <v>0</v>
      </c>
      <c r="G213" s="349">
        <f>'Variation Register'!AC271</f>
        <v>43862</v>
      </c>
      <c r="H213" s="350" t="str">
        <f>'Variation Register'!U271</f>
        <v>SUB480 Ramp</v>
      </c>
      <c r="I213" s="350" t="str">
        <f>'Variation Register'!V271</f>
        <v>Contractor has been verbally instructed to install a ramp to suBStation SUB480</v>
      </c>
      <c r="J213" s="351">
        <f>'Variation Register'!AF271</f>
        <v>4275.0600000000004</v>
      </c>
      <c r="K213" s="352" t="e">
        <f>'Variation Register'!#REF!</f>
        <v>#REF!</v>
      </c>
      <c r="L213" s="353" t="s">
        <v>74</v>
      </c>
    </row>
    <row r="214" spans="1:12" ht="33.75" x14ac:dyDescent="0.25">
      <c r="A214" s="347" t="str">
        <f>'Variation Register'!A274</f>
        <v>HCV-234</v>
      </c>
      <c r="B214" s="347" t="str">
        <f>+'Variation Register'!T274</f>
        <v>Variation (Other than a Company Variation Direction)</v>
      </c>
      <c r="C214" s="347" t="str">
        <f>+'Variation Register'!B274</f>
        <v>VD-18</v>
      </c>
      <c r="D214" s="347">
        <f>'Variation Register'!C274</f>
        <v>0</v>
      </c>
      <c r="E214" s="348">
        <f>'Variation Register'!J274</f>
        <v>0</v>
      </c>
      <c r="F214" s="348" t="str">
        <f>'Variation Register'!D274</f>
        <v>9641-C-83588-CTC-1027</v>
      </c>
      <c r="G214" s="349">
        <f>'Variation Register'!AC274</f>
        <v>43893</v>
      </c>
      <c r="H214" s="350" t="str">
        <f>'Variation Register'!U274</f>
        <v>Concrete Cut-Off Wall</v>
      </c>
      <c r="I214" s="350" t="str">
        <f>'Variation Register'!V274</f>
        <v>New drawings issued post contract award have identified concrete cut off walls are to be installed in MS24 floodway</v>
      </c>
      <c r="J214" s="351">
        <f>'Variation Register'!AF274</f>
        <v>395727.69</v>
      </c>
      <c r="K214" s="352" t="e">
        <f>'Variation Register'!#REF!</f>
        <v>#REF!</v>
      </c>
      <c r="L214" s="353" t="s">
        <v>74</v>
      </c>
    </row>
    <row r="215" spans="1:12" ht="101.25" x14ac:dyDescent="0.25">
      <c r="A215" s="347" t="str">
        <f>'Variation Register'!A275</f>
        <v>HCV-235</v>
      </c>
      <c r="B215" s="347" t="str">
        <f>+'Variation Register'!T275</f>
        <v>Variation (Other than a Company Variation Direction)</v>
      </c>
      <c r="C215" s="347">
        <f>+'Variation Register'!B275</f>
        <v>0</v>
      </c>
      <c r="D215" s="347">
        <f>'Variation Register'!C275</f>
        <v>0</v>
      </c>
      <c r="E215" s="348" t="str">
        <f>'Variation Register'!J275</f>
        <v>9641-C-83588-CFC-0884</v>
      </c>
      <c r="F215" s="348">
        <f>'Variation Register'!D275</f>
        <v>0</v>
      </c>
      <c r="G215" s="349">
        <f>'Variation Register'!AC275</f>
        <v>43871</v>
      </c>
      <c r="H215" s="350" t="str">
        <f>'Variation Register'!U275</f>
        <v>Steel VSL Post Tensioning Ducts</v>
      </c>
      <c r="I215" s="350" t="str">
        <f>'Variation Register'!V275</f>
        <v xml:space="preserve">Variation to the Contract and not defects. Contractor does not
agree that the installed VSL Post Tensioning Ducts are non-conforming for the following reasons, in consideration of Drawing 000-C-12084_0:
a. Steel VSL ducts have been used;
b. Steel VSL ducts are in accordance with Table 3 at the required 127mm diameter
and duct ID = 127mm and duct OD = 133mm at the duct ribs are correct
c. There is no mention of corrugation or ribbed profile frequency. In lieu of a
mentioned profile frequency, Contractor confirms it has installed VSL ducts with a
ribbed profile within 1mm of the Table 3 dimensions. </v>
      </c>
      <c r="J215" s="351">
        <f>'Variation Register'!AF275</f>
        <v>189382.5</v>
      </c>
      <c r="K215" s="352" t="e">
        <f>'Variation Register'!#REF!</f>
        <v>#REF!</v>
      </c>
      <c r="L215" s="353" t="s">
        <v>74</v>
      </c>
    </row>
    <row r="216" spans="1:12" ht="33.75" x14ac:dyDescent="0.25">
      <c r="A216" s="347" t="str">
        <f>'Variation Register'!A277</f>
        <v>HCV-237</v>
      </c>
      <c r="B216" s="347" t="str">
        <f>+'Variation Register'!T277</f>
        <v>Variation (Other than a Company Variation Direction)</v>
      </c>
      <c r="C216" s="347">
        <f>+'Variation Register'!B277</f>
        <v>0</v>
      </c>
      <c r="D216" s="347">
        <f>'Variation Register'!C277</f>
        <v>0</v>
      </c>
      <c r="E216" s="348" t="str">
        <f>'Variation Register'!J277</f>
        <v>9641-C-83588-CFC-0773</v>
      </c>
      <c r="F216" s="348">
        <f>'Variation Register'!D277</f>
        <v>0</v>
      </c>
      <c r="G216" s="349">
        <f>'Variation Register'!AC277</f>
        <v>43870</v>
      </c>
      <c r="H216" s="350" t="str">
        <f>'Variation Register'!U277</f>
        <v>TC Damien - Force Majeure + Unsafe Conditions</v>
      </c>
      <c r="I216" s="350" t="str">
        <f>'Variation Register'!V277</f>
        <v>Contractor undertook additional works both preemptive actions and reactive actions to modify its activities as a result of weather conditions (Unsafe condition) and the Company’s Directions.</v>
      </c>
      <c r="J216" s="351">
        <f>'Variation Register'!AF277</f>
        <v>2411445.2999999998</v>
      </c>
      <c r="K216" s="352" t="e">
        <f>'Variation Register'!#REF!</f>
        <v>#REF!</v>
      </c>
      <c r="L216" s="353" t="s">
        <v>74</v>
      </c>
    </row>
    <row r="217" spans="1:12" ht="33.75" x14ac:dyDescent="0.25">
      <c r="A217" s="347" t="str">
        <f>'Variation Register'!A278</f>
        <v>HCV-238</v>
      </c>
      <c r="B217" s="347" t="str">
        <f>+'Variation Register'!T278</f>
        <v>Variation (Other than a Company Variation Direction)</v>
      </c>
      <c r="C217" s="347">
        <f>+'Variation Register'!B278</f>
        <v>0</v>
      </c>
      <c r="D217" s="347">
        <f>'Variation Register'!C278</f>
        <v>0</v>
      </c>
      <c r="E217" s="348" t="str">
        <f>'Variation Register'!J278</f>
        <v>9641-C-83588-CFC-0745</v>
      </c>
      <c r="F217" s="348">
        <f>'Variation Register'!D278</f>
        <v>0</v>
      </c>
      <c r="G217" s="349">
        <f>'Variation Register'!AC278</f>
        <v>43871</v>
      </c>
      <c r="H217" s="350" t="str">
        <f>'Variation Register'!U278</f>
        <v>RVP-017 Overhead Powerline Corridor Rehab</v>
      </c>
      <c r="I217" s="350" t="str">
        <f>'Variation Register'!V278</f>
        <v>Company has requested Contractor provide Company with Variation Proposal for Works pertaining to rehabilitation Works with the vicinity of the overhead powerline corridor.</v>
      </c>
      <c r="J217" s="351">
        <f>'Variation Register'!AF278</f>
        <v>0</v>
      </c>
      <c r="K217" s="352" t="e">
        <f>'Variation Register'!#REF!</f>
        <v>#REF!</v>
      </c>
      <c r="L217" s="353" t="s">
        <v>74</v>
      </c>
    </row>
    <row r="218" spans="1:12" ht="33.75" x14ac:dyDescent="0.25">
      <c r="A218" s="347" t="str">
        <f>'Variation Register'!A279</f>
        <v>HCV-239</v>
      </c>
      <c r="B218" s="347" t="str">
        <f>+'Variation Register'!T279</f>
        <v>Variation (Other than a Company Variation Direction)</v>
      </c>
      <c r="C218" s="347" t="str">
        <f>+'Variation Register'!B279</f>
        <v>VD-18</v>
      </c>
      <c r="D218" s="347">
        <f>'Variation Register'!C279</f>
        <v>111</v>
      </c>
      <c r="E218" s="348" t="str">
        <f>'Variation Register'!J279</f>
        <v>9641-C-83588-CFC-0784</v>
      </c>
      <c r="F218" s="348" t="str">
        <f>'Variation Register'!D279</f>
        <v>9641-C-83588-CTC-1028</v>
      </c>
      <c r="G218" s="349" t="str">
        <f>'Variation Register'!AC279</f>
        <v>SI111</v>
      </c>
      <c r="H218" s="350" t="str">
        <f>'Variation Register'!U279</f>
        <v>SUB440 Ramp</v>
      </c>
      <c r="I218" s="350" t="str">
        <f>'Variation Register'!V279</f>
        <v>Contractor has been directed (SI-0111) to install a ramp at substation SUB440.</v>
      </c>
      <c r="J218" s="351">
        <f>'Variation Register'!AF279</f>
        <v>51735.19</v>
      </c>
      <c r="K218" s="352" t="e">
        <f>'Variation Register'!#REF!</f>
        <v>#REF!</v>
      </c>
      <c r="L218" s="353" t="s">
        <v>74</v>
      </c>
    </row>
    <row r="219" spans="1:12" ht="33.75" x14ac:dyDescent="0.25">
      <c r="A219" s="347" t="str">
        <f>'Variation Register'!A283</f>
        <v>HCV-243</v>
      </c>
      <c r="B219" s="347" t="str">
        <f>+'Variation Register'!T283</f>
        <v>Variation (Other than a Company Variation Direction)</v>
      </c>
      <c r="C219" s="347">
        <f>+'Variation Register'!B283</f>
        <v>0</v>
      </c>
      <c r="D219" s="347">
        <f>'Variation Register'!C283</f>
        <v>0</v>
      </c>
      <c r="E219" s="348">
        <f>'Variation Register'!J283</f>
        <v>0</v>
      </c>
      <c r="F219" s="348">
        <f>'Variation Register'!D283</f>
        <v>0</v>
      </c>
      <c r="G219" s="349">
        <f>'Variation Register'!AC283</f>
        <v>43902</v>
      </c>
      <c r="H219" s="350" t="str">
        <f>'Variation Register'!U283</f>
        <v>Cable-Tail End Handling</v>
      </c>
      <c r="I219" s="350" t="str">
        <f>'Variation Register'!V283</f>
        <v>Direction received from Company to leave tail lengths greater than 3 metres at termination points for the follow on works to be undertaken by a separate contractor.</v>
      </c>
      <c r="J219" s="351">
        <f>'Variation Register'!AF283</f>
        <v>578069.62</v>
      </c>
      <c r="K219" s="352" t="e">
        <f>'Variation Register'!#REF!</f>
        <v>#REF!</v>
      </c>
      <c r="L219" s="353" t="s">
        <v>74</v>
      </c>
    </row>
    <row r="220" spans="1:12" ht="33.75" x14ac:dyDescent="0.25">
      <c r="A220" s="347" t="str">
        <f>'Variation Register'!A286</f>
        <v>HCV-246</v>
      </c>
      <c r="B220" s="347" t="str">
        <f>+'Variation Register'!T286</f>
        <v>Variation (Other than a Company Variation Direction)</v>
      </c>
      <c r="C220" s="347" t="str">
        <f>+'Variation Register'!B286</f>
        <v>VD-18</v>
      </c>
      <c r="D220" s="347">
        <f>'Variation Register'!C286</f>
        <v>0</v>
      </c>
      <c r="E220" s="348" t="str">
        <f>'Variation Register'!J286</f>
        <v>9641-C-83588-CFC-0767</v>
      </c>
      <c r="F220" s="348">
        <f>'Variation Register'!D286</f>
        <v>0</v>
      </c>
      <c r="G220" s="349">
        <f>'Variation Register'!AC286</f>
        <v>43893</v>
      </c>
      <c r="H220" s="350" t="str">
        <f>'Variation Register'!U286</f>
        <v>Stacker ST04, Stacker ST05, Reclaimer RC02 and Reclaimer RC03 - Reinforcement</v>
      </c>
      <c r="I220" s="350" t="str">
        <f>'Variation Register'!V286</f>
        <v>Advance issue IFC drawings (upon review by Contractor) indicate changes to reinforcement quantities</v>
      </c>
      <c r="J220" s="351">
        <f>'Variation Register'!AF286</f>
        <v>1568773.44</v>
      </c>
      <c r="K220" s="352" t="e">
        <f>'Variation Register'!#REF!</f>
        <v>#REF!</v>
      </c>
      <c r="L220" s="353" t="s">
        <v>74</v>
      </c>
    </row>
    <row r="221" spans="1:12" ht="78.75" x14ac:dyDescent="0.25">
      <c r="A221" s="347" t="str">
        <f>'Variation Register'!A287</f>
        <v>HCV-247</v>
      </c>
      <c r="B221" s="347" t="str">
        <f>+'Variation Register'!T287</f>
        <v>Variation (Other than a Company Variation Direction)</v>
      </c>
      <c r="C221" s="347" t="str">
        <f>+'Variation Register'!B287</f>
        <v>VD-17</v>
      </c>
      <c r="D221" s="347">
        <f>'Variation Register'!C287</f>
        <v>0</v>
      </c>
      <c r="E221" s="348">
        <f>'Variation Register'!J287</f>
        <v>0</v>
      </c>
      <c r="F221" s="348" t="str">
        <f>'Variation Register'!D287</f>
        <v>9641-C-83588-CTC-0996</v>
      </c>
      <c r="G221" s="349">
        <f>'Variation Register'!AC287</f>
        <v>43904</v>
      </c>
      <c r="H221" s="350" t="str">
        <f>'Variation Register'!U287</f>
        <v>CV521 F9 Footing Clash (TQ640)</v>
      </c>
      <c r="I221" s="350" t="str">
        <f>'Variation Register'!V287</f>
        <v>Company has directed Contractor to undertake the following additional works to ensure the existing toilet block is maintained:
1. Remove the toilet awning and 5 number columns,
2. Demolish and dispose of the concrete footpath,
3. Complete F9 footing construction,
4. Reinstate the concrete footpath to its original state, including joint, and
5. Re-install the toilet awning and columns to its original state.</v>
      </c>
      <c r="J221" s="351">
        <f>'Variation Register'!AF287</f>
        <v>28124.53</v>
      </c>
      <c r="K221" s="352" t="e">
        <f>'Variation Register'!#REF!</f>
        <v>#REF!</v>
      </c>
      <c r="L221" s="353" t="s">
        <v>74</v>
      </c>
    </row>
    <row r="222" spans="1:12" ht="33.75" x14ac:dyDescent="0.25">
      <c r="A222" s="347" t="str">
        <f>'Variation Register'!A288</f>
        <v>HCV-248</v>
      </c>
      <c r="B222" s="347" t="str">
        <f>+'Variation Register'!T288</f>
        <v>Variation (Other than a Company Variation Direction)</v>
      </c>
      <c r="C222" s="347">
        <f>+'Variation Register'!B288</f>
        <v>0</v>
      </c>
      <c r="D222" s="347">
        <f>'Variation Register'!C288</f>
        <v>0</v>
      </c>
      <c r="E222" s="348" t="str">
        <f>'Variation Register'!J288</f>
        <v>9641-C-83588-CFC-0845</v>
      </c>
      <c r="F222" s="348">
        <f>'Variation Register'!D288</f>
        <v>0</v>
      </c>
      <c r="G222" s="349">
        <f>'Variation Register'!AC288</f>
        <v>43942</v>
      </c>
      <c r="H222" s="350" t="str">
        <f>'Variation Register'!U288</f>
        <v>RVP-018 CV413 Temporary Crane Pad &amp; Module Access</v>
      </c>
      <c r="I222" s="350" t="str">
        <f>'Variation Register'!V288</f>
        <v>Company has requested Contractor provide Company with Variation Proposal for Works pertaining to the construction of a temporary crane pad and module access to CV413.</v>
      </c>
      <c r="J222" s="351">
        <f>'Variation Register'!AF288</f>
        <v>0</v>
      </c>
      <c r="K222" s="352" t="e">
        <f>'Variation Register'!#REF!</f>
        <v>#REF!</v>
      </c>
      <c r="L222" s="353" t="s">
        <v>74</v>
      </c>
    </row>
    <row r="223" spans="1:12" ht="33.75" x14ac:dyDescent="0.25">
      <c r="A223" s="347" t="str">
        <f>'Variation Register'!A289</f>
        <v>HCV-249</v>
      </c>
      <c r="B223" s="347" t="str">
        <f>+'Variation Register'!T289</f>
        <v>Variation (Other than a Company Variation Direction)</v>
      </c>
      <c r="C223" s="347" t="str">
        <f>+'Variation Register'!B289</f>
        <v>VD-18</v>
      </c>
      <c r="D223" s="347">
        <f>'Variation Register'!C289</f>
        <v>0</v>
      </c>
      <c r="E223" s="348" t="str">
        <f>'Variation Register'!J289</f>
        <v>9641-C-83588-CFC-0802</v>
      </c>
      <c r="F223" s="348" t="str">
        <f>'Variation Register'!D289</f>
        <v>9641-C-83588-CTC-1029</v>
      </c>
      <c r="G223" s="349">
        <f>'Variation Register'!AC289</f>
        <v>43902</v>
      </c>
      <c r="H223" s="350" t="str">
        <f>'Variation Register'!U289</f>
        <v>RVP-019 AB9 Duct Removal and Remedial Works</v>
      </c>
      <c r="I223" s="350" t="str">
        <f>'Variation Register'!V289</f>
        <v>AB9 Test Ducts – Remove and Remediate</v>
      </c>
      <c r="J223" s="351">
        <f>'Variation Register'!AF289</f>
        <v>68765.087666803098</v>
      </c>
      <c r="K223" s="352" t="e">
        <f>'Variation Register'!#REF!</f>
        <v>#REF!</v>
      </c>
      <c r="L223" s="353" t="s">
        <v>74</v>
      </c>
    </row>
    <row r="224" spans="1:12" ht="45" x14ac:dyDescent="0.25">
      <c r="A224" s="347" t="str">
        <f>'Variation Register'!A290</f>
        <v>HCV-250</v>
      </c>
      <c r="B224" s="347" t="str">
        <f>+'Variation Register'!T290</f>
        <v>Variation (Other than a Company Variation Direction)</v>
      </c>
      <c r="C224" s="347">
        <f>+'Variation Register'!B290</f>
        <v>0</v>
      </c>
      <c r="D224" s="347">
        <f>'Variation Register'!C290</f>
        <v>108</v>
      </c>
      <c r="E224" s="348">
        <f>'Variation Register'!J290</f>
        <v>0</v>
      </c>
      <c r="F224" s="348">
        <f>'Variation Register'!D290</f>
        <v>0</v>
      </c>
      <c r="G224" s="349" t="str">
        <f>'Variation Register'!AC290</f>
        <v>SI108</v>
      </c>
      <c r="H224" s="350" t="str">
        <f>'Variation Register'!U290</f>
        <v xml:space="preserve">Geotextile - SF Link Access Road </v>
      </c>
      <c r="I224" s="350" t="str">
        <f>'Variation Register'!V290</f>
        <v>Installation of geotextile membrane {bidim) within the MAC610/RMU411 Rand RMU411 R/RMU450S services trenches on the SF Link LV Access Road in accordance with enclosed marked up Drawings 2345-E-00125_2 and 2345-E-00081_ 1</v>
      </c>
      <c r="J224" s="351">
        <f>'Variation Register'!AF290</f>
        <v>0</v>
      </c>
      <c r="K224" s="352" t="e">
        <f>'Variation Register'!#REF!</f>
        <v>#REF!</v>
      </c>
      <c r="L224" s="353" t="s">
        <v>74</v>
      </c>
    </row>
    <row r="225" spans="1:12" ht="33.75" x14ac:dyDescent="0.25">
      <c r="A225" s="347" t="str">
        <f>'Variation Register'!A291</f>
        <v>HCV-251</v>
      </c>
      <c r="B225" s="347" t="str">
        <f>+'Variation Register'!T291</f>
        <v>Variation (Other than a Company Variation Direction)</v>
      </c>
      <c r="C225" s="347">
        <f>+'Variation Register'!B291</f>
        <v>0</v>
      </c>
      <c r="D225" s="347">
        <f>'Variation Register'!C291</f>
        <v>109</v>
      </c>
      <c r="E225" s="348">
        <f>'Variation Register'!J291</f>
        <v>0</v>
      </c>
      <c r="F225" s="348">
        <f>'Variation Register'!D291</f>
        <v>0</v>
      </c>
      <c r="G225" s="349" t="str">
        <f>'Variation Register'!AC291</f>
        <v>SI109</v>
      </c>
      <c r="H225" s="350" t="str">
        <f>'Variation Register'!U291</f>
        <v>Outgo Rail Embankment Crack Grouting</v>
      </c>
      <c r="I225" s="350" t="str">
        <f>'Variation Register'!V291</f>
        <v>Grouting of cracks within the vicinity of the Outgo Rail embankment</v>
      </c>
      <c r="J225" s="351">
        <f>'Variation Register'!AF291</f>
        <v>0</v>
      </c>
      <c r="K225" s="352" t="e">
        <f>'Variation Register'!#REF!</f>
        <v>#REF!</v>
      </c>
      <c r="L225" s="353" t="s">
        <v>74</v>
      </c>
    </row>
    <row r="226" spans="1:12" ht="78.75" x14ac:dyDescent="0.25">
      <c r="A226" s="347" t="str">
        <f>'Variation Register'!A292</f>
        <v>HCV-252</v>
      </c>
      <c r="B226" s="347" t="str">
        <f>+'Variation Register'!T292</f>
        <v>Variation (Other than a Company Variation Direction)</v>
      </c>
      <c r="C226" s="347" t="str">
        <f>+'Variation Register'!B292</f>
        <v>VD-18</v>
      </c>
      <c r="D226" s="347">
        <f>'Variation Register'!C292</f>
        <v>110</v>
      </c>
      <c r="E226" s="348">
        <f>'Variation Register'!J292</f>
        <v>0</v>
      </c>
      <c r="F226" s="348">
        <f>'Variation Register'!D292</f>
        <v>0</v>
      </c>
      <c r="G226" s="349" t="str">
        <f>'Variation Register'!AC292</f>
        <v>SI110</v>
      </c>
      <c r="H226" s="350" t="str">
        <f>'Variation Register'!U292</f>
        <v>Swale Drain - TS314 Module Route (SI-0110)</v>
      </c>
      <c r="I226" s="350" t="str">
        <f>'Variation Register'!V292</f>
        <v>Stream training of the swale drain beneath the TS314 module route to the extent detailed within attached drawing "SFPC-
1341_C marked up" to improve drainage through culvert MAC-C20.
Contractor shall ensure edge protection is installed where required.
Contractor shall reinstate the TS314 module route at a later date as agreed with Company's Site representative and
coordinated with Separate Contractor's module deliveries.</v>
      </c>
      <c r="J226" s="351">
        <f>'Variation Register'!AF292</f>
        <v>0</v>
      </c>
      <c r="K226" s="352" t="e">
        <f>'Variation Register'!#REF!</f>
        <v>#REF!</v>
      </c>
      <c r="L226" s="353" t="s">
        <v>74</v>
      </c>
    </row>
    <row r="227" spans="1:12" ht="33.75" x14ac:dyDescent="0.25">
      <c r="A227" s="347" t="str">
        <f>'Variation Register'!A293</f>
        <v>HCV-253</v>
      </c>
      <c r="B227" s="347" t="str">
        <f>+'Variation Register'!T293</f>
        <v>Variation (Other than a Company Variation Direction)</v>
      </c>
      <c r="C227" s="347">
        <f>+'Variation Register'!B293</f>
        <v>0</v>
      </c>
      <c r="D227" s="347">
        <f>'Variation Register'!C293</f>
        <v>0</v>
      </c>
      <c r="E227" s="348" t="str">
        <f>'Variation Register'!J293</f>
        <v>9641-C-83588-CFC-0805</v>
      </c>
      <c r="F227" s="348">
        <f>'Variation Register'!D293</f>
        <v>0</v>
      </c>
      <c r="G227" s="349">
        <f>'Variation Register'!AC293</f>
        <v>43918</v>
      </c>
      <c r="H227" s="350" t="str">
        <f>'Variation Register'!U293</f>
        <v>Revised Schedule 6.3 Concrete Works</v>
      </c>
      <c r="I227" s="350" t="str">
        <f>'Variation Register'!V293</f>
        <v>The Variation relates to the increase in the concrete works quantities from Contract Award.</v>
      </c>
      <c r="J227" s="351">
        <f>'Variation Register'!AF293</f>
        <v>3690121.52</v>
      </c>
      <c r="K227" s="352" t="e">
        <f>'Variation Register'!#REF!</f>
        <v>#REF!</v>
      </c>
      <c r="L227" s="353" t="s">
        <v>74</v>
      </c>
    </row>
    <row r="228" spans="1:12" ht="33.75" x14ac:dyDescent="0.25">
      <c r="A228" s="347" t="str">
        <f>'Variation Register'!A294</f>
        <v>HCV-254</v>
      </c>
      <c r="B228" s="347" t="str">
        <f>+'Variation Register'!T294</f>
        <v>Variation (Other than a Company Variation Direction)</v>
      </c>
      <c r="C228" s="347">
        <f>+'Variation Register'!B294</f>
        <v>0</v>
      </c>
      <c r="D228" s="347">
        <f>'Variation Register'!C294</f>
        <v>104</v>
      </c>
      <c r="E228" s="348">
        <f>'Variation Register'!J294</f>
        <v>0</v>
      </c>
      <c r="F228" s="348">
        <f>'Variation Register'!D294</f>
        <v>0</v>
      </c>
      <c r="G228" s="349" t="str">
        <f>'Variation Register'!AC294</f>
        <v>SI104</v>
      </c>
      <c r="H228" s="350" t="str">
        <f>'Variation Register'!U294</f>
        <v>TLO2 Crane Pad</v>
      </c>
      <c r="I228" s="350" t="str">
        <f>'Variation Register'!V294</f>
        <v>Construction of the temporary TLO2 crane pad</v>
      </c>
      <c r="J228" s="351">
        <f>'Variation Register'!AF294</f>
        <v>0</v>
      </c>
      <c r="K228" s="352" t="e">
        <f>'Variation Register'!#REF!</f>
        <v>#REF!</v>
      </c>
      <c r="L228" s="353" t="s">
        <v>74</v>
      </c>
    </row>
    <row r="229" spans="1:12" ht="33.75" x14ac:dyDescent="0.25">
      <c r="A229" s="347" t="str">
        <f>'Variation Register'!A295</f>
        <v>HCV-255</v>
      </c>
      <c r="B229" s="347" t="str">
        <f>+'Variation Register'!T295</f>
        <v>Variation (Other than a Company Variation Direction)</v>
      </c>
      <c r="C229" s="347" t="str">
        <f>+'Variation Register'!B295</f>
        <v>VD-18</v>
      </c>
      <c r="D229" s="347">
        <f>'Variation Register'!C295</f>
        <v>114</v>
      </c>
      <c r="E229" s="348">
        <f>'Variation Register'!J295</f>
        <v>0</v>
      </c>
      <c r="F229" s="348">
        <f>'Variation Register'!D295</f>
        <v>0</v>
      </c>
      <c r="G229" s="349" t="str">
        <f>'Variation Register'!AC295</f>
        <v>SI114</v>
      </c>
      <c r="H229" s="350" t="str">
        <f>'Variation Register'!U295</f>
        <v>Pre-Works - In-situ Permeability Testing</v>
      </c>
      <c r="I229" s="350" t="str">
        <f>'Variation Register'!V295</f>
        <v>Completion of preparation works for in-situ permeability testing between CH1475 and CH1975 in the Southern Diversion Drain as per the scope of work detailed in Aconex memorandum BHPSFP-MEMO-055022.</v>
      </c>
      <c r="J229" s="351">
        <f>'Variation Register'!AF295</f>
        <v>0</v>
      </c>
      <c r="K229" s="352" t="e">
        <f>'Variation Register'!#REF!</f>
        <v>#REF!</v>
      </c>
      <c r="L229" s="353" t="s">
        <v>74</v>
      </c>
    </row>
    <row r="230" spans="1:12" ht="33.75" x14ac:dyDescent="0.25">
      <c r="A230" s="347" t="str">
        <f>'Variation Register'!A297</f>
        <v>HCV-257</v>
      </c>
      <c r="B230" s="347" t="str">
        <f>+'Variation Register'!T297</f>
        <v>Variation (Other than a Company Variation Direction)</v>
      </c>
      <c r="C230" s="347">
        <f>+'Variation Register'!B297</f>
        <v>0</v>
      </c>
      <c r="D230" s="347">
        <f>'Variation Register'!C297</f>
        <v>117</v>
      </c>
      <c r="E230" s="348">
        <f>'Variation Register'!J297</f>
        <v>0</v>
      </c>
      <c r="F230" s="348">
        <f>'Variation Register'!D297</f>
        <v>0</v>
      </c>
      <c r="G230" s="349" t="str">
        <f>'Variation Register'!AC297</f>
        <v>SI117</v>
      </c>
      <c r="H230" s="350" t="str">
        <f>'Variation Register'!U297</f>
        <v>COS Earthworks Modification</v>
      </c>
      <c r="I230" s="350" t="str">
        <f>'Variation Register'!V297</f>
        <v>Localised levelling of the indicative area detailed in marked up Drawing 860-C-12565/2 as directed by Company's Site
representative so as to support module deliveries via SPMTs.</v>
      </c>
      <c r="J230" s="351">
        <f>'Variation Register'!AF297</f>
        <v>0</v>
      </c>
      <c r="K230" s="352" t="e">
        <f>'Variation Register'!#REF!</f>
        <v>#REF!</v>
      </c>
      <c r="L230" s="353" t="s">
        <v>74</v>
      </c>
    </row>
    <row r="231" spans="1:12" ht="33.75" x14ac:dyDescent="0.25">
      <c r="A231" s="347" t="str">
        <f>'Variation Register'!A298</f>
        <v>HCV-258</v>
      </c>
      <c r="B231" s="347" t="str">
        <f>+'Variation Register'!T298</f>
        <v>Variation (Other than a Company Variation Direction)</v>
      </c>
      <c r="C231" s="347" t="str">
        <f>+'Variation Register'!B298</f>
        <v>VD-18</v>
      </c>
      <c r="D231" s="347">
        <f>'Variation Register'!C298</f>
        <v>0</v>
      </c>
      <c r="E231" s="348" t="str">
        <f>'Variation Register'!J298</f>
        <v>9641-C-83588-CFC-0790</v>
      </c>
      <c r="F231" s="348" t="str">
        <f>'Variation Register'!D298</f>
        <v>9641-C-83588-CTC-1030</v>
      </c>
      <c r="G231" s="349">
        <f>'Variation Register'!AC298</f>
        <v>43906</v>
      </c>
      <c r="H231" s="350" t="str">
        <f>'Variation Register'!U298</f>
        <v>Widening of Module Access Road 3</v>
      </c>
      <c r="I231" s="350" t="str">
        <f>'Variation Register'!V298</f>
        <v>Contractor has been verbally directed by Company to widen module access road 3 beyond the design boundary included in SI079.</v>
      </c>
      <c r="J231" s="351">
        <f>'Variation Register'!AF298</f>
        <v>7851.41</v>
      </c>
      <c r="K231" s="352" t="e">
        <f>'Variation Register'!#REF!</f>
        <v>#REF!</v>
      </c>
      <c r="L231" s="353" t="s">
        <v>74</v>
      </c>
    </row>
    <row r="232" spans="1:12" ht="33.75" x14ac:dyDescent="0.25">
      <c r="A232" s="347" t="str">
        <f>'Variation Register'!A299</f>
        <v>HCV-259</v>
      </c>
      <c r="B232" s="347" t="str">
        <f>+'Variation Register'!T299</f>
        <v>Variation (Other than a Company Variation Direction)</v>
      </c>
      <c r="C232" s="347">
        <f>+'Variation Register'!B299</f>
        <v>0</v>
      </c>
      <c r="D232" s="347">
        <f>'Variation Register'!C299</f>
        <v>0</v>
      </c>
      <c r="E232" s="348" t="str">
        <f>'Variation Register'!J299</f>
        <v>9641-C-83588-CFC-0859</v>
      </c>
      <c r="F232" s="348">
        <f>'Variation Register'!D299</f>
        <v>0</v>
      </c>
      <c r="G232" s="349">
        <f>'Variation Register'!AC299</f>
        <v>43909</v>
      </c>
      <c r="H232" s="350" t="str">
        <f>'Variation Register'!U299</f>
        <v>HSE Management COVID-19</v>
      </c>
      <c r="I232" s="350" t="str">
        <f>'Variation Register'!V299</f>
        <v>Contractor considers that Company correspondence reference 9641-C-83588-CTC-0951 dated 12 March 2020 constitutes a Direction giving rise to a Variation.</v>
      </c>
      <c r="J232" s="351">
        <f>'Variation Register'!AF299</f>
        <v>3749779.57</v>
      </c>
      <c r="K232" s="352" t="e">
        <f>'Variation Register'!#REF!</f>
        <v>#REF!</v>
      </c>
      <c r="L232" s="353" t="s">
        <v>74</v>
      </c>
    </row>
    <row r="233" spans="1:12" ht="33.75" x14ac:dyDescent="0.25">
      <c r="A233" s="347" t="str">
        <f>'Variation Register'!A300</f>
        <v>HCV-260</v>
      </c>
      <c r="B233" s="347" t="str">
        <f>+'Variation Register'!T300</f>
        <v>Variation (Other than a Company Variation Direction)</v>
      </c>
      <c r="C233" s="347">
        <f>+'Variation Register'!B300</f>
        <v>0</v>
      </c>
      <c r="D233" s="347">
        <f>'Variation Register'!C300</f>
        <v>0</v>
      </c>
      <c r="E233" s="348" t="str">
        <f>'Variation Register'!J300</f>
        <v>9641-C-83588-CFC-0800</v>
      </c>
      <c r="F233" s="348">
        <f>'Variation Register'!D300</f>
        <v>0</v>
      </c>
      <c r="G233" s="349">
        <f>'Variation Register'!AC300</f>
        <v>43909</v>
      </c>
      <c r="H233" s="350" t="str">
        <f>'Variation Register'!U300</f>
        <v>Unsuitable Material - HV Cable RMU450 to RMU411</v>
      </c>
      <c r="I233" s="350" t="str">
        <f>'Variation Register'!V300</f>
        <v>Unsuitable material encountered while excavating HV Cable RMU450 to RMU411</v>
      </c>
      <c r="J233" s="351">
        <f>'Variation Register'!AF300</f>
        <v>0</v>
      </c>
      <c r="K233" s="352" t="e">
        <f>'Variation Register'!#REF!</f>
        <v>#REF!</v>
      </c>
      <c r="L233" s="353" t="s">
        <v>74</v>
      </c>
    </row>
    <row r="234" spans="1:12" ht="45" x14ac:dyDescent="0.25">
      <c r="A234" s="347" t="str">
        <f>'Variation Register'!A301</f>
        <v>HCV-261</v>
      </c>
      <c r="B234" s="347" t="str">
        <f>+'Variation Register'!T301</f>
        <v>Variation (Other than a Company Variation Direction)</v>
      </c>
      <c r="C234" s="347">
        <f>+'Variation Register'!B301</f>
        <v>0</v>
      </c>
      <c r="D234" s="347">
        <f>'Variation Register'!C301</f>
        <v>0</v>
      </c>
      <c r="E234" s="348" t="str">
        <f>'Variation Register'!J301</f>
        <v>9641-C-83588-CFC-0814</v>
      </c>
      <c r="F234" s="348">
        <f>'Variation Register'!D301</f>
        <v>0</v>
      </c>
      <c r="G234" s="349">
        <f>'Variation Register'!AC301</f>
        <v>43924</v>
      </c>
      <c r="H234" s="350" t="str">
        <f>'Variation Register'!U301</f>
        <v>Accommodation for Interstate FIFO Workers</v>
      </c>
      <c r="I234" s="350" t="str">
        <f>'Variation Register'!V301</f>
        <v>Due to the closure of the Western Australian Borders, the Contractor is required to provide alternative accommodation for its personnel during their R&amp;R period in Perth. The alternative accommodation to be provided is an addition to the accommodation provided for in Schedule 6.6, Table 6.6.1.</v>
      </c>
      <c r="J234" s="351">
        <f>'Variation Register'!AF301</f>
        <v>29416.71</v>
      </c>
      <c r="K234" s="352" t="e">
        <f>'Variation Register'!#REF!</f>
        <v>#REF!</v>
      </c>
      <c r="L234" s="353" t="s">
        <v>74</v>
      </c>
    </row>
    <row r="235" spans="1:12" ht="33.75" x14ac:dyDescent="0.25">
      <c r="A235" s="347" t="str">
        <f>'Variation Register'!A302</f>
        <v>HCV-262</v>
      </c>
      <c r="B235" s="347" t="str">
        <f>+'Variation Register'!T302</f>
        <v>Variation (Other than a Company Variation Direction)</v>
      </c>
      <c r="C235" s="347" t="str">
        <f>+'Variation Register'!B302</f>
        <v>VD-18</v>
      </c>
      <c r="D235" s="347">
        <f>'Variation Register'!C302</f>
        <v>0</v>
      </c>
      <c r="E235" s="348" t="str">
        <f>'Variation Register'!J302</f>
        <v>9641-C-83588-CFC-0812</v>
      </c>
      <c r="F235" s="348">
        <f>'Variation Register'!D302</f>
        <v>0</v>
      </c>
      <c r="G235" s="349">
        <f>'Variation Register'!AC302</f>
        <v>43923</v>
      </c>
      <c r="H235" s="350" t="str">
        <f>'Variation Register'!U302</f>
        <v>TS513 Mechanical Excavation - Concrete Footings</v>
      </c>
      <c r="I235" s="350" t="str">
        <f>'Variation Register'!V302</f>
        <v>Contractor is required to undertake detailed excavation for concrete works in rock, and not compacted fill or common material as defined in Item 3.3.1.1(a).</v>
      </c>
      <c r="J235" s="351">
        <f>'Variation Register'!AF302</f>
        <v>88046.35</v>
      </c>
      <c r="K235" s="352" t="e">
        <f>'Variation Register'!#REF!</f>
        <v>#REF!</v>
      </c>
      <c r="L235" s="353" t="s">
        <v>74</v>
      </c>
    </row>
    <row r="236" spans="1:12" ht="67.5" x14ac:dyDescent="0.25">
      <c r="A236" s="347" t="str">
        <f>'Variation Register'!A303</f>
        <v>HCV-263</v>
      </c>
      <c r="B236" s="347" t="str">
        <f>+'Variation Register'!T303</f>
        <v>Variation (Other than a Company Variation Direction)</v>
      </c>
      <c r="C236" s="347">
        <f>+'Variation Register'!B303</f>
        <v>0</v>
      </c>
      <c r="D236" s="347">
        <f>'Variation Register'!C303</f>
        <v>0</v>
      </c>
      <c r="E236" s="348" t="str">
        <f>'Variation Register'!J303</f>
        <v>9641-C-83588-CFC-0817</v>
      </c>
      <c r="F236" s="348">
        <f>'Variation Register'!D303</f>
        <v>0</v>
      </c>
      <c r="G236" s="349">
        <f>'Variation Register'!AC303</f>
        <v>43924</v>
      </c>
      <c r="H236" s="350" t="str">
        <f>'Variation Register'!U303</f>
        <v>Flumes in lieu of guardrail (TQ675)</v>
      </c>
      <c r="I236" s="350" t="str">
        <f>'Variation Register'!V303</f>
        <v>Company has advised Contractor that the guardrail is no longer required at that location described in TQ675, and Contractor has been instead directed to install flumes and construct windrows in lieu of the guardrail. Contractor has also been directed to reinstate the washed away batter.
In addition, Contractor has been directed to install three additional flumes on the OHP3 pad southern batter, as identified in marked up drawing 842-C-12058/1.</v>
      </c>
      <c r="J236" s="351">
        <f>'Variation Register'!AF303</f>
        <v>0</v>
      </c>
      <c r="K236" s="352" t="e">
        <f>'Variation Register'!#REF!</f>
        <v>#REF!</v>
      </c>
      <c r="L236" s="353" t="s">
        <v>74</v>
      </c>
    </row>
    <row r="237" spans="1:12" ht="33.75" x14ac:dyDescent="0.25">
      <c r="A237" s="347" t="str">
        <f>'Variation Register'!A304</f>
        <v>HCV-264</v>
      </c>
      <c r="B237" s="347" t="str">
        <f>+'Variation Register'!T304</f>
        <v>Variation (Other than a Company Variation Direction)</v>
      </c>
      <c r="C237" s="347">
        <f>+'Variation Register'!B304</f>
        <v>0</v>
      </c>
      <c r="D237" s="347">
        <f>'Variation Register'!C304</f>
        <v>0</v>
      </c>
      <c r="E237" s="348" t="str">
        <f>'Variation Register'!J304</f>
        <v>9641-C-83588-CFC-0819</v>
      </c>
      <c r="F237" s="348">
        <f>'Variation Register'!D304</f>
        <v>0</v>
      </c>
      <c r="G237" s="349">
        <f>'Variation Register'!AC304</f>
        <v>43926</v>
      </c>
      <c r="H237" s="350" t="str">
        <f>'Variation Register'!U304</f>
        <v>Additional In-situ Permeability Testing at SDD</v>
      </c>
      <c r="I237" s="350" t="str">
        <f>'Variation Register'!V304</f>
        <v>Further to Site Instruction SI-0114, has directed Contractor to undertake additional permeability testing to the Southern Diversion Drain.</v>
      </c>
      <c r="J237" s="351">
        <f>'Variation Register'!AF304</f>
        <v>0</v>
      </c>
      <c r="K237" s="352" t="e">
        <f>'Variation Register'!#REF!</f>
        <v>#REF!</v>
      </c>
      <c r="L237" s="353" t="s">
        <v>74</v>
      </c>
    </row>
    <row r="238" spans="1:12" ht="33.75" x14ac:dyDescent="0.25">
      <c r="A238" s="347" t="str">
        <f>'Variation Register'!A305</f>
        <v>HCV-265</v>
      </c>
      <c r="B238" s="347" t="str">
        <f>+'Variation Register'!T305</f>
        <v>Variation (Other than a Company Variation Direction)</v>
      </c>
      <c r="C238" s="347" t="str">
        <f>+'Variation Register'!B305</f>
        <v>VD-18</v>
      </c>
      <c r="D238" s="347">
        <f>'Variation Register'!C305</f>
        <v>0</v>
      </c>
      <c r="E238" s="348" t="str">
        <f>'Variation Register'!J305</f>
        <v>9641-C-83588-CFC-0818</v>
      </c>
      <c r="F238" s="348" t="str">
        <f>'Variation Register'!D305</f>
        <v>9641-C-83588-CTC-1032</v>
      </c>
      <c r="G238" s="349">
        <f>'Variation Register'!AC305</f>
        <v>43926</v>
      </c>
      <c r="H238" s="350" t="str">
        <f>'Variation Register'!U305</f>
        <v>MAC-C95 Pooling of Water</v>
      </c>
      <c r="I238" s="350" t="str">
        <f>'Variation Register'!V305</f>
        <v>Contractor has received verbal direction from Company to install drainage culvert near MAC-C95 to prevent the pooling of water from occurring.</v>
      </c>
      <c r="J238" s="351">
        <f>'Variation Register'!AF305</f>
        <v>3573.05</v>
      </c>
      <c r="K238" s="352" t="e">
        <f>'Variation Register'!#REF!</f>
        <v>#REF!</v>
      </c>
      <c r="L238" s="353" t="s">
        <v>74</v>
      </c>
    </row>
    <row r="239" spans="1:12" ht="33.75" x14ac:dyDescent="0.25">
      <c r="A239" s="347" t="str">
        <f>'Variation Register'!A306</f>
        <v>HCV-266</v>
      </c>
      <c r="B239" s="347" t="str">
        <f>+'Variation Register'!T306</f>
        <v>Variation (Other than a Company Variation Direction)</v>
      </c>
      <c r="C239" s="347">
        <f>+'Variation Register'!B306</f>
        <v>0</v>
      </c>
      <c r="D239" s="347">
        <f>'Variation Register'!C306</f>
        <v>0</v>
      </c>
      <c r="E239" s="348" t="str">
        <f>'Variation Register'!J306</f>
        <v>9641-C-83588-CFC-0823</v>
      </c>
      <c r="F239" s="348">
        <f>'Variation Register'!D306</f>
        <v>0</v>
      </c>
      <c r="G239" s="349">
        <f>'Variation Register'!AC306</f>
        <v>43927</v>
      </c>
      <c r="H239" s="350" t="str">
        <f>'Variation Register'!U306</f>
        <v>MS18B Void Investigation (TQ711)</v>
      </c>
      <c r="I239" s="350" t="str">
        <f>'Variation Register'!V306</f>
        <v>Company directed Contractor to undertake further investigation works to the void using a rock breaker attached to an excavator.</v>
      </c>
      <c r="J239" s="351">
        <f>'Variation Register'!AF306</f>
        <v>0</v>
      </c>
      <c r="K239" s="352" t="e">
        <f>'Variation Register'!#REF!</f>
        <v>#REF!</v>
      </c>
      <c r="L239" s="353" t="s">
        <v>74</v>
      </c>
    </row>
    <row r="240" spans="1:12" ht="45" x14ac:dyDescent="0.25">
      <c r="A240" s="347" t="str">
        <f>'Variation Register'!A310</f>
        <v>HCV-270</v>
      </c>
      <c r="B240" s="347" t="str">
        <f>+'Variation Register'!T310</f>
        <v>Variation (Other than a Company Variation Direction)</v>
      </c>
      <c r="C240" s="347" t="str">
        <f>+'Variation Register'!B310</f>
        <v>VD-18</v>
      </c>
      <c r="D240" s="347">
        <f>'Variation Register'!C310</f>
        <v>107</v>
      </c>
      <c r="E240" s="348">
        <f>'Variation Register'!J310</f>
        <v>0</v>
      </c>
      <c r="F240" s="348">
        <f>'Variation Register'!D310</f>
        <v>0</v>
      </c>
      <c r="G240" s="349" t="str">
        <f>'Variation Register'!AC310</f>
        <v>SI107</v>
      </c>
      <c r="H240" s="350" t="str">
        <f>'Variation Register'!U310</f>
        <v>Earth Cable Install at RC02 (SI-107)</v>
      </c>
      <c r="I240" s="350" t="str">
        <f>'Variation Register'!V310</f>
        <v>Contractor is hereby directed to undertake the following on a daywork basis:
• Exothermic welding of free issued earth cable (termination to rail) at the 8 locations detailed within marked up Drawing
S0FL-15-DW-101/1;</v>
      </c>
      <c r="J240" s="351">
        <f>'Variation Register'!AF310</f>
        <v>0</v>
      </c>
      <c r="K240" s="352" t="e">
        <f>'Variation Register'!#REF!</f>
        <v>#REF!</v>
      </c>
      <c r="L240" s="353" t="s">
        <v>74</v>
      </c>
    </row>
    <row r="241" spans="1:12" ht="33.75" x14ac:dyDescent="0.25">
      <c r="A241" s="347" t="str">
        <f>'Variation Register'!A311</f>
        <v>HCV-271</v>
      </c>
      <c r="B241" s="347" t="str">
        <f>+'Variation Register'!T311</f>
        <v>Variation (Other than a Company Variation Direction)</v>
      </c>
      <c r="C241" s="347">
        <f>+'Variation Register'!B311</f>
        <v>0</v>
      </c>
      <c r="D241" s="347">
        <f>'Variation Register'!C311</f>
        <v>0</v>
      </c>
      <c r="E241" s="348">
        <f>'Variation Register'!J311</f>
        <v>0</v>
      </c>
      <c r="F241" s="348">
        <f>'Variation Register'!D311</f>
        <v>0</v>
      </c>
      <c r="G241" s="349">
        <f>'Variation Register'!AC311</f>
        <v>43949</v>
      </c>
      <c r="H241" s="350" t="str">
        <f>'Variation Register'!U311</f>
        <v>New Potable Water Line</v>
      </c>
      <c r="I241" s="350" t="str">
        <f>'Variation Register'!V311</f>
        <v>IFC drawings transmitted. Drawing detail indicates changes to OHP water line</v>
      </c>
      <c r="J241" s="351">
        <f>'Variation Register'!AF311</f>
        <v>0</v>
      </c>
      <c r="K241" s="352" t="e">
        <f>'Variation Register'!#REF!</f>
        <v>#REF!</v>
      </c>
      <c r="L241" s="353" t="s">
        <v>74</v>
      </c>
    </row>
    <row r="242" spans="1:12" ht="33.75" x14ac:dyDescent="0.25">
      <c r="A242" s="347" t="str">
        <f>'Variation Register'!A312</f>
        <v>HCV-272</v>
      </c>
      <c r="B242" s="347" t="str">
        <f>+'Variation Register'!T312</f>
        <v>Variation (Other than a Company Variation Direction)</v>
      </c>
      <c r="C242" s="347">
        <f>+'Variation Register'!B312</f>
        <v>0</v>
      </c>
      <c r="D242" s="347">
        <f>'Variation Register'!C312</f>
        <v>0</v>
      </c>
      <c r="E242" s="348">
        <f>'Variation Register'!J312</f>
        <v>0</v>
      </c>
      <c r="F242" s="348">
        <f>'Variation Register'!D312</f>
        <v>0</v>
      </c>
      <c r="G242" s="349">
        <f>'Variation Register'!AC312</f>
        <v>43954</v>
      </c>
      <c r="H242" s="350" t="str">
        <f>'Variation Register'!U312</f>
        <v>Rock Excavation to TS513 and SUB310</v>
      </c>
      <c r="I242" s="350" t="str">
        <f>'Variation Register'!V312</f>
        <v>Contractor has encountered rock during drain excavation activities in MS11</v>
      </c>
      <c r="J242" s="351">
        <f>'Variation Register'!AF312</f>
        <v>17056.580000000002</v>
      </c>
      <c r="K242" s="352" t="e">
        <f>'Variation Register'!#REF!</f>
        <v>#REF!</v>
      </c>
      <c r="L242" s="353" t="s">
        <v>74</v>
      </c>
    </row>
    <row r="243" spans="1:12" ht="33.75" x14ac:dyDescent="0.25">
      <c r="A243" s="347" t="str">
        <f>'Variation Register'!A313</f>
        <v>HCV-273</v>
      </c>
      <c r="B243" s="347" t="str">
        <f>+'Variation Register'!T313</f>
        <v>Variation (Other than a Company Variation Direction)</v>
      </c>
      <c r="C243" s="347">
        <f>+'Variation Register'!B313</f>
        <v>0</v>
      </c>
      <c r="D243" s="347">
        <f>'Variation Register'!C313</f>
        <v>0</v>
      </c>
      <c r="E243" s="348">
        <f>'Variation Register'!J313</f>
        <v>0</v>
      </c>
      <c r="F243" s="348">
        <f>'Variation Register'!D313</f>
        <v>0</v>
      </c>
      <c r="G243" s="349">
        <f>'Variation Register'!AC313</f>
        <v>43954</v>
      </c>
      <c r="H243" s="350" t="str">
        <f>'Variation Register'!U313</f>
        <v>Scalping Screening Building BG440 – Pedestal P19 Modification Works</v>
      </c>
      <c r="I243" s="350" t="str">
        <f>'Variation Register'!V313</f>
        <v>Modification works to the P19 pedestal embedment.</v>
      </c>
      <c r="J243" s="351">
        <f>'Variation Register'!AF313</f>
        <v>1030.0899999999999</v>
      </c>
      <c r="K243" s="352" t="e">
        <f>'Variation Register'!#REF!</f>
        <v>#REF!</v>
      </c>
      <c r="L243" s="353" t="s">
        <v>74</v>
      </c>
    </row>
    <row r="244" spans="1:12" ht="33.75" x14ac:dyDescent="0.25">
      <c r="A244" s="347" t="str">
        <f>'Variation Register'!A314</f>
        <v>HCV-274</v>
      </c>
      <c r="B244" s="347" t="str">
        <f>+'Variation Register'!T314</f>
        <v>Variation (Other than a Company Variation Direction)</v>
      </c>
      <c r="C244" s="347">
        <f>+'Variation Register'!B314</f>
        <v>0</v>
      </c>
      <c r="D244" s="347">
        <f>'Variation Register'!C314</f>
        <v>0</v>
      </c>
      <c r="E244" s="348" t="str">
        <f>'Variation Register'!J314</f>
        <v>9641-C-83588-CFC-0872</v>
      </c>
      <c r="F244" s="348" t="str">
        <f>'Variation Register'!D314</f>
        <v>9641-C-83588-CTC-1060</v>
      </c>
      <c r="G244" s="349">
        <f>'Variation Register'!AC314</f>
        <v>43954</v>
      </c>
      <c r="H244" s="350" t="str">
        <f>'Variation Register'!U314</f>
        <v>Covering Cracks at Outgo Rail Formation</v>
      </c>
      <c r="I244" s="350" t="str">
        <f>'Variation Register'!V314</f>
        <v>Contractor was verbally instructed to install plastic sheeting over cracks on the rail embankment</v>
      </c>
      <c r="J244" s="351">
        <f>'Variation Register'!AF314</f>
        <v>4033.31</v>
      </c>
      <c r="K244" s="352" t="e">
        <f>'Variation Register'!#REF!</f>
        <v>#REF!</v>
      </c>
      <c r="L244" s="353" t="s">
        <v>74</v>
      </c>
    </row>
  </sheetData>
  <autoFilter ref="B5:P239" xr:uid="{00000000-0009-0000-0000-000005000000}"/>
  <dataConsolidate/>
  <conditionalFormatting sqref="M9:XFD10 M14:XFD30 M43:M60 A6:J159 L6:L159 L161:L244 A161:J244">
    <cfRule type="expression" dxfId="101" priority="287">
      <formula>Approved</formula>
    </cfRule>
  </conditionalFormatting>
  <conditionalFormatting sqref="K6:K159 K161:K244">
    <cfRule type="expression" dxfId="100" priority="286">
      <formula>"Not agreed by Company - Pending Contractor's further details"</formula>
    </cfRule>
  </conditionalFormatting>
  <conditionalFormatting sqref="M6:XFD6">
    <cfRule type="expression" dxfId="99" priority="285">
      <formula>Approved</formula>
    </cfRule>
  </conditionalFormatting>
  <conditionalFormatting sqref="M11:XFD13">
    <cfRule type="expression" dxfId="98" priority="283">
      <formula>Approved</formula>
    </cfRule>
  </conditionalFormatting>
  <conditionalFormatting sqref="M7:XFD7">
    <cfRule type="expression" dxfId="97" priority="282">
      <formula>Approved</formula>
    </cfRule>
  </conditionalFormatting>
  <conditionalFormatting sqref="M8:XFD8">
    <cfRule type="expression" dxfId="96" priority="281">
      <formula>Approved</formula>
    </cfRule>
  </conditionalFormatting>
  <conditionalFormatting sqref="K1:K4 K6:K159 K161:K1048576">
    <cfRule type="cellIs" dxfId="95" priority="264" operator="equal">
      <formula>"Submitted - Variation Proposal (Company Direction TBC)"</formula>
    </cfRule>
    <cfRule type="cellIs" dxfId="94" priority="277" operator="equal">
      <formula>"No Action / Withdrawn"</formula>
    </cfRule>
    <cfRule type="cellIs" dxfId="93" priority="278" operator="equal">
      <formula>"Identified Not Submitted"</formula>
    </cfRule>
    <cfRule type="cellIs" dxfId="92" priority="279" operator="equal">
      <formula>"Submitted Pending Approval"</formula>
    </cfRule>
    <cfRule type="cellIs" dxfId="91" priority="280" operator="equal">
      <formula>"Approved"</formula>
    </cfRule>
  </conditionalFormatting>
  <conditionalFormatting sqref="M52:M53">
    <cfRule type="expression" dxfId="90" priority="131">
      <formula>Approved</formula>
    </cfRule>
  </conditionalFormatting>
  <conditionalFormatting sqref="A160:J160 L160">
    <cfRule type="expression" dxfId="89" priority="7">
      <formula>Approved</formula>
    </cfRule>
  </conditionalFormatting>
  <conditionalFormatting sqref="K160">
    <cfRule type="expression" dxfId="88" priority="6">
      <formula>"Not agreed by Company - Pending Contractor's further details"</formula>
    </cfRule>
  </conditionalFormatting>
  <conditionalFormatting sqref="K160">
    <cfRule type="cellIs" dxfId="87" priority="1" operator="equal">
      <formula>"Submitted - Variation Proposal (Company Direction TBC)"</formula>
    </cfRule>
    <cfRule type="cellIs" dxfId="86" priority="2" operator="equal">
      <formula>"No Action / Withdrawn"</formula>
    </cfRule>
    <cfRule type="cellIs" dxfId="85" priority="3" operator="equal">
      <formula>"Identified Not Submitted"</formula>
    </cfRule>
    <cfRule type="cellIs" dxfId="84" priority="4" operator="equal">
      <formula>"Submitted Pending Approval"</formula>
    </cfRule>
    <cfRule type="cellIs" dxfId="83" priority="5" operator="equal">
      <formula>"Approved"</formula>
    </cfRule>
  </conditionalFormatting>
  <dataValidations count="1">
    <dataValidation type="list" allowBlank="1" showInputMessage="1" showErrorMessage="1" sqref="K6:K244" xr:uid="{00000000-0002-0000-0500-000000000000}">
      <formula1>MR_Status</formula1>
    </dataValidation>
  </dataValidations>
  <pageMargins left="0.70866141732283472" right="0.70866141732283472" top="0.74803149606299213" bottom="0.74803149606299213" header="0.31496062992125984" footer="0.31496062992125984"/>
  <pageSetup paperSize="8" scale="70" fitToHeight="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FFC000"/>
    <pageSetUpPr fitToPage="1"/>
  </sheetPr>
  <dimension ref="A1:R137"/>
  <sheetViews>
    <sheetView view="pageBreakPreview" zoomScale="85" zoomScaleNormal="70" zoomScaleSheetLayoutView="85" workbookViewId="0">
      <selection activeCell="C66" sqref="C66"/>
    </sheetView>
  </sheetViews>
  <sheetFormatPr defaultColWidth="8.85546875" defaultRowHeight="15" outlineLevelRow="1" x14ac:dyDescent="0.25"/>
  <cols>
    <col min="1" max="1" width="22.42578125" style="68" customWidth="1"/>
    <col min="2" max="2" width="20" style="84" customWidth="1"/>
    <col min="3" max="3" width="17.85546875" style="84" customWidth="1"/>
    <col min="4" max="4" width="38.140625" style="68" customWidth="1"/>
    <col min="5" max="5" width="42.7109375" style="68" customWidth="1"/>
    <col min="6" max="6" width="25.42578125" style="68" customWidth="1"/>
    <col min="7" max="9" width="23.28515625" style="68" customWidth="1"/>
    <col min="10" max="10" width="40.28515625" style="85" customWidth="1"/>
    <col min="11" max="11" width="36.42578125" style="85" customWidth="1"/>
    <col min="12" max="12" width="26" style="68" customWidth="1"/>
    <col min="13" max="17" width="8.85546875" style="68"/>
    <col min="18" max="18" width="29.5703125" style="68" bestFit="1" customWidth="1"/>
    <col min="19" max="16384" width="8.85546875" style="68"/>
  </cols>
  <sheetData>
    <row r="1" spans="1:18" s="64" customFormat="1" ht="30.6" customHeight="1" x14ac:dyDescent="0.25">
      <c r="A1" s="59" t="s">
        <v>503</v>
      </c>
      <c r="B1" s="60"/>
      <c r="C1" s="60"/>
      <c r="D1" s="61"/>
      <c r="E1" s="61"/>
      <c r="F1" s="61"/>
      <c r="G1" s="61"/>
      <c r="H1" s="62"/>
      <c r="I1" s="62"/>
      <c r="J1" s="63"/>
      <c r="K1" s="63"/>
    </row>
    <row r="2" spans="1:18" ht="64.900000000000006" customHeight="1" x14ac:dyDescent="0.25">
      <c r="A2" s="65"/>
      <c r="B2" s="66"/>
      <c r="C2" s="67"/>
      <c r="D2" s="62"/>
      <c r="E2" s="62"/>
      <c r="F2" s="62"/>
      <c r="G2" s="62"/>
      <c r="H2" s="62"/>
      <c r="I2" s="62"/>
      <c r="J2" s="63"/>
      <c r="K2" s="63"/>
    </row>
    <row r="3" spans="1:18" s="71" customFormat="1" ht="45" x14ac:dyDescent="0.25">
      <c r="A3" s="69" t="s">
        <v>100</v>
      </c>
      <c r="B3" s="69" t="s">
        <v>119</v>
      </c>
      <c r="C3" s="69" t="s">
        <v>120</v>
      </c>
      <c r="D3" s="69" t="s">
        <v>107</v>
      </c>
      <c r="E3" s="69" t="s">
        <v>108</v>
      </c>
      <c r="F3" s="69" t="s">
        <v>109</v>
      </c>
      <c r="G3" s="69" t="s">
        <v>110</v>
      </c>
      <c r="H3" s="69" t="s">
        <v>101</v>
      </c>
      <c r="I3" s="69" t="s">
        <v>111</v>
      </c>
      <c r="J3" s="69" t="s">
        <v>106</v>
      </c>
      <c r="K3" s="70" t="s">
        <v>504</v>
      </c>
      <c r="L3" s="70" t="s">
        <v>505</v>
      </c>
      <c r="M3" s="720" t="s">
        <v>501</v>
      </c>
      <c r="N3" s="721"/>
      <c r="P3" s="71" t="s">
        <v>501</v>
      </c>
      <c r="R3" s="71" t="s">
        <v>26</v>
      </c>
    </row>
    <row r="4" spans="1:18" s="64" customFormat="1" ht="67.5" x14ac:dyDescent="0.25">
      <c r="A4" s="72" t="str">
        <f>Delay!I7</f>
        <v>Variation Direction</v>
      </c>
      <c r="B4" s="72" t="str">
        <f>Delay!B7</f>
        <v>9641-C-83588-CFC-0006</v>
      </c>
      <c r="C4" s="73" t="str">
        <f>Delay!AO7</f>
        <v>TBC</v>
      </c>
      <c r="D4" s="72" t="str">
        <f>+Delay!G7</f>
        <v>Bulk Earthworks and Concrete  - MAC
Variation Direction 1</v>
      </c>
      <c r="E4" s="72" t="str">
        <f>+Delay!H7</f>
        <v>Contractor's Pre-Mobilisation Requirements and other Early Works activities delayed until Contract signing and Company's authorisation to commence Early Works under Variation Direction 1.
Milstones 1-23 to be adjusted in consideration of late commencement</v>
      </c>
      <c r="F4" s="74" t="str">
        <f>+Delay!L7</f>
        <v>1-23</v>
      </c>
      <c r="G4" s="75">
        <f>+Delay!K7</f>
        <v>14</v>
      </c>
      <c r="H4" s="76">
        <f>+Delay!AK7</f>
        <v>0</v>
      </c>
      <c r="I4" s="77" t="str">
        <f>+Delay!AM7</f>
        <v>Time Approved</v>
      </c>
      <c r="J4" s="78" t="str">
        <f>+Delay!BA7</f>
        <v xml:space="preserve">Company has agred to the EOT of 14 calendar days to Milestone 1-23 and $0 cost. </v>
      </c>
      <c r="K4" s="79"/>
      <c r="L4" s="72"/>
      <c r="M4" s="722"/>
      <c r="N4" s="723"/>
    </row>
    <row r="5" spans="1:18" s="64" customFormat="1" ht="18" outlineLevel="1" x14ac:dyDescent="0.25">
      <c r="A5" s="72" t="e">
        <f>Delay!#REF!</f>
        <v>#REF!</v>
      </c>
      <c r="B5" s="72" t="e">
        <f>Delay!#REF!</f>
        <v>#REF!</v>
      </c>
      <c r="C5" s="73" t="e">
        <f>Delay!#REF!</f>
        <v>#REF!</v>
      </c>
      <c r="D5" s="72" t="e">
        <f>+Delay!#REF!</f>
        <v>#REF!</v>
      </c>
      <c r="E5" s="72" t="e">
        <f>+Delay!#REF!</f>
        <v>#REF!</v>
      </c>
      <c r="F5" s="74" t="e">
        <f>+Delay!#REF!</f>
        <v>#REF!</v>
      </c>
      <c r="G5" s="75" t="e">
        <f>+Delay!#REF!</f>
        <v>#REF!</v>
      </c>
      <c r="H5" s="76" t="e">
        <f>+Delay!#REF!</f>
        <v>#REF!</v>
      </c>
      <c r="I5" s="201" t="e">
        <f>+Delay!#REF!</f>
        <v>#REF!</v>
      </c>
      <c r="J5" s="78" t="e">
        <f>+Delay!#REF!</f>
        <v>#REF!</v>
      </c>
      <c r="K5" s="80"/>
      <c r="L5" s="72"/>
      <c r="M5" s="722"/>
      <c r="N5" s="723"/>
      <c r="R5" s="71"/>
    </row>
    <row r="6" spans="1:18" s="64" customFormat="1" ht="18" outlineLevel="1" x14ac:dyDescent="0.25">
      <c r="A6" s="72" t="e">
        <f>Delay!#REF!</f>
        <v>#REF!</v>
      </c>
      <c r="B6" s="72" t="e">
        <f>Delay!#REF!</f>
        <v>#REF!</v>
      </c>
      <c r="C6" s="73" t="e">
        <f>Delay!#REF!</f>
        <v>#REF!</v>
      </c>
      <c r="D6" s="72" t="e">
        <f>+Delay!#REF!</f>
        <v>#REF!</v>
      </c>
      <c r="E6" s="72" t="e">
        <f>+Delay!#REF!</f>
        <v>#REF!</v>
      </c>
      <c r="F6" s="74" t="e">
        <f>+Delay!#REF!</f>
        <v>#REF!</v>
      </c>
      <c r="G6" s="75" t="e">
        <f>+Delay!#REF!</f>
        <v>#REF!</v>
      </c>
      <c r="H6" s="76" t="e">
        <f>+Delay!#REF!</f>
        <v>#REF!</v>
      </c>
      <c r="I6" s="201" t="e">
        <f>+Delay!#REF!</f>
        <v>#REF!</v>
      </c>
      <c r="J6" s="78" t="e">
        <f>+Delay!#REF!</f>
        <v>#REF!</v>
      </c>
      <c r="K6" s="80"/>
      <c r="L6" s="72"/>
      <c r="M6" s="722"/>
      <c r="N6" s="723"/>
      <c r="R6" s="71"/>
    </row>
    <row r="7" spans="1:18" s="64" customFormat="1" ht="33.75" x14ac:dyDescent="0.25">
      <c r="A7" s="72" t="str">
        <f>Delay!I8</f>
        <v>Breach by the Company</v>
      </c>
      <c r="B7" s="72" t="str">
        <f>Delay!B8</f>
        <v>9641-C-83588-CFC-0049</v>
      </c>
      <c r="C7" s="73" t="str">
        <f>Delay!AO8</f>
        <v>TBC</v>
      </c>
      <c r="D7" s="72" t="str">
        <f>+Delay!G8</f>
        <v>Box Culvert Design</v>
      </c>
      <c r="E7" s="72" t="str">
        <f>+Delay!H8</f>
        <v>Box Culvert design delay and changes to Scope of Work has prevented Contractor from procuring precast materials in accordance with Programme.</v>
      </c>
      <c r="F7" s="74" t="str">
        <f>+Delay!L8</f>
        <v>8,14</v>
      </c>
      <c r="G7" s="75">
        <f>+Delay!K8</f>
        <v>29</v>
      </c>
      <c r="H7" s="76">
        <f>+Delay!AK8</f>
        <v>0</v>
      </c>
      <c r="I7" s="81" t="str">
        <f>+Delay!AM8</f>
        <v>Delay Mitigated - closed</v>
      </c>
      <c r="J7" s="78" t="str">
        <f>+Delay!BA8</f>
        <v>Contractor has submitted mitigation costs with variation for design change to box culverts. Currently discussing costs with Company</v>
      </c>
      <c r="K7" s="79"/>
      <c r="L7" s="72"/>
      <c r="M7" s="722"/>
      <c r="N7" s="723"/>
      <c r="R7" s="71"/>
    </row>
    <row r="8" spans="1:18" s="64" customFormat="1" ht="15.75" x14ac:dyDescent="0.25">
      <c r="A8" s="72" t="e">
        <f>Delay!#REF!</f>
        <v>#REF!</v>
      </c>
      <c r="B8" s="72" t="e">
        <f>Delay!#REF!</f>
        <v>#REF!</v>
      </c>
      <c r="C8" s="73" t="e">
        <f>Delay!#REF!</f>
        <v>#REF!</v>
      </c>
      <c r="D8" s="72" t="e">
        <f>+Delay!#REF!</f>
        <v>#REF!</v>
      </c>
      <c r="E8" s="72" t="e">
        <f>+Delay!#REF!</f>
        <v>#REF!</v>
      </c>
      <c r="F8" s="74" t="e">
        <f>+Delay!#REF!</f>
        <v>#REF!</v>
      </c>
      <c r="G8" s="75" t="e">
        <f>+Delay!#REF!</f>
        <v>#REF!</v>
      </c>
      <c r="H8" s="76" t="e">
        <f>+Delay!#REF!</f>
        <v>#REF!</v>
      </c>
      <c r="I8" s="81" t="e">
        <f>+Delay!#REF!</f>
        <v>#REF!</v>
      </c>
      <c r="J8" s="78" t="e">
        <f>+Delay!#REF!</f>
        <v>#REF!</v>
      </c>
      <c r="K8" s="79"/>
      <c r="L8" s="72"/>
      <c r="M8" s="722"/>
      <c r="N8" s="723"/>
      <c r="R8" s="71"/>
    </row>
    <row r="9" spans="1:18" s="64" customFormat="1" ht="15.75" x14ac:dyDescent="0.25">
      <c r="A9" s="72" t="e">
        <f>Delay!#REF!</f>
        <v>#REF!</v>
      </c>
      <c r="B9" s="72" t="e">
        <f>Delay!#REF!</f>
        <v>#REF!</v>
      </c>
      <c r="C9" s="73" t="e">
        <f>Delay!#REF!</f>
        <v>#REF!</v>
      </c>
      <c r="D9" s="72" t="e">
        <f>+Delay!#REF!</f>
        <v>#REF!</v>
      </c>
      <c r="E9" s="72" t="e">
        <f>+Delay!#REF!</f>
        <v>#REF!</v>
      </c>
      <c r="F9" s="74" t="e">
        <f>+Delay!#REF!</f>
        <v>#REF!</v>
      </c>
      <c r="G9" s="75" t="e">
        <f>+Delay!#REF!</f>
        <v>#REF!</v>
      </c>
      <c r="H9" s="76" t="e">
        <f>+Delay!#REF!</f>
        <v>#REF!</v>
      </c>
      <c r="I9" s="81" t="e">
        <f>+Delay!#REF!</f>
        <v>#REF!</v>
      </c>
      <c r="J9" s="78" t="e">
        <f>+Delay!#REF!</f>
        <v>#REF!</v>
      </c>
      <c r="K9" s="79"/>
      <c r="L9" s="72"/>
      <c r="M9" s="722"/>
      <c r="N9" s="723"/>
      <c r="R9" s="71"/>
    </row>
    <row r="10" spans="1:18" s="64" customFormat="1" ht="15.75" x14ac:dyDescent="0.25">
      <c r="A10" s="72" t="e">
        <f>Delay!#REF!</f>
        <v>#REF!</v>
      </c>
      <c r="B10" s="72" t="e">
        <f>Delay!#REF!</f>
        <v>#REF!</v>
      </c>
      <c r="C10" s="73" t="e">
        <f>Delay!#REF!</f>
        <v>#REF!</v>
      </c>
      <c r="D10" s="72" t="e">
        <f>+Delay!#REF!</f>
        <v>#REF!</v>
      </c>
      <c r="E10" s="72" t="e">
        <f>+Delay!#REF!</f>
        <v>#REF!</v>
      </c>
      <c r="F10" s="74" t="e">
        <f>+Delay!#REF!</f>
        <v>#REF!</v>
      </c>
      <c r="G10" s="75" t="e">
        <f>+Delay!#REF!</f>
        <v>#REF!</v>
      </c>
      <c r="H10" s="76" t="e">
        <f>+Delay!#REF!</f>
        <v>#REF!</v>
      </c>
      <c r="I10" s="77" t="e">
        <f>+Delay!#REF!</f>
        <v>#REF!</v>
      </c>
      <c r="J10" s="78" t="e">
        <f>+Delay!#REF!</f>
        <v>#REF!</v>
      </c>
      <c r="K10" s="79"/>
      <c r="L10" s="72"/>
      <c r="M10" s="722"/>
      <c r="N10" s="723"/>
      <c r="R10" s="71"/>
    </row>
    <row r="11" spans="1:18" s="64" customFormat="1" ht="42.75" customHeight="1" x14ac:dyDescent="0.25">
      <c r="A11" s="72" t="e">
        <f>Delay!#REF!</f>
        <v>#REF!</v>
      </c>
      <c r="B11" s="72" t="e">
        <f>Delay!#REF!</f>
        <v>#REF!</v>
      </c>
      <c r="C11" s="73" t="e">
        <f>Delay!#REF!</f>
        <v>#REF!</v>
      </c>
      <c r="D11" s="72" t="e">
        <f>+Delay!#REF!</f>
        <v>#REF!</v>
      </c>
      <c r="E11" s="72" t="e">
        <f>+Delay!#REF!</f>
        <v>#REF!</v>
      </c>
      <c r="F11" s="74" t="e">
        <f>+Delay!#REF!</f>
        <v>#REF!</v>
      </c>
      <c r="G11" s="75" t="e">
        <f>+Delay!#REF!</f>
        <v>#REF!</v>
      </c>
      <c r="H11" s="76" t="e">
        <f>+Delay!#REF!</f>
        <v>#REF!</v>
      </c>
      <c r="I11" s="77" t="e">
        <f>+Delay!#REF!</f>
        <v>#REF!</v>
      </c>
      <c r="J11" s="78" t="e">
        <f>+Delay!#REF!</f>
        <v>#REF!</v>
      </c>
      <c r="K11" s="79"/>
      <c r="L11" s="72"/>
      <c r="M11" s="722"/>
      <c r="N11" s="723"/>
      <c r="R11" s="71"/>
    </row>
    <row r="12" spans="1:18" s="64" customFormat="1" ht="15.75" x14ac:dyDescent="0.25">
      <c r="A12" s="72" t="e">
        <f>Delay!#REF!</f>
        <v>#REF!</v>
      </c>
      <c r="B12" s="72" t="e">
        <f>Delay!#REF!</f>
        <v>#REF!</v>
      </c>
      <c r="C12" s="73" t="e">
        <f>Delay!#REF!</f>
        <v>#REF!</v>
      </c>
      <c r="D12" s="72" t="e">
        <f>+Delay!#REF!</f>
        <v>#REF!</v>
      </c>
      <c r="E12" s="72" t="e">
        <f>+Delay!#REF!</f>
        <v>#REF!</v>
      </c>
      <c r="F12" s="74" t="e">
        <f>+Delay!#REF!</f>
        <v>#REF!</v>
      </c>
      <c r="G12" s="75" t="e">
        <f>+Delay!#REF!</f>
        <v>#REF!</v>
      </c>
      <c r="H12" s="76" t="e">
        <f>+Delay!#REF!</f>
        <v>#REF!</v>
      </c>
      <c r="I12" s="201" t="e">
        <f>+Delay!#REF!</f>
        <v>#REF!</v>
      </c>
      <c r="J12" s="78" t="e">
        <f>+Delay!#REF!</f>
        <v>#REF!</v>
      </c>
      <c r="K12" s="79"/>
      <c r="L12" s="72"/>
      <c r="M12" s="722"/>
      <c r="N12" s="723"/>
      <c r="R12" s="71"/>
    </row>
    <row r="13" spans="1:18" s="64" customFormat="1" ht="45" x14ac:dyDescent="0.25">
      <c r="A13" s="72" t="str">
        <f>Delay!I9</f>
        <v>Variation Direction</v>
      </c>
      <c r="B13" s="72" t="str">
        <f>Delay!B9</f>
        <v>9641-C-83588-CFC-0105</v>
      </c>
      <c r="C13" s="73">
        <f>Delay!AO9</f>
        <v>0</v>
      </c>
      <c r="D13" s="72" t="str">
        <f>+Delay!G9</f>
        <v>Unknown Service in Milestones 8 &amp; 11 – (Rail Communications Service)</v>
      </c>
      <c r="E13" s="72" t="str">
        <f>+Delay!H9</f>
        <v>The delay relates to an existing below ground Rail Communications service which has not been previously identified in the Contract Date Design or composite services Drawings (CSD) issued to Contractor</v>
      </c>
      <c r="F13" s="74" t="str">
        <f>+Delay!L9</f>
        <v>8,11</v>
      </c>
      <c r="G13" s="75" t="str">
        <f>+Delay!K9</f>
        <v>TBC</v>
      </c>
      <c r="H13" s="76">
        <f>+Delay!AK9</f>
        <v>0</v>
      </c>
      <c r="I13" s="201" t="str">
        <f>+Delay!AM9</f>
        <v>Withdrawn</v>
      </c>
      <c r="J13" s="78" t="str">
        <f>+Delay!BA9</f>
        <v>Company has relocated unknown service. Contractor to assess any impact to the ACP and advise the Company</v>
      </c>
      <c r="K13" s="79"/>
      <c r="L13" s="72"/>
      <c r="M13" s="722"/>
      <c r="N13" s="723"/>
      <c r="R13" s="71"/>
    </row>
    <row r="14" spans="1:18" s="64" customFormat="1" ht="15.75" outlineLevel="1" x14ac:dyDescent="0.25">
      <c r="A14" s="72" t="e">
        <f>Delay!#REF!</f>
        <v>#REF!</v>
      </c>
      <c r="B14" s="72" t="e">
        <f>Delay!#REF!</f>
        <v>#REF!</v>
      </c>
      <c r="C14" s="73" t="e">
        <f>Delay!#REF!</f>
        <v>#REF!</v>
      </c>
      <c r="D14" s="72" t="e">
        <f>+Delay!#REF!</f>
        <v>#REF!</v>
      </c>
      <c r="E14" s="72" t="e">
        <f>+Delay!#REF!</f>
        <v>#REF!</v>
      </c>
      <c r="F14" s="74" t="e">
        <f>+Delay!#REF!</f>
        <v>#REF!</v>
      </c>
      <c r="G14" s="75" t="e">
        <f>+Delay!#REF!</f>
        <v>#REF!</v>
      </c>
      <c r="H14" s="76" t="e">
        <f>+Delay!#REF!</f>
        <v>#REF!</v>
      </c>
      <c r="I14" s="201" t="e">
        <f>+Delay!#REF!</f>
        <v>#REF!</v>
      </c>
      <c r="J14" s="78" t="e">
        <f>+Delay!#REF!</f>
        <v>#REF!</v>
      </c>
      <c r="K14" s="79"/>
      <c r="L14" s="72"/>
      <c r="M14" s="722"/>
      <c r="N14" s="723"/>
      <c r="R14" s="71"/>
    </row>
    <row r="15" spans="1:18" s="64" customFormat="1" ht="15.75" outlineLevel="1" x14ac:dyDescent="0.25">
      <c r="A15" s="72" t="e">
        <f>Delay!#REF!</f>
        <v>#REF!</v>
      </c>
      <c r="B15" s="72" t="e">
        <f>Delay!#REF!</f>
        <v>#REF!</v>
      </c>
      <c r="C15" s="73" t="e">
        <f>Delay!#REF!</f>
        <v>#REF!</v>
      </c>
      <c r="D15" s="72" t="e">
        <f>+Delay!#REF!</f>
        <v>#REF!</v>
      </c>
      <c r="E15" s="72" t="e">
        <f>+Delay!#REF!</f>
        <v>#REF!</v>
      </c>
      <c r="F15" s="74" t="e">
        <f>+Delay!#REF!</f>
        <v>#REF!</v>
      </c>
      <c r="G15" s="75" t="e">
        <f>+Delay!#REF!</f>
        <v>#REF!</v>
      </c>
      <c r="H15" s="76" t="e">
        <f>+Delay!#REF!</f>
        <v>#REF!</v>
      </c>
      <c r="I15" s="77" t="e">
        <f>+Delay!#REF!</f>
        <v>#REF!</v>
      </c>
      <c r="J15" s="78" t="e">
        <f>+Delay!#REF!</f>
        <v>#REF!</v>
      </c>
      <c r="K15" s="79"/>
      <c r="L15" s="72"/>
      <c r="M15" s="722"/>
      <c r="N15" s="723"/>
      <c r="R15" s="71"/>
    </row>
    <row r="16" spans="1:18" s="64" customFormat="1" ht="15.75" x14ac:dyDescent="0.25">
      <c r="A16" s="72" t="e">
        <f>Delay!#REF!</f>
        <v>#REF!</v>
      </c>
      <c r="B16" s="72" t="e">
        <f>Delay!#REF!</f>
        <v>#REF!</v>
      </c>
      <c r="C16" s="73" t="e">
        <f>Delay!#REF!</f>
        <v>#REF!</v>
      </c>
      <c r="D16" s="72" t="e">
        <f>+Delay!#REF!</f>
        <v>#REF!</v>
      </c>
      <c r="E16" s="72" t="e">
        <f>+Delay!#REF!</f>
        <v>#REF!</v>
      </c>
      <c r="F16" s="74" t="e">
        <f>+Delay!#REF!</f>
        <v>#REF!</v>
      </c>
      <c r="G16" s="75" t="e">
        <f>+Delay!#REF!</f>
        <v>#REF!</v>
      </c>
      <c r="H16" s="76" t="e">
        <f>+Delay!#REF!</f>
        <v>#REF!</v>
      </c>
      <c r="I16" s="81" t="e">
        <f>+Delay!#REF!</f>
        <v>#REF!</v>
      </c>
      <c r="J16" s="78" t="e">
        <f>+Delay!#REF!</f>
        <v>#REF!</v>
      </c>
      <c r="K16" s="79"/>
      <c r="L16" s="72"/>
      <c r="M16" s="722"/>
      <c r="N16" s="723"/>
      <c r="R16" s="71"/>
    </row>
    <row r="17" spans="1:18" s="64" customFormat="1" ht="15.75" x14ac:dyDescent="0.25">
      <c r="A17" s="72" t="e">
        <f>Delay!#REF!</f>
        <v>#REF!</v>
      </c>
      <c r="B17" s="72" t="e">
        <f>Delay!#REF!</f>
        <v>#REF!</v>
      </c>
      <c r="C17" s="73" t="e">
        <f>Delay!#REF!</f>
        <v>#REF!</v>
      </c>
      <c r="D17" s="72" t="e">
        <f>+Delay!#REF!</f>
        <v>#REF!</v>
      </c>
      <c r="E17" s="72" t="e">
        <f>+Delay!#REF!</f>
        <v>#REF!</v>
      </c>
      <c r="F17" s="74" t="e">
        <f>+Delay!#REF!</f>
        <v>#REF!</v>
      </c>
      <c r="G17" s="75" t="e">
        <f>+Delay!#REF!</f>
        <v>#REF!</v>
      </c>
      <c r="H17" s="76" t="e">
        <f>+Delay!#REF!</f>
        <v>#REF!</v>
      </c>
      <c r="I17" s="81" t="e">
        <f>+Delay!#REF!</f>
        <v>#REF!</v>
      </c>
      <c r="J17" s="78" t="e">
        <f>+Delay!#REF!</f>
        <v>#REF!</v>
      </c>
      <c r="K17" s="79"/>
      <c r="L17" s="72"/>
      <c r="M17" s="82"/>
      <c r="N17" s="83"/>
      <c r="R17" s="71"/>
    </row>
    <row r="18" spans="1:18" s="64" customFormat="1" ht="38.25" customHeight="1" x14ac:dyDescent="0.25">
      <c r="A18" s="72" t="e">
        <f>Delay!#REF!</f>
        <v>#REF!</v>
      </c>
      <c r="B18" s="72" t="e">
        <f>Delay!#REF!</f>
        <v>#REF!</v>
      </c>
      <c r="C18" s="73" t="e">
        <f>Delay!#REF!</f>
        <v>#REF!</v>
      </c>
      <c r="D18" s="72" t="e">
        <f>+Delay!#REF!</f>
        <v>#REF!</v>
      </c>
      <c r="E18" s="72" t="e">
        <f>+Delay!#REF!</f>
        <v>#REF!</v>
      </c>
      <c r="F18" s="74" t="e">
        <f>+Delay!#REF!</f>
        <v>#REF!</v>
      </c>
      <c r="G18" s="75" t="e">
        <f>+Delay!#REF!</f>
        <v>#REF!</v>
      </c>
      <c r="H18" s="76" t="e">
        <f>+Delay!#REF!</f>
        <v>#REF!</v>
      </c>
      <c r="I18" s="77" t="e">
        <f>+Delay!#REF!</f>
        <v>#REF!</v>
      </c>
      <c r="J18" s="78" t="e">
        <f>+Delay!#REF!</f>
        <v>#REF!</v>
      </c>
      <c r="K18" s="79"/>
      <c r="L18" s="72"/>
      <c r="M18" s="82"/>
      <c r="N18" s="83"/>
      <c r="R18" s="71"/>
    </row>
    <row r="19" spans="1:18" s="64" customFormat="1" ht="15.75" outlineLevel="1" x14ac:dyDescent="0.25">
      <c r="A19" s="72" t="e">
        <f>Delay!#REF!</f>
        <v>#REF!</v>
      </c>
      <c r="B19" s="72" t="e">
        <f>Delay!#REF!</f>
        <v>#REF!</v>
      </c>
      <c r="C19" s="73" t="e">
        <f>Delay!#REF!</f>
        <v>#REF!</v>
      </c>
      <c r="D19" s="72" t="e">
        <f>+Delay!#REF!</f>
        <v>#REF!</v>
      </c>
      <c r="E19" s="72" t="e">
        <f>+Delay!#REF!</f>
        <v>#REF!</v>
      </c>
      <c r="F19" s="74" t="e">
        <f>+Delay!#REF!</f>
        <v>#REF!</v>
      </c>
      <c r="G19" s="75" t="e">
        <f>+Delay!#REF!</f>
        <v>#REF!</v>
      </c>
      <c r="H19" s="76" t="e">
        <f>+Delay!#REF!</f>
        <v>#REF!</v>
      </c>
      <c r="I19" s="201" t="e">
        <f>+Delay!#REF!</f>
        <v>#REF!</v>
      </c>
      <c r="J19" s="78" t="e">
        <f>+Delay!#REF!</f>
        <v>#REF!</v>
      </c>
      <c r="K19" s="79"/>
      <c r="L19" s="72"/>
      <c r="M19" s="82"/>
      <c r="N19" s="83"/>
      <c r="R19" s="71"/>
    </row>
    <row r="20" spans="1:18" s="64" customFormat="1" ht="15.75" x14ac:dyDescent="0.25">
      <c r="A20" s="72" t="e">
        <f>Delay!#REF!</f>
        <v>#REF!</v>
      </c>
      <c r="B20" s="72" t="e">
        <f>Delay!#REF!</f>
        <v>#REF!</v>
      </c>
      <c r="C20" s="73" t="e">
        <f>Delay!#REF!</f>
        <v>#REF!</v>
      </c>
      <c r="D20" s="72" t="e">
        <f>+Delay!#REF!</f>
        <v>#REF!</v>
      </c>
      <c r="E20" s="72" t="e">
        <f>+Delay!#REF!</f>
        <v>#REF!</v>
      </c>
      <c r="F20" s="74" t="e">
        <f>+Delay!#REF!</f>
        <v>#REF!</v>
      </c>
      <c r="G20" s="75" t="e">
        <f>+Delay!#REF!</f>
        <v>#REF!</v>
      </c>
      <c r="H20" s="76" t="e">
        <f>+Delay!#REF!</f>
        <v>#REF!</v>
      </c>
      <c r="I20" s="77" t="e">
        <f>+Delay!#REF!</f>
        <v>#REF!</v>
      </c>
      <c r="J20" s="78" t="e">
        <f>+Delay!#REF!</f>
        <v>#REF!</v>
      </c>
      <c r="K20" s="79"/>
      <c r="L20" s="72"/>
      <c r="M20" s="82"/>
      <c r="N20" s="83"/>
      <c r="R20" s="71"/>
    </row>
    <row r="21" spans="1:18" s="64" customFormat="1" ht="30.75" customHeight="1" x14ac:dyDescent="0.25">
      <c r="A21" s="72" t="str">
        <f>Delay!I10</f>
        <v>Breach by the Company</v>
      </c>
      <c r="B21" s="72" t="str">
        <f>Delay!B10</f>
        <v>9641-C-83588-CFC-0235</v>
      </c>
      <c r="C21" s="73">
        <f>Delay!AO10</f>
        <v>0</v>
      </c>
      <c r="D21" s="72" t="str">
        <f>+Delay!G10</f>
        <v>Design Delay - AFC Design Drawings</v>
      </c>
      <c r="E21" s="72" t="str">
        <f>+Delay!H10</f>
        <v>The delay relates to the non-availability of AFC drawings and the 3D model</v>
      </c>
      <c r="F21" s="74" t="str">
        <f>+Delay!L10</f>
        <v>7, 8, 11</v>
      </c>
      <c r="G21" s="75" t="str">
        <f>+Delay!K10</f>
        <v>TBC</v>
      </c>
      <c r="H21" s="76">
        <f>+Delay!AK10</f>
        <v>0</v>
      </c>
      <c r="I21" s="81" t="str">
        <f>+Delay!AM10</f>
        <v>With Company for Review</v>
      </c>
      <c r="J21" s="78" t="str">
        <f>+Delay!BA10</f>
        <v>Upon receipt of AFC drawings and 3D model, Contractor can identify mitigation measures.
Included in EOT issued uinder CFC-0342</v>
      </c>
      <c r="K21" s="79"/>
      <c r="L21" s="72"/>
      <c r="M21" s="722"/>
      <c r="N21" s="723"/>
      <c r="R21" s="71"/>
    </row>
    <row r="22" spans="1:18" s="64" customFormat="1" ht="24.75" customHeight="1" x14ac:dyDescent="0.25">
      <c r="A22" s="72" t="str">
        <f>Delay!I11</f>
        <v>Breach by the Company</v>
      </c>
      <c r="B22" s="72" t="str">
        <f>Delay!B11</f>
        <v>9641-C-83588-CFC-0253</v>
      </c>
      <c r="C22" s="73">
        <f>Delay!AO11</f>
        <v>0</v>
      </c>
      <c r="D22" s="72" t="str">
        <f>+Delay!G11</f>
        <v>Design Delay - AFC Concrete Drawings</v>
      </c>
      <c r="E22" s="72" t="str">
        <f>+Delay!H11</f>
        <v>The delay relates to the non-availability of AFC drawings.</v>
      </c>
      <c r="F22" s="74" t="str">
        <f>+Delay!L11</f>
        <v>TBC</v>
      </c>
      <c r="G22" s="75" t="str">
        <f>+Delay!K11</f>
        <v>TBC</v>
      </c>
      <c r="H22" s="76">
        <f>+Delay!AK11</f>
        <v>0</v>
      </c>
      <c r="I22" s="81" t="str">
        <f>+Delay!AM11</f>
        <v>With Company for Review</v>
      </c>
      <c r="J22" s="78">
        <f>+Delay!BA11</f>
        <v>0</v>
      </c>
      <c r="K22" s="79"/>
      <c r="L22" s="72"/>
      <c r="M22" s="722"/>
      <c r="N22" s="723"/>
      <c r="R22" s="71"/>
    </row>
    <row r="23" spans="1:18" s="64" customFormat="1" ht="24.75" customHeight="1" x14ac:dyDescent="0.25">
      <c r="A23" s="72" t="str">
        <f>Delay!I12</f>
        <v>Variation Direction</v>
      </c>
      <c r="B23" s="72" t="str">
        <f>Delay!B12</f>
        <v>9641-C-83588-CFC-0266</v>
      </c>
      <c r="C23" s="73">
        <f>Delay!AO12</f>
        <v>0</v>
      </c>
      <c r="D23" s="72" t="str">
        <f>+Delay!G12</f>
        <v>Installation of Additional Flumes and Berms</v>
      </c>
      <c r="E23" s="72" t="str">
        <f>+Delay!H12</f>
        <v>The delay relates to additional quantities of flumes to be constructed</v>
      </c>
      <c r="F23" s="74">
        <f>+Delay!L12</f>
        <v>4</v>
      </c>
      <c r="G23" s="75" t="str">
        <f>+Delay!K12</f>
        <v>TBC</v>
      </c>
      <c r="H23" s="76">
        <f>+Delay!AK12</f>
        <v>0</v>
      </c>
      <c r="I23" s="81" t="str">
        <f>+Delay!AM12</f>
        <v>With Company for Review</v>
      </c>
      <c r="J23" s="78">
        <f>+Delay!BA12</f>
        <v>0</v>
      </c>
      <c r="K23" s="79"/>
      <c r="L23" s="72"/>
      <c r="M23" s="722"/>
      <c r="N23" s="723"/>
      <c r="R23" s="71"/>
    </row>
    <row r="24" spans="1:18" s="64" customFormat="1" ht="24.75" customHeight="1" x14ac:dyDescent="0.25">
      <c r="A24" s="72" t="e">
        <f>Delay!#REF!</f>
        <v>#REF!</v>
      </c>
      <c r="B24" s="72" t="e">
        <f>Delay!#REF!</f>
        <v>#REF!</v>
      </c>
      <c r="C24" s="73" t="e">
        <f>Delay!#REF!</f>
        <v>#REF!</v>
      </c>
      <c r="D24" s="72" t="e">
        <f>+Delay!#REF!</f>
        <v>#REF!</v>
      </c>
      <c r="E24" s="72" t="e">
        <f>+Delay!#REF!</f>
        <v>#REF!</v>
      </c>
      <c r="F24" s="74" t="e">
        <f>+Delay!#REF!</f>
        <v>#REF!</v>
      </c>
      <c r="G24" s="75" t="e">
        <f>+Delay!#REF!</f>
        <v>#REF!</v>
      </c>
      <c r="H24" s="76" t="e">
        <f>+Delay!#REF!</f>
        <v>#REF!</v>
      </c>
      <c r="I24" s="81" t="e">
        <f>+Delay!#REF!</f>
        <v>#REF!</v>
      </c>
      <c r="J24" s="78" t="e">
        <f>+Delay!#REF!</f>
        <v>#REF!</v>
      </c>
      <c r="K24" s="79"/>
      <c r="L24" s="72"/>
      <c r="M24" s="722"/>
      <c r="N24" s="723"/>
      <c r="R24" s="71"/>
    </row>
    <row r="25" spans="1:18" s="64" customFormat="1" ht="24.75" customHeight="1" x14ac:dyDescent="0.25">
      <c r="A25" s="72" t="e">
        <f>Delay!#REF!</f>
        <v>#REF!</v>
      </c>
      <c r="B25" s="72" t="e">
        <f>Delay!#REF!</f>
        <v>#REF!</v>
      </c>
      <c r="C25" s="73" t="e">
        <f>Delay!#REF!</f>
        <v>#REF!</v>
      </c>
      <c r="D25" s="72" t="e">
        <f>+Delay!#REF!</f>
        <v>#REF!</v>
      </c>
      <c r="E25" s="72" t="e">
        <f>+Delay!#REF!</f>
        <v>#REF!</v>
      </c>
      <c r="F25" s="74" t="e">
        <f>+Delay!#REF!</f>
        <v>#REF!</v>
      </c>
      <c r="G25" s="75" t="e">
        <f>+Delay!#REF!</f>
        <v>#REF!</v>
      </c>
      <c r="H25" s="76" t="e">
        <f>+Delay!#REF!</f>
        <v>#REF!</v>
      </c>
      <c r="I25" s="81" t="e">
        <f>+Delay!#REF!</f>
        <v>#REF!</v>
      </c>
      <c r="J25" s="78" t="e">
        <f>+Delay!#REF!</f>
        <v>#REF!</v>
      </c>
      <c r="K25" s="79"/>
      <c r="L25" s="72"/>
      <c r="M25" s="722"/>
      <c r="N25" s="723"/>
      <c r="R25" s="71"/>
    </row>
    <row r="26" spans="1:18" s="64" customFormat="1" ht="24.75" customHeight="1" x14ac:dyDescent="0.25">
      <c r="A26" s="72" t="e">
        <f>Delay!#REF!</f>
        <v>#REF!</v>
      </c>
      <c r="B26" s="72" t="e">
        <f>Delay!#REF!</f>
        <v>#REF!</v>
      </c>
      <c r="C26" s="73" t="e">
        <f>Delay!#REF!</f>
        <v>#REF!</v>
      </c>
      <c r="D26" s="72" t="e">
        <f>+Delay!#REF!</f>
        <v>#REF!</v>
      </c>
      <c r="E26" s="72" t="e">
        <f>+Delay!#REF!</f>
        <v>#REF!</v>
      </c>
      <c r="F26" s="74" t="e">
        <f>+Delay!#REF!</f>
        <v>#REF!</v>
      </c>
      <c r="G26" s="75" t="e">
        <f>+Delay!#REF!</f>
        <v>#REF!</v>
      </c>
      <c r="H26" s="76" t="e">
        <f>+Delay!#REF!</f>
        <v>#REF!</v>
      </c>
      <c r="I26" s="81" t="e">
        <f>+Delay!#REF!</f>
        <v>#REF!</v>
      </c>
      <c r="J26" s="78" t="e">
        <f>+Delay!#REF!</f>
        <v>#REF!</v>
      </c>
      <c r="K26" s="79"/>
      <c r="L26" s="72"/>
      <c r="M26" s="722"/>
      <c r="N26" s="723"/>
      <c r="R26" s="71"/>
    </row>
    <row r="27" spans="1:18" s="64" customFormat="1" ht="24.75" customHeight="1" x14ac:dyDescent="0.25">
      <c r="A27" s="72" t="str">
        <f>Delay!I13</f>
        <v>Variation Direction</v>
      </c>
      <c r="B27" s="72" t="str">
        <f>Delay!B13</f>
        <v>9641-C-83588-CFC-0315</v>
      </c>
      <c r="C27" s="73">
        <f>Delay!AO13</f>
        <v>0</v>
      </c>
      <c r="D27" s="72" t="str">
        <f>+Delay!G13</f>
        <v>Central Pilbara Terminal</v>
      </c>
      <c r="E27" s="72" t="str">
        <f>+Delay!H13</f>
        <v>Company issued SI-039 and SI-043, directing Contractor to undertake additional work in the Pilbara Central Terminal</v>
      </c>
      <c r="F27" s="74">
        <f>+Delay!L13</f>
        <v>3</v>
      </c>
      <c r="G27" s="75" t="str">
        <f>+Delay!K13</f>
        <v>TBC</v>
      </c>
      <c r="H27" s="76">
        <f>+Delay!AK13</f>
        <v>0</v>
      </c>
      <c r="I27" s="81" t="str">
        <f>+Delay!AM13</f>
        <v>With Company for Review</v>
      </c>
      <c r="J27" s="78" t="str">
        <f>+Delay!BA13</f>
        <v>EOT submitted. Awaiting Company review and determination</v>
      </c>
      <c r="K27" s="79"/>
      <c r="L27" s="72"/>
      <c r="M27" s="722"/>
      <c r="N27" s="723"/>
      <c r="R27" s="71"/>
    </row>
    <row r="28" spans="1:18" s="64" customFormat="1" ht="24.75" customHeight="1" x14ac:dyDescent="0.25">
      <c r="A28" s="72" t="str">
        <f>Delay!I14</f>
        <v>Variation Direction</v>
      </c>
      <c r="B28" s="72" t="str">
        <f>Delay!B14</f>
        <v>9641-C-83588-CFC-0316</v>
      </c>
      <c r="C28" s="73">
        <f>Delay!AO14</f>
        <v>0</v>
      </c>
      <c r="D28" s="72" t="str">
        <f>+Delay!G14</f>
        <v>Underground Services Model</v>
      </c>
      <c r="E28" s="72" t="str">
        <f>+Delay!H14</f>
        <v>The delay relates to the ongoing changes to the AFC model.</v>
      </c>
      <c r="F28" s="74" t="str">
        <f>+Delay!L14</f>
        <v xml:space="preserve">02a, 02b, 06, 08, 09, 14, 15, 16, 18, 20, 21 </v>
      </c>
      <c r="G28" s="75" t="str">
        <f>+Delay!K14</f>
        <v>TBC</v>
      </c>
      <c r="H28" s="76">
        <f>+Delay!AK14</f>
        <v>0</v>
      </c>
      <c r="I28" s="81" t="str">
        <f>+Delay!AM14</f>
        <v>With Company for Review</v>
      </c>
      <c r="J28" s="78" t="str">
        <f>+Delay!BA14</f>
        <v>EOT submitted. Awaiting Company review and determination</v>
      </c>
      <c r="K28" s="79"/>
      <c r="L28" s="72"/>
      <c r="M28" s="722"/>
      <c r="N28" s="723"/>
      <c r="R28" s="71"/>
    </row>
    <row r="29" spans="1:18" s="64" customFormat="1" ht="24.75" customHeight="1" x14ac:dyDescent="0.25">
      <c r="A29" s="72" t="str">
        <f>Delay!I15</f>
        <v>Variation Direction</v>
      </c>
      <c r="B29" s="72" t="str">
        <f>Delay!B15</f>
        <v>9641-C-83588-CFC-0344</v>
      </c>
      <c r="C29" s="73">
        <f>Delay!AO15</f>
        <v>0</v>
      </c>
      <c r="D29" s="72" t="str">
        <f>+Delay!G15</f>
        <v>Conveyors CV472 and CV475</v>
      </c>
      <c r="E29" s="72" t="str">
        <f>+Delay!H15</f>
        <v>The delay relates to the realignment of buried services underneath CV472 and CV475.</v>
      </c>
      <c r="F29" s="74">
        <f>+Delay!L15</f>
        <v>8</v>
      </c>
      <c r="G29" s="75" t="str">
        <f>+Delay!K15</f>
        <v>TBC</v>
      </c>
      <c r="H29" s="76">
        <f>+Delay!AK15</f>
        <v>0</v>
      </c>
      <c r="I29" s="81" t="str">
        <f>+Delay!AM15</f>
        <v>With Company for Review</v>
      </c>
      <c r="J29" s="78">
        <f>+Delay!BA15</f>
        <v>0</v>
      </c>
      <c r="K29" s="79"/>
      <c r="L29" s="72"/>
      <c r="M29" s="722"/>
      <c r="N29" s="723"/>
      <c r="R29" s="71"/>
    </row>
    <row r="30" spans="1:18" s="64" customFormat="1" ht="24.75" customHeight="1" x14ac:dyDescent="0.25">
      <c r="A30" s="72" t="str">
        <f>Delay!I16</f>
        <v>Variation Direction</v>
      </c>
      <c r="B30" s="72" t="str">
        <f>Delay!B16</f>
        <v>9641-C-83588-CFC-0367</v>
      </c>
      <c r="C30" s="73">
        <f>Delay!AO16</f>
        <v>0</v>
      </c>
      <c r="D30" s="72" t="str">
        <f>+Delay!G16</f>
        <v>Cut and Fill Quantities</v>
      </c>
      <c r="E30" s="72" t="str">
        <f>+Delay!H16</f>
        <v>Increase in the cut and fill quantities from Contract Award</v>
      </c>
      <c r="F30" s="74" t="str">
        <f>+Delay!L16</f>
        <v>TBC</v>
      </c>
      <c r="G30" s="75" t="str">
        <f>+Delay!K16</f>
        <v>TBC</v>
      </c>
      <c r="H30" s="76">
        <f>+Delay!AK16</f>
        <v>0</v>
      </c>
      <c r="I30" s="81" t="str">
        <f>+Delay!AM16</f>
        <v>With Company for Review</v>
      </c>
      <c r="J30" s="78">
        <f>+Delay!BA16</f>
        <v>0</v>
      </c>
      <c r="K30" s="79"/>
      <c r="L30" s="72"/>
      <c r="M30" s="722"/>
      <c r="N30" s="723"/>
      <c r="R30" s="71"/>
    </row>
    <row r="31" spans="1:18" s="64" customFormat="1" ht="24.75" customHeight="1" x14ac:dyDescent="0.25">
      <c r="A31" s="72" t="e">
        <f>Delay!#REF!</f>
        <v>#REF!</v>
      </c>
      <c r="B31" s="72" t="e">
        <f>Delay!#REF!</f>
        <v>#REF!</v>
      </c>
      <c r="C31" s="73" t="e">
        <f>Delay!#REF!</f>
        <v>#REF!</v>
      </c>
      <c r="D31" s="72" t="e">
        <f>+Delay!#REF!</f>
        <v>#REF!</v>
      </c>
      <c r="E31" s="72" t="e">
        <f>+Delay!#REF!</f>
        <v>#REF!</v>
      </c>
      <c r="F31" s="74" t="e">
        <f>+Delay!#REF!</f>
        <v>#REF!</v>
      </c>
      <c r="G31" s="75" t="e">
        <f>+Delay!#REF!</f>
        <v>#REF!</v>
      </c>
      <c r="H31" s="76" t="e">
        <f>+Delay!#REF!</f>
        <v>#REF!</v>
      </c>
      <c r="I31" s="81" t="e">
        <f>+Delay!#REF!</f>
        <v>#REF!</v>
      </c>
      <c r="J31" s="78" t="e">
        <f>+Delay!#REF!</f>
        <v>#REF!</v>
      </c>
      <c r="K31" s="79"/>
      <c r="L31" s="72"/>
      <c r="M31" s="722"/>
      <c r="N31" s="723"/>
      <c r="R31" s="71"/>
    </row>
    <row r="32" spans="1:18" s="64" customFormat="1" ht="24.75" customHeight="1" x14ac:dyDescent="0.25">
      <c r="A32" s="72" t="e">
        <f>Delay!#REF!</f>
        <v>#REF!</v>
      </c>
      <c r="B32" s="72" t="e">
        <f>Delay!#REF!</f>
        <v>#REF!</v>
      </c>
      <c r="C32" s="73" t="e">
        <f>Delay!#REF!</f>
        <v>#REF!</v>
      </c>
      <c r="D32" s="72" t="e">
        <f>+Delay!#REF!</f>
        <v>#REF!</v>
      </c>
      <c r="E32" s="72" t="e">
        <f>+Delay!#REF!</f>
        <v>#REF!</v>
      </c>
      <c r="F32" s="74" t="e">
        <f>+Delay!#REF!</f>
        <v>#REF!</v>
      </c>
      <c r="G32" s="75" t="e">
        <f>+Delay!#REF!</f>
        <v>#REF!</v>
      </c>
      <c r="H32" s="76" t="e">
        <f>+Delay!#REF!</f>
        <v>#REF!</v>
      </c>
      <c r="I32" s="81" t="e">
        <f>+Delay!#REF!</f>
        <v>#REF!</v>
      </c>
      <c r="J32" s="78" t="e">
        <f>+Delay!#REF!</f>
        <v>#REF!</v>
      </c>
      <c r="K32" s="79"/>
      <c r="L32" s="72"/>
      <c r="M32" s="722"/>
      <c r="N32" s="723"/>
      <c r="R32" s="71"/>
    </row>
    <row r="33" spans="1:18" s="64" customFormat="1" ht="45" x14ac:dyDescent="0.25">
      <c r="A33" s="72" t="str">
        <f>Delay!I17</f>
        <v>Variation Direction</v>
      </c>
      <c r="B33" s="72" t="str">
        <f>Delay!B17</f>
        <v>9641-C-83588-CFC-0405</v>
      </c>
      <c r="C33" s="73">
        <f>Delay!AO17</f>
        <v>0</v>
      </c>
      <c r="D33" s="72" t="str">
        <f>+Delay!G17</f>
        <v>Secondary Crushing Building BG450</v>
      </c>
      <c r="E33" s="72" t="str">
        <f>+Delay!H17</f>
        <v>The delay relates to the addition of embedments to the BG450 Walls - Contractor cannot complete the concrete walls until the new embedments are fabricated and delivered.</v>
      </c>
      <c r="F33" s="74" t="str">
        <f>+Delay!L17</f>
        <v>TBC</v>
      </c>
      <c r="G33" s="75" t="str">
        <f>+Delay!K17</f>
        <v>TBC</v>
      </c>
      <c r="H33" s="76">
        <f>+Delay!AK17</f>
        <v>0</v>
      </c>
      <c r="I33" s="81" t="str">
        <f>+Delay!AM17</f>
        <v>With Company for Review</v>
      </c>
      <c r="J33" s="78">
        <f>+Delay!BA17</f>
        <v>0</v>
      </c>
      <c r="K33" s="79"/>
      <c r="L33" s="72"/>
      <c r="M33" s="722"/>
      <c r="N33" s="723"/>
      <c r="R33" s="71"/>
    </row>
    <row r="34" spans="1:18" s="64" customFormat="1" ht="15.75" x14ac:dyDescent="0.25">
      <c r="A34" s="72" t="e">
        <f>Delay!#REF!</f>
        <v>#REF!</v>
      </c>
      <c r="B34" s="72" t="e">
        <f>Delay!#REF!</f>
        <v>#REF!</v>
      </c>
      <c r="C34" s="73" t="e">
        <f>Delay!#REF!</f>
        <v>#REF!</v>
      </c>
      <c r="D34" s="72" t="e">
        <f>+Delay!#REF!</f>
        <v>#REF!</v>
      </c>
      <c r="E34" s="72" t="e">
        <f>+Delay!#REF!</f>
        <v>#REF!</v>
      </c>
      <c r="F34" s="74" t="e">
        <f>+Delay!#REF!</f>
        <v>#REF!</v>
      </c>
      <c r="G34" s="75" t="e">
        <f>+Delay!#REF!</f>
        <v>#REF!</v>
      </c>
      <c r="H34" s="76" t="e">
        <f>+Delay!#REF!</f>
        <v>#REF!</v>
      </c>
      <c r="I34" s="81" t="e">
        <f>+Delay!#REF!</f>
        <v>#REF!</v>
      </c>
      <c r="J34" s="78" t="e">
        <f>+Delay!#REF!</f>
        <v>#REF!</v>
      </c>
      <c r="K34" s="79"/>
      <c r="L34" s="72"/>
      <c r="M34" s="722"/>
      <c r="N34" s="723"/>
      <c r="R34" s="71"/>
    </row>
    <row r="35" spans="1:18" s="64" customFormat="1" ht="22.5" x14ac:dyDescent="0.25">
      <c r="A35" s="72" t="str">
        <f>Delay!I18</f>
        <v>Breach by the Company</v>
      </c>
      <c r="B35" s="72" t="str">
        <f>Delay!B18</f>
        <v>9641-C-83588-CFC-0425</v>
      </c>
      <c r="C35" s="73">
        <f>Delay!AO18</f>
        <v>0</v>
      </c>
      <c r="D35" s="72" t="str">
        <f>+Delay!G18</f>
        <v>TS476 Access Date</v>
      </c>
      <c r="E35" s="72" t="str">
        <f>+Delay!H18</f>
        <v>TS476 handover has been moved from 15 Sep 2019 to 20 Dec 2019.</v>
      </c>
      <c r="F35" s="74">
        <f>+Delay!L18</f>
        <v>22</v>
      </c>
      <c r="G35" s="75">
        <f>+Delay!K18</f>
        <v>161</v>
      </c>
      <c r="H35" s="76">
        <f>+Delay!AK18</f>
        <v>0</v>
      </c>
      <c r="I35" s="81" t="str">
        <f>+Delay!AM18</f>
        <v>With Company for Review</v>
      </c>
      <c r="J35" s="78">
        <f>+Delay!BA18</f>
        <v>0</v>
      </c>
      <c r="K35" s="79"/>
      <c r="L35" s="72"/>
      <c r="M35" s="82"/>
      <c r="N35" s="83"/>
      <c r="R35" s="71"/>
    </row>
    <row r="36" spans="1:18" s="64" customFormat="1" ht="15.75" x14ac:dyDescent="0.25">
      <c r="A36" s="72" t="e">
        <f>Delay!#REF!</f>
        <v>#REF!</v>
      </c>
      <c r="B36" s="72" t="e">
        <f>Delay!#REF!</f>
        <v>#REF!</v>
      </c>
      <c r="C36" s="73" t="e">
        <f>Delay!#REF!</f>
        <v>#REF!</v>
      </c>
      <c r="D36" s="72" t="e">
        <f>+Delay!#REF!</f>
        <v>#REF!</v>
      </c>
      <c r="E36" s="72" t="e">
        <f>+Delay!#REF!</f>
        <v>#REF!</v>
      </c>
      <c r="F36" s="74" t="e">
        <f>+Delay!#REF!</f>
        <v>#REF!</v>
      </c>
      <c r="G36" s="75" t="e">
        <f>+Delay!#REF!</f>
        <v>#REF!</v>
      </c>
      <c r="H36" s="76" t="e">
        <f>+Delay!#REF!</f>
        <v>#REF!</v>
      </c>
      <c r="I36" s="81" t="e">
        <f>+Delay!#REF!</f>
        <v>#REF!</v>
      </c>
      <c r="J36" s="78" t="e">
        <f>+Delay!#REF!</f>
        <v>#REF!</v>
      </c>
      <c r="K36" s="79"/>
      <c r="L36" s="72"/>
      <c r="M36" s="82"/>
      <c r="N36" s="83"/>
      <c r="R36" s="71"/>
    </row>
    <row r="37" spans="1:18" s="64" customFormat="1" ht="22.5" x14ac:dyDescent="0.25">
      <c r="A37" s="72" t="str">
        <f>Delay!I19</f>
        <v>Variation Direction</v>
      </c>
      <c r="B37" s="72" t="str">
        <f>Delay!B19</f>
        <v>9641-C-83588-CFC-0438</v>
      </c>
      <c r="C37" s="73">
        <f>Delay!AO19</f>
        <v>0</v>
      </c>
      <c r="D37" s="72" t="str">
        <f>+Delay!G19</f>
        <v>CV521 Company Supplied Items</v>
      </c>
      <c r="E37" s="72" t="str">
        <f>+Delay!H19</f>
        <v>The delay relates to the Company Supplied Items for CV521</v>
      </c>
      <c r="F37" s="74">
        <f>+Delay!L19</f>
        <v>8</v>
      </c>
      <c r="G37" s="75" t="str">
        <f>+Delay!K19</f>
        <v>TBC</v>
      </c>
      <c r="H37" s="76">
        <f>+Delay!AK19</f>
        <v>0</v>
      </c>
      <c r="I37" s="81" t="str">
        <f>+Delay!AM19</f>
        <v>With Company for Review</v>
      </c>
      <c r="J37" s="78">
        <f>+Delay!BA19</f>
        <v>0</v>
      </c>
      <c r="K37" s="79"/>
      <c r="L37" s="72"/>
      <c r="M37" s="82"/>
      <c r="N37" s="83"/>
      <c r="R37" s="71"/>
    </row>
    <row r="38" spans="1:18" s="64" customFormat="1" ht="15.75" x14ac:dyDescent="0.25">
      <c r="A38" s="72" t="e">
        <f>Delay!#REF!</f>
        <v>#REF!</v>
      </c>
      <c r="B38" s="72" t="e">
        <f>Delay!#REF!</f>
        <v>#REF!</v>
      </c>
      <c r="C38" s="73" t="e">
        <f>Delay!#REF!</f>
        <v>#REF!</v>
      </c>
      <c r="D38" s="72" t="e">
        <f>+Delay!#REF!</f>
        <v>#REF!</v>
      </c>
      <c r="E38" s="72" t="e">
        <f>+Delay!#REF!</f>
        <v>#REF!</v>
      </c>
      <c r="F38" s="74" t="e">
        <f>+Delay!#REF!</f>
        <v>#REF!</v>
      </c>
      <c r="G38" s="75" t="e">
        <f>+Delay!#REF!</f>
        <v>#REF!</v>
      </c>
      <c r="H38" s="76" t="e">
        <f>+Delay!#REF!</f>
        <v>#REF!</v>
      </c>
      <c r="I38" s="81" t="e">
        <f>+Delay!#REF!</f>
        <v>#REF!</v>
      </c>
      <c r="J38" s="78" t="e">
        <f>+Delay!#REF!</f>
        <v>#REF!</v>
      </c>
      <c r="K38" s="79"/>
      <c r="L38" s="72"/>
      <c r="M38" s="722"/>
      <c r="N38" s="723"/>
      <c r="R38" s="71"/>
    </row>
    <row r="39" spans="1:18" s="64" customFormat="1" ht="45" x14ac:dyDescent="0.25">
      <c r="A39" s="72" t="str">
        <f>Delay!I20</f>
        <v>Breach by the Company</v>
      </c>
      <c r="B39" s="72" t="str">
        <f>Delay!B20</f>
        <v>9641-C-835​88-CFC-0469</v>
      </c>
      <c r="C39" s="73">
        <f>Delay!AO20</f>
        <v>0</v>
      </c>
      <c r="D39" s="72" t="str">
        <f>+Delay!G20</f>
        <v>Company Rail Preventing Access</v>
      </c>
      <c r="E39" s="72" t="str">
        <f>+Delay!H20</f>
        <v>The delay relates to the Company’s rail materials being stockpiled within the Ore Handling Plant 3 (OHP), Milestone 9 which has restricted Contractor’s access and ability to perform its earthworks activities.</v>
      </c>
      <c r="F39" s="74" t="str">
        <f>+Delay!L20</f>
        <v>TBC</v>
      </c>
      <c r="G39" s="75" t="str">
        <f>+Delay!K20</f>
        <v>TBC</v>
      </c>
      <c r="H39" s="76">
        <f>+Delay!AK20</f>
        <v>0</v>
      </c>
      <c r="I39" s="81" t="str">
        <f>+Delay!AM20</f>
        <v>With Company for Review</v>
      </c>
      <c r="J39" s="78">
        <f>+Delay!BA20</f>
        <v>0</v>
      </c>
      <c r="K39" s="79"/>
      <c r="L39" s="72"/>
      <c r="M39" s="722"/>
      <c r="N39" s="723"/>
      <c r="R39" s="71"/>
    </row>
    <row r="40" spans="1:18" s="64" customFormat="1" ht="15.75" x14ac:dyDescent="0.25">
      <c r="A40" s="72" t="e">
        <f>Delay!#REF!</f>
        <v>#REF!</v>
      </c>
      <c r="B40" s="72" t="e">
        <f>Delay!#REF!</f>
        <v>#REF!</v>
      </c>
      <c r="C40" s="73" t="e">
        <f>Delay!#REF!</f>
        <v>#REF!</v>
      </c>
      <c r="D40" s="72" t="e">
        <f>+Delay!#REF!</f>
        <v>#REF!</v>
      </c>
      <c r="E40" s="72" t="e">
        <f>+Delay!#REF!</f>
        <v>#REF!</v>
      </c>
      <c r="F40" s="74" t="e">
        <f>+Delay!#REF!</f>
        <v>#REF!</v>
      </c>
      <c r="G40" s="75" t="e">
        <f>+Delay!#REF!</f>
        <v>#REF!</v>
      </c>
      <c r="H40" s="76" t="e">
        <f>+Delay!#REF!</f>
        <v>#REF!</v>
      </c>
      <c r="I40" s="81" t="e">
        <f>+Delay!#REF!</f>
        <v>#REF!</v>
      </c>
      <c r="J40" s="78" t="e">
        <f>+Delay!#REF!</f>
        <v>#REF!</v>
      </c>
      <c r="K40" s="79"/>
      <c r="L40" s="72"/>
      <c r="M40" s="722"/>
      <c r="N40" s="723"/>
      <c r="R40" s="71"/>
    </row>
    <row r="41" spans="1:18" s="64" customFormat="1" ht="24.75" customHeight="1" x14ac:dyDescent="0.25">
      <c r="A41" s="72" t="str">
        <f>Delay!I21</f>
        <v>Breach by the Company</v>
      </c>
      <c r="B41" s="72" t="str">
        <f>Delay!B21</f>
        <v>9641-C-83588-CFC-0504</v>
      </c>
      <c r="C41" s="73">
        <f>Delay!AO21</f>
        <v>0</v>
      </c>
      <c r="D41" s="72" t="str">
        <f>+Delay!G21</f>
        <v>Milestone 6</v>
      </c>
      <c r="E41" s="72" t="str">
        <f>+Delay!H21</f>
        <v>Claim for Extension of Time to Milestone 6</v>
      </c>
      <c r="F41" s="74">
        <f>+Delay!L21</f>
        <v>6</v>
      </c>
      <c r="G41" s="75" t="str">
        <f>+Delay!K21</f>
        <v>TBC</v>
      </c>
      <c r="H41" s="76">
        <f>+Delay!AK21</f>
        <v>243334.95</v>
      </c>
      <c r="I41" s="81" t="str">
        <f>+Delay!AM21</f>
        <v>With Company for Review</v>
      </c>
      <c r="J41" s="78" t="str">
        <f>+Delay!BA21</f>
        <v>EOT submitted. Awaiting Company review and determination</v>
      </c>
      <c r="K41" s="79"/>
      <c r="L41" s="72"/>
      <c r="M41" s="722"/>
      <c r="N41" s="723"/>
      <c r="R41" s="71"/>
    </row>
    <row r="42" spans="1:18" s="64" customFormat="1" ht="24.75" customHeight="1" x14ac:dyDescent="0.25">
      <c r="A42" s="72" t="str">
        <f>Delay!I22</f>
        <v>Breach by the Company</v>
      </c>
      <c r="B42" s="72" t="str">
        <f>Delay!B22</f>
        <v>9641-C-83588-CFC-0505</v>
      </c>
      <c r="C42" s="73">
        <f>Delay!AO22</f>
        <v>0</v>
      </c>
      <c r="D42" s="72" t="str">
        <f>+Delay!G22</f>
        <v>Milestone 8</v>
      </c>
      <c r="E42" s="72" t="str">
        <f>+Delay!H22</f>
        <v>Claim for Extension of Time to Milestone 8</v>
      </c>
      <c r="F42" s="74">
        <f>+Delay!L22</f>
        <v>8</v>
      </c>
      <c r="G42" s="75" t="str">
        <f>+Delay!K22</f>
        <v>TBC</v>
      </c>
      <c r="H42" s="76">
        <f>+Delay!AK22</f>
        <v>5518459.8600000003</v>
      </c>
      <c r="I42" s="81" t="str">
        <f>+Delay!AM22</f>
        <v>With Company for Review</v>
      </c>
      <c r="J42" s="78" t="str">
        <f>+Delay!BA22</f>
        <v>EOT submitted. Awaiting Company review and determination</v>
      </c>
      <c r="K42" s="79"/>
      <c r="L42" s="72"/>
      <c r="M42" s="722"/>
      <c r="N42" s="723"/>
      <c r="R42" s="71"/>
    </row>
    <row r="43" spans="1:18" s="64" customFormat="1" ht="24.75" customHeight="1" x14ac:dyDescent="0.25">
      <c r="A43" s="72" t="str">
        <f>Delay!I23</f>
        <v>Breach by the Company</v>
      </c>
      <c r="B43" s="72" t="str">
        <f>Delay!B23</f>
        <v>9641-C-83588-CFC-0506</v>
      </c>
      <c r="C43" s="73">
        <f>Delay!AO23</f>
        <v>0</v>
      </c>
      <c r="D43" s="72" t="str">
        <f>+Delay!G23</f>
        <v>Milestone 9</v>
      </c>
      <c r="E43" s="72" t="str">
        <f>+Delay!H23</f>
        <v>Claim for Extension of Time to Milestone 9</v>
      </c>
      <c r="F43" s="74">
        <f>+Delay!L23</f>
        <v>9</v>
      </c>
      <c r="G43" s="75" t="str">
        <f>+Delay!K23</f>
        <v>TBC</v>
      </c>
      <c r="H43" s="76">
        <f>+Delay!AK23</f>
        <v>18218437.260000002</v>
      </c>
      <c r="I43" s="81" t="str">
        <f>+Delay!AM23</f>
        <v>With Company for Review</v>
      </c>
      <c r="J43" s="78" t="str">
        <f>+Delay!BA23</f>
        <v>EOT submitted. Awaiting Company review and determination</v>
      </c>
      <c r="K43" s="79"/>
      <c r="L43" s="72"/>
      <c r="M43" s="722"/>
      <c r="N43" s="723"/>
      <c r="R43" s="71"/>
    </row>
    <row r="44" spans="1:18" s="64" customFormat="1" ht="24.75" customHeight="1" x14ac:dyDescent="0.25">
      <c r="A44" s="72" t="str">
        <f>Delay!I24</f>
        <v>Breach by the Company</v>
      </c>
      <c r="B44" s="72" t="str">
        <f>Delay!B24</f>
        <v>9641-C-83588-CFC-0507</v>
      </c>
      <c r="C44" s="73">
        <f>Delay!AO24</f>
        <v>0</v>
      </c>
      <c r="D44" s="72" t="str">
        <f>+Delay!G24</f>
        <v>Milestone 11</v>
      </c>
      <c r="E44" s="72" t="str">
        <f>+Delay!H24</f>
        <v>Claim for Extension of Time to Milestone 11</v>
      </c>
      <c r="F44" s="74">
        <f>+Delay!L24</f>
        <v>11</v>
      </c>
      <c r="G44" s="75" t="str">
        <f>+Delay!K24</f>
        <v>TBC</v>
      </c>
      <c r="H44" s="76">
        <f>+Delay!AK24</f>
        <v>2009964.24</v>
      </c>
      <c r="I44" s="81" t="str">
        <f>+Delay!AM24</f>
        <v>With Company for Review</v>
      </c>
      <c r="J44" s="78" t="str">
        <f>+Delay!BA24</f>
        <v>EOT submitted. Awaiting Company review and determination</v>
      </c>
      <c r="K44" s="79"/>
      <c r="L44" s="72"/>
      <c r="M44" s="722"/>
      <c r="N44" s="723"/>
      <c r="R44" s="71"/>
    </row>
    <row r="45" spans="1:18" s="64" customFormat="1" ht="15.75" x14ac:dyDescent="0.25">
      <c r="A45" s="72" t="e">
        <f>Delay!#REF!</f>
        <v>#REF!</v>
      </c>
      <c r="B45" s="72" t="e">
        <f>Delay!#REF!</f>
        <v>#REF!</v>
      </c>
      <c r="C45" s="73" t="e">
        <f>Delay!#REF!</f>
        <v>#REF!</v>
      </c>
      <c r="D45" s="72" t="e">
        <f>+Delay!#REF!</f>
        <v>#REF!</v>
      </c>
      <c r="E45" s="72" t="e">
        <f>+Delay!#REF!</f>
        <v>#REF!</v>
      </c>
      <c r="F45" s="74" t="e">
        <f>+Delay!#REF!</f>
        <v>#REF!</v>
      </c>
      <c r="G45" s="75" t="e">
        <f>+Delay!#REF!</f>
        <v>#REF!</v>
      </c>
      <c r="H45" s="76" t="e">
        <f>+Delay!#REF!</f>
        <v>#REF!</v>
      </c>
      <c r="I45" s="81" t="e">
        <f>+Delay!#REF!</f>
        <v>#REF!</v>
      </c>
      <c r="J45" s="78" t="e">
        <f>+Delay!#REF!</f>
        <v>#REF!</v>
      </c>
      <c r="K45" s="79"/>
      <c r="L45" s="72"/>
      <c r="M45" s="722"/>
      <c r="N45" s="723"/>
      <c r="R45" s="71"/>
    </row>
    <row r="46" spans="1:18" s="64" customFormat="1" ht="24.75" customHeight="1" x14ac:dyDescent="0.25">
      <c r="A46" s="72" t="e">
        <f>Delay!#REF!</f>
        <v>#REF!</v>
      </c>
      <c r="B46" s="72" t="e">
        <f>Delay!#REF!</f>
        <v>#REF!</v>
      </c>
      <c r="C46" s="73" t="e">
        <f>Delay!#REF!</f>
        <v>#REF!</v>
      </c>
      <c r="D46" s="72" t="e">
        <f>+Delay!#REF!</f>
        <v>#REF!</v>
      </c>
      <c r="E46" s="72" t="e">
        <f>+Delay!#REF!</f>
        <v>#REF!</v>
      </c>
      <c r="F46" s="74" t="e">
        <f>+Delay!#REF!</f>
        <v>#REF!</v>
      </c>
      <c r="G46" s="75" t="e">
        <f>+Delay!#REF!</f>
        <v>#REF!</v>
      </c>
      <c r="H46" s="76" t="e">
        <f>+Delay!#REF!</f>
        <v>#REF!</v>
      </c>
      <c r="I46" s="201" t="e">
        <f>+Delay!#REF!</f>
        <v>#REF!</v>
      </c>
      <c r="J46" s="78" t="e">
        <f>+Delay!#REF!</f>
        <v>#REF!</v>
      </c>
      <c r="K46" s="79"/>
      <c r="L46" s="72"/>
      <c r="M46" s="722"/>
      <c r="N46" s="723"/>
      <c r="R46" s="71"/>
    </row>
    <row r="47" spans="1:18" s="64" customFormat="1" ht="15.75" x14ac:dyDescent="0.25">
      <c r="A47" s="72" t="e">
        <f>Delay!#REF!</f>
        <v>#REF!</v>
      </c>
      <c r="B47" s="72" t="e">
        <f>Delay!#REF!</f>
        <v>#REF!</v>
      </c>
      <c r="C47" s="73" t="e">
        <f>Delay!#REF!</f>
        <v>#REF!</v>
      </c>
      <c r="D47" s="72" t="e">
        <f>+Delay!#REF!</f>
        <v>#REF!</v>
      </c>
      <c r="E47" s="72" t="e">
        <f>+Delay!#REF!</f>
        <v>#REF!</v>
      </c>
      <c r="F47" s="74" t="e">
        <f>+Delay!#REF!</f>
        <v>#REF!</v>
      </c>
      <c r="G47" s="75" t="e">
        <f>+Delay!#REF!</f>
        <v>#REF!</v>
      </c>
      <c r="H47" s="76" t="e">
        <f>+Delay!#REF!</f>
        <v>#REF!</v>
      </c>
      <c r="I47" s="81" t="e">
        <f>+Delay!#REF!</f>
        <v>#REF!</v>
      </c>
      <c r="J47" s="78" t="e">
        <f>+Delay!#REF!</f>
        <v>#REF!</v>
      </c>
      <c r="K47" s="79"/>
      <c r="L47" s="72"/>
      <c r="M47" s="722"/>
      <c r="N47" s="723"/>
      <c r="R47" s="71"/>
    </row>
    <row r="48" spans="1:18" s="64" customFormat="1" ht="15.75" x14ac:dyDescent="0.25">
      <c r="A48" s="72" t="e">
        <f>Delay!#REF!</f>
        <v>#REF!</v>
      </c>
      <c r="B48" s="72" t="e">
        <f>Delay!#REF!</f>
        <v>#REF!</v>
      </c>
      <c r="C48" s="73" t="e">
        <f>Delay!#REF!</f>
        <v>#REF!</v>
      </c>
      <c r="D48" s="72" t="e">
        <f>+Delay!#REF!</f>
        <v>#REF!</v>
      </c>
      <c r="E48" s="72" t="e">
        <f>+Delay!#REF!</f>
        <v>#REF!</v>
      </c>
      <c r="F48" s="74" t="e">
        <f>+Delay!#REF!</f>
        <v>#REF!</v>
      </c>
      <c r="G48" s="75" t="e">
        <f>+Delay!#REF!</f>
        <v>#REF!</v>
      </c>
      <c r="H48" s="76" t="e">
        <f>+Delay!#REF!</f>
        <v>#REF!</v>
      </c>
      <c r="I48" s="81" t="e">
        <f>+Delay!#REF!</f>
        <v>#REF!</v>
      </c>
      <c r="J48" s="78" t="e">
        <f>+Delay!#REF!</f>
        <v>#REF!</v>
      </c>
      <c r="K48" s="79"/>
      <c r="L48" s="72"/>
      <c r="M48" s="722"/>
      <c r="N48" s="723"/>
      <c r="R48" s="71"/>
    </row>
    <row r="49" spans="1:18" s="64" customFormat="1" ht="15.75" x14ac:dyDescent="0.25">
      <c r="A49" s="72" t="e">
        <f>Delay!#REF!</f>
        <v>#REF!</v>
      </c>
      <c r="B49" s="72" t="e">
        <f>Delay!#REF!</f>
        <v>#REF!</v>
      </c>
      <c r="C49" s="73" t="e">
        <f>Delay!#REF!</f>
        <v>#REF!</v>
      </c>
      <c r="D49" s="72" t="e">
        <f>+Delay!#REF!</f>
        <v>#REF!</v>
      </c>
      <c r="E49" s="72" t="e">
        <f>+Delay!#REF!</f>
        <v>#REF!</v>
      </c>
      <c r="F49" s="74" t="e">
        <f>+Delay!#REF!</f>
        <v>#REF!</v>
      </c>
      <c r="G49" s="75" t="e">
        <f>+Delay!#REF!</f>
        <v>#REF!</v>
      </c>
      <c r="H49" s="76" t="e">
        <f>+Delay!#REF!</f>
        <v>#REF!</v>
      </c>
      <c r="I49" s="81" t="e">
        <f>+Delay!#REF!</f>
        <v>#REF!</v>
      </c>
      <c r="J49" s="78" t="e">
        <f>+Delay!#REF!</f>
        <v>#REF!</v>
      </c>
      <c r="K49" s="79"/>
      <c r="L49" s="72"/>
      <c r="M49" s="722"/>
      <c r="N49" s="723"/>
      <c r="R49" s="71"/>
    </row>
    <row r="50" spans="1:18" s="64" customFormat="1" ht="15.75" x14ac:dyDescent="0.25">
      <c r="A50" s="72" t="e">
        <f>Delay!#REF!</f>
        <v>#REF!</v>
      </c>
      <c r="B50" s="72" t="e">
        <f>Delay!#REF!</f>
        <v>#REF!</v>
      </c>
      <c r="C50" s="73" t="e">
        <f>Delay!#REF!</f>
        <v>#REF!</v>
      </c>
      <c r="D50" s="72" t="e">
        <f>+Delay!#REF!</f>
        <v>#REF!</v>
      </c>
      <c r="E50" s="72" t="e">
        <f>+Delay!#REF!</f>
        <v>#REF!</v>
      </c>
      <c r="F50" s="74" t="e">
        <f>+Delay!#REF!</f>
        <v>#REF!</v>
      </c>
      <c r="G50" s="75" t="e">
        <f>+Delay!#REF!</f>
        <v>#REF!</v>
      </c>
      <c r="H50" s="76" t="e">
        <f>+Delay!#REF!</f>
        <v>#REF!</v>
      </c>
      <c r="I50" s="81" t="e">
        <f>+Delay!#REF!</f>
        <v>#REF!</v>
      </c>
      <c r="J50" s="78" t="e">
        <f>+Delay!#REF!</f>
        <v>#REF!</v>
      </c>
      <c r="K50" s="79"/>
      <c r="L50" s="72"/>
      <c r="M50" s="722"/>
      <c r="N50" s="723"/>
      <c r="R50" s="71"/>
    </row>
    <row r="51" spans="1:18" s="64" customFormat="1" ht="15.75" x14ac:dyDescent="0.25">
      <c r="A51" s="72" t="e">
        <f>Delay!#REF!</f>
        <v>#REF!</v>
      </c>
      <c r="B51" s="72" t="e">
        <f>Delay!#REF!</f>
        <v>#REF!</v>
      </c>
      <c r="C51" s="73" t="e">
        <f>Delay!#REF!</f>
        <v>#REF!</v>
      </c>
      <c r="D51" s="72" t="e">
        <f>+Delay!#REF!</f>
        <v>#REF!</v>
      </c>
      <c r="E51" s="72" t="e">
        <f>+Delay!#REF!</f>
        <v>#REF!</v>
      </c>
      <c r="F51" s="74" t="e">
        <f>+Delay!#REF!</f>
        <v>#REF!</v>
      </c>
      <c r="G51" s="75" t="e">
        <f>+Delay!#REF!</f>
        <v>#REF!</v>
      </c>
      <c r="H51" s="76" t="e">
        <f>+Delay!#REF!</f>
        <v>#REF!</v>
      </c>
      <c r="I51" s="81" t="e">
        <f>+Delay!#REF!</f>
        <v>#REF!</v>
      </c>
      <c r="J51" s="78" t="e">
        <f>+Delay!#REF!</f>
        <v>#REF!</v>
      </c>
      <c r="K51" s="79"/>
      <c r="L51" s="72"/>
      <c r="M51" s="722"/>
      <c r="N51" s="723"/>
      <c r="R51" s="71"/>
    </row>
    <row r="52" spans="1:18" s="64" customFormat="1" ht="15.75" x14ac:dyDescent="0.25">
      <c r="A52" s="72" t="e">
        <f>Delay!#REF!</f>
        <v>#REF!</v>
      </c>
      <c r="B52" s="72" t="e">
        <f>Delay!#REF!</f>
        <v>#REF!</v>
      </c>
      <c r="C52" s="73" t="e">
        <f>Delay!#REF!</f>
        <v>#REF!</v>
      </c>
      <c r="D52" s="72" t="e">
        <f>+Delay!#REF!</f>
        <v>#REF!</v>
      </c>
      <c r="E52" s="72" t="e">
        <f>+Delay!#REF!</f>
        <v>#REF!</v>
      </c>
      <c r="F52" s="74" t="e">
        <f>+Delay!#REF!</f>
        <v>#REF!</v>
      </c>
      <c r="G52" s="75" t="e">
        <f>+Delay!#REF!</f>
        <v>#REF!</v>
      </c>
      <c r="H52" s="76" t="e">
        <f>+Delay!#REF!</f>
        <v>#REF!</v>
      </c>
      <c r="I52" s="81" t="e">
        <f>+Delay!#REF!</f>
        <v>#REF!</v>
      </c>
      <c r="J52" s="78" t="e">
        <f>+Delay!#REF!</f>
        <v>#REF!</v>
      </c>
      <c r="K52" s="79"/>
      <c r="L52" s="72"/>
      <c r="M52" s="722"/>
      <c r="N52" s="723"/>
      <c r="R52" s="71"/>
    </row>
    <row r="53" spans="1:18" s="64" customFormat="1" ht="15.75" x14ac:dyDescent="0.25">
      <c r="A53" s="72" t="e">
        <f>Delay!#REF!</f>
        <v>#REF!</v>
      </c>
      <c r="B53" s="72" t="e">
        <f>Delay!#REF!</f>
        <v>#REF!</v>
      </c>
      <c r="C53" s="73" t="e">
        <f>Delay!#REF!</f>
        <v>#REF!</v>
      </c>
      <c r="D53" s="72" t="e">
        <f>+Delay!#REF!</f>
        <v>#REF!</v>
      </c>
      <c r="E53" s="72" t="e">
        <f>+Delay!#REF!</f>
        <v>#REF!</v>
      </c>
      <c r="F53" s="74" t="e">
        <f>+Delay!#REF!</f>
        <v>#REF!</v>
      </c>
      <c r="G53" s="75" t="e">
        <f>+Delay!#REF!</f>
        <v>#REF!</v>
      </c>
      <c r="H53" s="76" t="e">
        <f>+Delay!#REF!</f>
        <v>#REF!</v>
      </c>
      <c r="I53" s="81" t="e">
        <f>+Delay!#REF!</f>
        <v>#REF!</v>
      </c>
      <c r="J53" s="78" t="e">
        <f>+Delay!#REF!</f>
        <v>#REF!</v>
      </c>
      <c r="K53" s="79"/>
      <c r="L53" s="72"/>
      <c r="M53" s="722"/>
      <c r="N53" s="723"/>
      <c r="R53" s="71"/>
    </row>
    <row r="54" spans="1:18" s="64" customFormat="1" ht="15.75" x14ac:dyDescent="0.25">
      <c r="A54" s="72" t="e">
        <f>Delay!#REF!</f>
        <v>#REF!</v>
      </c>
      <c r="B54" s="72" t="e">
        <f>Delay!#REF!</f>
        <v>#REF!</v>
      </c>
      <c r="C54" s="73" t="e">
        <f>Delay!#REF!</f>
        <v>#REF!</v>
      </c>
      <c r="D54" s="72" t="e">
        <f>+Delay!#REF!</f>
        <v>#REF!</v>
      </c>
      <c r="E54" s="72" t="e">
        <f>+Delay!#REF!</f>
        <v>#REF!</v>
      </c>
      <c r="F54" s="74" t="e">
        <f>+Delay!#REF!</f>
        <v>#REF!</v>
      </c>
      <c r="G54" s="75" t="e">
        <f>+Delay!#REF!</f>
        <v>#REF!</v>
      </c>
      <c r="H54" s="76" t="e">
        <f>+Delay!#REF!</f>
        <v>#REF!</v>
      </c>
      <c r="I54" s="81" t="e">
        <f>+Delay!#REF!</f>
        <v>#REF!</v>
      </c>
      <c r="J54" s="78" t="e">
        <f>+Delay!#REF!</f>
        <v>#REF!</v>
      </c>
      <c r="K54" s="79"/>
      <c r="L54" s="72"/>
      <c r="M54" s="722"/>
      <c r="N54" s="723"/>
      <c r="R54" s="71"/>
    </row>
    <row r="55" spans="1:18" s="64" customFormat="1" ht="24.75" customHeight="1" x14ac:dyDescent="0.25">
      <c r="A55" s="72" t="e">
        <f>Delay!#REF!</f>
        <v>#REF!</v>
      </c>
      <c r="B55" s="72" t="e">
        <f>Delay!#REF!</f>
        <v>#REF!</v>
      </c>
      <c r="C55" s="73" t="e">
        <f>Delay!#REF!</f>
        <v>#REF!</v>
      </c>
      <c r="D55" s="72" t="e">
        <f>+Delay!#REF!</f>
        <v>#REF!</v>
      </c>
      <c r="E55" s="72" t="e">
        <f>+Delay!#REF!</f>
        <v>#REF!</v>
      </c>
      <c r="F55" s="74" t="e">
        <f>+Delay!#REF!</f>
        <v>#REF!</v>
      </c>
      <c r="G55" s="75" t="e">
        <f>+Delay!#REF!</f>
        <v>#REF!</v>
      </c>
      <c r="H55" s="76" t="e">
        <f>+Delay!#REF!</f>
        <v>#REF!</v>
      </c>
      <c r="I55" s="81" t="e">
        <f>+Delay!#REF!</f>
        <v>#REF!</v>
      </c>
      <c r="J55" s="78" t="e">
        <f>+Delay!#REF!</f>
        <v>#REF!</v>
      </c>
      <c r="K55" s="79"/>
      <c r="L55" s="72"/>
      <c r="M55" s="722"/>
      <c r="N55" s="723"/>
      <c r="R55" s="71"/>
    </row>
    <row r="56" spans="1:18" s="64" customFormat="1" ht="15.75" x14ac:dyDescent="0.25">
      <c r="A56" s="72" t="e">
        <f>Delay!#REF!</f>
        <v>#REF!</v>
      </c>
      <c r="B56" s="72" t="e">
        <f>Delay!#REF!</f>
        <v>#REF!</v>
      </c>
      <c r="C56" s="73" t="e">
        <f>Delay!#REF!</f>
        <v>#REF!</v>
      </c>
      <c r="D56" s="72" t="e">
        <f>+Delay!#REF!</f>
        <v>#REF!</v>
      </c>
      <c r="E56" s="72" t="e">
        <f>+Delay!#REF!</f>
        <v>#REF!</v>
      </c>
      <c r="F56" s="74" t="e">
        <f>+Delay!#REF!</f>
        <v>#REF!</v>
      </c>
      <c r="G56" s="75" t="e">
        <f>+Delay!#REF!</f>
        <v>#REF!</v>
      </c>
      <c r="H56" s="76" t="e">
        <f>+Delay!#REF!</f>
        <v>#REF!</v>
      </c>
      <c r="I56" s="81" t="e">
        <f>+Delay!#REF!</f>
        <v>#REF!</v>
      </c>
      <c r="J56" s="78" t="e">
        <f>+Delay!#REF!</f>
        <v>#REF!</v>
      </c>
      <c r="K56" s="79"/>
      <c r="L56" s="72"/>
      <c r="M56" s="722"/>
      <c r="N56" s="723"/>
      <c r="R56" s="71"/>
    </row>
    <row r="57" spans="1:18" s="64" customFormat="1" ht="15.75" x14ac:dyDescent="0.25">
      <c r="A57" s="72" t="e">
        <f>Delay!#REF!</f>
        <v>#REF!</v>
      </c>
      <c r="B57" s="72" t="e">
        <f>Delay!#REF!</f>
        <v>#REF!</v>
      </c>
      <c r="C57" s="73" t="e">
        <f>Delay!#REF!</f>
        <v>#REF!</v>
      </c>
      <c r="D57" s="72" t="e">
        <f>+Delay!#REF!</f>
        <v>#REF!</v>
      </c>
      <c r="E57" s="72" t="e">
        <f>+Delay!#REF!</f>
        <v>#REF!</v>
      </c>
      <c r="F57" s="74" t="e">
        <f>+Delay!#REF!</f>
        <v>#REF!</v>
      </c>
      <c r="G57" s="75" t="e">
        <f>+Delay!#REF!</f>
        <v>#REF!</v>
      </c>
      <c r="H57" s="76" t="e">
        <f>+Delay!#REF!</f>
        <v>#REF!</v>
      </c>
      <c r="I57" s="81" t="e">
        <f>+Delay!#REF!</f>
        <v>#REF!</v>
      </c>
      <c r="J57" s="78" t="e">
        <f>+Delay!#REF!</f>
        <v>#REF!</v>
      </c>
      <c r="K57" s="79"/>
      <c r="L57" s="72"/>
      <c r="M57" s="722"/>
      <c r="N57" s="723"/>
      <c r="R57" s="71"/>
    </row>
    <row r="58" spans="1:18" s="64" customFormat="1" ht="15.75" x14ac:dyDescent="0.25">
      <c r="A58" s="72" t="e">
        <f>Delay!#REF!</f>
        <v>#REF!</v>
      </c>
      <c r="B58" s="72" t="e">
        <f>Delay!#REF!</f>
        <v>#REF!</v>
      </c>
      <c r="C58" s="73" t="e">
        <f>Delay!#REF!</f>
        <v>#REF!</v>
      </c>
      <c r="D58" s="72" t="e">
        <f>+Delay!#REF!</f>
        <v>#REF!</v>
      </c>
      <c r="E58" s="72" t="e">
        <f>+Delay!#REF!</f>
        <v>#REF!</v>
      </c>
      <c r="F58" s="74" t="e">
        <f>+Delay!#REF!</f>
        <v>#REF!</v>
      </c>
      <c r="G58" s="75" t="e">
        <f>+Delay!#REF!</f>
        <v>#REF!</v>
      </c>
      <c r="H58" s="76" t="e">
        <f>+Delay!#REF!</f>
        <v>#REF!</v>
      </c>
      <c r="I58" s="81" t="e">
        <f>+Delay!#REF!</f>
        <v>#REF!</v>
      </c>
      <c r="J58" s="78" t="e">
        <f>+Delay!#REF!</f>
        <v>#REF!</v>
      </c>
      <c r="K58" s="79"/>
      <c r="L58" s="72"/>
      <c r="M58" s="722"/>
      <c r="N58" s="723"/>
      <c r="R58" s="71"/>
    </row>
    <row r="59" spans="1:18" s="64" customFormat="1" ht="15.75" x14ac:dyDescent="0.25">
      <c r="A59" s="72" t="e">
        <f>Delay!#REF!</f>
        <v>#REF!</v>
      </c>
      <c r="B59" s="72" t="e">
        <f>Delay!#REF!</f>
        <v>#REF!</v>
      </c>
      <c r="C59" s="73" t="e">
        <f>Delay!#REF!</f>
        <v>#REF!</v>
      </c>
      <c r="D59" s="72" t="e">
        <f>+Delay!#REF!</f>
        <v>#REF!</v>
      </c>
      <c r="E59" s="72" t="e">
        <f>+Delay!#REF!</f>
        <v>#REF!</v>
      </c>
      <c r="F59" s="74" t="e">
        <f>+Delay!#REF!</f>
        <v>#REF!</v>
      </c>
      <c r="G59" s="75" t="e">
        <f>+Delay!#REF!</f>
        <v>#REF!</v>
      </c>
      <c r="H59" s="76" t="e">
        <f>+Delay!#REF!</f>
        <v>#REF!</v>
      </c>
      <c r="I59" s="81" t="e">
        <f>+Delay!#REF!</f>
        <v>#REF!</v>
      </c>
      <c r="J59" s="78" t="e">
        <f>+Delay!#REF!</f>
        <v>#REF!</v>
      </c>
      <c r="K59" s="79"/>
      <c r="L59" s="72"/>
      <c r="M59" s="722"/>
      <c r="N59" s="723"/>
      <c r="R59" s="71"/>
    </row>
    <row r="60" spans="1:18" s="64" customFormat="1" ht="78.75" x14ac:dyDescent="0.25">
      <c r="A60" s="72" t="str">
        <f>Delay!I25</f>
        <v>Force Majure Event</v>
      </c>
      <c r="B60" s="72" t="str">
        <f>Delay!B25</f>
        <v>9641-C-83588-CFC-0736</v>
      </c>
      <c r="C60" s="73">
        <f>Delay!AO25</f>
        <v>0</v>
      </c>
      <c r="D60" s="72" t="str">
        <f>+Delay!G25</f>
        <v>Tropical Cyclone Damian</v>
      </c>
      <c r="E60" s="72" t="str">
        <f>+Delay!H25</f>
        <v>The Force Majeure Event relates to Tropical Cyclone Damian which has impacted Contractor’s Works under Contract. While on Blue Alert Status, Contractor had to suspend part of its works activities on Saturday 8 February 2020, and all its work activities on Sunday 9 February 2020 as a result of the inclement weather brought on by Tropical Cyclone Damian.</v>
      </c>
      <c r="F60" s="74" t="str">
        <f>+Delay!L25</f>
        <v>TBC</v>
      </c>
      <c r="G60" s="75" t="str">
        <f>+Delay!K25</f>
        <v>TBC</v>
      </c>
      <c r="H60" s="76">
        <f>+Delay!AK25</f>
        <v>0</v>
      </c>
      <c r="I60" s="81" t="str">
        <f>+Delay!AM25</f>
        <v>With Company for Review</v>
      </c>
      <c r="J60" s="78">
        <f>+Delay!BA25</f>
        <v>0</v>
      </c>
      <c r="K60" s="79"/>
      <c r="L60" s="72"/>
      <c r="M60" s="722"/>
      <c r="N60" s="723"/>
      <c r="R60" s="71"/>
    </row>
    <row r="61" spans="1:18" s="64" customFormat="1" ht="56.25" x14ac:dyDescent="0.25">
      <c r="A61" s="72" t="str">
        <f>Delay!I26</f>
        <v>Variation Direction</v>
      </c>
      <c r="B61" s="72" t="str">
        <f>Delay!B26</f>
        <v>9641-C-83588-CFC-0759</v>
      </c>
      <c r="C61" s="73">
        <f>Delay!AO26</f>
        <v>0</v>
      </c>
      <c r="D61" s="72" t="str">
        <f>+Delay!G26</f>
        <v>Substation SUB440</v>
      </c>
      <c r="E61" s="72" t="str">
        <f>+Delay!H26</f>
        <v>Company issued Aconex correspondence BHPSFP-MEMO-054294 directing Contractor to undertake the construction of the crane pads and access ramps as detailed in the accompanying model extract “SUB440 Crane Pad”, and that the works need to be completed by 26 February 2020.</v>
      </c>
      <c r="F61" s="74" t="str">
        <f>+Delay!L26</f>
        <v>19, 21</v>
      </c>
      <c r="G61" s="75" t="str">
        <f>+Delay!K26</f>
        <v>TBC</v>
      </c>
      <c r="H61" s="76">
        <f>+Delay!AK26</f>
        <v>0</v>
      </c>
      <c r="I61" s="81" t="str">
        <f>+Delay!AM26</f>
        <v>With Company for Review</v>
      </c>
      <c r="J61" s="78">
        <f>+Delay!BA26</f>
        <v>0</v>
      </c>
      <c r="K61" s="79"/>
      <c r="L61" s="72"/>
      <c r="M61" s="722"/>
      <c r="N61" s="723"/>
      <c r="R61" s="71"/>
    </row>
    <row r="62" spans="1:18" s="64" customFormat="1" ht="15.75" x14ac:dyDescent="0.25">
      <c r="A62" s="72" t="e">
        <f>Delay!#REF!</f>
        <v>#REF!</v>
      </c>
      <c r="B62" s="72" t="e">
        <f>Delay!#REF!</f>
        <v>#REF!</v>
      </c>
      <c r="C62" s="73" t="e">
        <f>Delay!#REF!</f>
        <v>#REF!</v>
      </c>
      <c r="D62" s="72" t="e">
        <f>+Delay!#REF!</f>
        <v>#REF!</v>
      </c>
      <c r="E62" s="72" t="e">
        <f>+Delay!#REF!</f>
        <v>#REF!</v>
      </c>
      <c r="F62" s="74" t="e">
        <f>+Delay!#REF!</f>
        <v>#REF!</v>
      </c>
      <c r="G62" s="75" t="e">
        <f>+Delay!#REF!</f>
        <v>#REF!</v>
      </c>
      <c r="H62" s="76" t="e">
        <f>+Delay!#REF!</f>
        <v>#REF!</v>
      </c>
      <c r="I62" s="81" t="e">
        <f>+Delay!#REF!</f>
        <v>#REF!</v>
      </c>
      <c r="J62" s="78" t="e">
        <f>+Delay!#REF!</f>
        <v>#REF!</v>
      </c>
      <c r="K62" s="79"/>
      <c r="L62" s="72"/>
      <c r="M62" s="722"/>
      <c r="N62" s="723"/>
      <c r="R62" s="71"/>
    </row>
    <row r="63" spans="1:18" s="64" customFormat="1" ht="15.75" x14ac:dyDescent="0.25">
      <c r="A63" s="72" t="e">
        <f>Delay!#REF!</f>
        <v>#REF!</v>
      </c>
      <c r="B63" s="72" t="e">
        <f>Delay!#REF!</f>
        <v>#REF!</v>
      </c>
      <c r="C63" s="73" t="e">
        <f>Delay!#REF!</f>
        <v>#REF!</v>
      </c>
      <c r="D63" s="72" t="e">
        <f>+Delay!#REF!</f>
        <v>#REF!</v>
      </c>
      <c r="E63" s="72" t="e">
        <f>+Delay!#REF!</f>
        <v>#REF!</v>
      </c>
      <c r="F63" s="74" t="e">
        <f>+Delay!#REF!</f>
        <v>#REF!</v>
      </c>
      <c r="G63" s="75" t="e">
        <f>+Delay!#REF!</f>
        <v>#REF!</v>
      </c>
      <c r="H63" s="76" t="e">
        <f>+Delay!#REF!</f>
        <v>#REF!</v>
      </c>
      <c r="I63" s="81" t="e">
        <f>+Delay!#REF!</f>
        <v>#REF!</v>
      </c>
      <c r="J63" s="78" t="e">
        <f>+Delay!#REF!</f>
        <v>#REF!</v>
      </c>
      <c r="K63" s="79"/>
      <c r="L63" s="72"/>
      <c r="M63" s="722"/>
      <c r="N63" s="723"/>
      <c r="R63" s="71"/>
    </row>
    <row r="64" spans="1:18" s="64" customFormat="1" ht="67.5" x14ac:dyDescent="0.25">
      <c r="A64" s="72" t="str">
        <f>Delay!I27</f>
        <v>Variation Direction</v>
      </c>
      <c r="B64" s="72" t="str">
        <f>Delay!B27</f>
        <v>9641-C-83588-CFC-0794</v>
      </c>
      <c r="C64" s="73">
        <f>Delay!AO27</f>
        <v>0</v>
      </c>
      <c r="D64" s="72" t="str">
        <f>+Delay!G27</f>
        <v>Milestone 21 – Overland Conveyor CV413 Earthworks and Concrete</v>
      </c>
      <c r="E64" s="72" t="str">
        <f>+Delay!H27</f>
        <v>The substantial increase in the quantum of the concrete works to be undertaken, specifically the concrete walls; and
Company’s failure to provide Contractor with the control network for the CV413 works area for the works undertaken by Company’s other contractor NRW.</v>
      </c>
      <c r="F64" s="74">
        <f>+Delay!L27</f>
        <v>21</v>
      </c>
      <c r="G64" s="75" t="str">
        <f>+Delay!K27</f>
        <v>TBC</v>
      </c>
      <c r="H64" s="76">
        <f>+Delay!AK27</f>
        <v>0</v>
      </c>
      <c r="I64" s="81" t="str">
        <f>+Delay!AM27</f>
        <v>With Company for Review</v>
      </c>
      <c r="J64" s="78">
        <f>+Delay!BA27</f>
        <v>0</v>
      </c>
      <c r="K64" s="79"/>
      <c r="L64" s="72"/>
      <c r="M64" s="722"/>
      <c r="N64" s="723"/>
      <c r="R64" s="71"/>
    </row>
    <row r="65" spans="1:18" s="64" customFormat="1" ht="15.75" x14ac:dyDescent="0.25">
      <c r="A65" s="72" t="e">
        <f>Delay!#REF!</f>
        <v>#REF!</v>
      </c>
      <c r="B65" s="72" t="e">
        <f>Delay!#REF!</f>
        <v>#REF!</v>
      </c>
      <c r="C65" s="73" t="e">
        <f>Delay!#REF!</f>
        <v>#REF!</v>
      </c>
      <c r="D65" s="72" t="e">
        <f>+Delay!#REF!</f>
        <v>#REF!</v>
      </c>
      <c r="E65" s="72" t="e">
        <f>+Delay!#REF!</f>
        <v>#REF!</v>
      </c>
      <c r="F65" s="74" t="e">
        <f>+Delay!#REF!</f>
        <v>#REF!</v>
      </c>
      <c r="G65" s="75" t="e">
        <f>+Delay!#REF!</f>
        <v>#REF!</v>
      </c>
      <c r="H65" s="76" t="e">
        <f>+Delay!#REF!</f>
        <v>#REF!</v>
      </c>
      <c r="I65" s="81" t="e">
        <f>+Delay!#REF!</f>
        <v>#REF!</v>
      </c>
      <c r="J65" s="78" t="e">
        <f>+Delay!#REF!</f>
        <v>#REF!</v>
      </c>
      <c r="K65" s="79"/>
      <c r="L65" s="72"/>
      <c r="M65" s="722"/>
      <c r="N65" s="723"/>
      <c r="R65" s="71"/>
    </row>
    <row r="66" spans="1:18" s="64" customFormat="1" ht="67.5" x14ac:dyDescent="0.25">
      <c r="A66" s="72" t="str">
        <f>Delay!I28</f>
        <v>Variation Direction</v>
      </c>
      <c r="B66" s="72" t="str">
        <f>Delay!B28</f>
        <v>9641-C-83588-CFC-0799</v>
      </c>
      <c r="C66" s="73">
        <f>Delay!AO28</f>
        <v>0</v>
      </c>
      <c r="D66" s="72" t="str">
        <f>+Delay!G28</f>
        <v>HSE Management COVID-19</v>
      </c>
      <c r="E66" s="72" t="str">
        <f>+Delay!H28</f>
        <v>Contractor considers that Company correspondence reference 9641-C-83588-CTC-0951 dated 13 March 2020 constitutes a Direction giving rise to a Variation (as noted in Contractor’s Notice of Variation issued on 19 March 2020, Contractor correspondence reference 9641-C-83588-CFC-0798).</v>
      </c>
      <c r="F66" s="74" t="str">
        <f>+Delay!L28</f>
        <v>11, 14, 20, 22, 24, 25</v>
      </c>
      <c r="G66" s="75" t="str">
        <f>+Delay!K28</f>
        <v>TBC</v>
      </c>
      <c r="H66" s="76">
        <f>+Delay!AK28</f>
        <v>0</v>
      </c>
      <c r="I66" s="81" t="str">
        <f>+Delay!AM28</f>
        <v>With Company for Review</v>
      </c>
      <c r="J66" s="78">
        <f>+Delay!BA28</f>
        <v>0</v>
      </c>
      <c r="K66" s="79"/>
      <c r="L66" s="72"/>
      <c r="M66" s="722"/>
      <c r="N66" s="723"/>
      <c r="R66" s="71"/>
    </row>
    <row r="67" spans="1:18" s="64" customFormat="1" ht="22.5" x14ac:dyDescent="0.25">
      <c r="A67" s="72" t="str">
        <f>Delay!I29</f>
        <v>Variation Direction</v>
      </c>
      <c r="B67" s="72" t="str">
        <f>Delay!B29</f>
        <v>9641-C-83588-CFC-0813</v>
      </c>
      <c r="C67" s="73">
        <f>Delay!AO29</f>
        <v>0</v>
      </c>
      <c r="D67" s="72" t="str">
        <f>+Delay!G29</f>
        <v>Concrete Works – Increased Quantities</v>
      </c>
      <c r="E67" s="72" t="str">
        <f>+Delay!H29</f>
        <v>The Variation relates to the increase in the concrete works quantities from Contract Award.</v>
      </c>
      <c r="F67" s="74" t="str">
        <f>+Delay!L29</f>
        <v>TBC</v>
      </c>
      <c r="G67" s="75" t="str">
        <f>+Delay!K29</f>
        <v>TBC</v>
      </c>
      <c r="H67" s="76">
        <f>+Delay!AK29</f>
        <v>0</v>
      </c>
      <c r="I67" s="81" t="str">
        <f>+Delay!AM29</f>
        <v>With Company for Review</v>
      </c>
      <c r="J67" s="78">
        <f>+Delay!BA29</f>
        <v>0</v>
      </c>
      <c r="K67" s="79"/>
      <c r="L67" s="72"/>
      <c r="M67" s="722"/>
      <c r="N67" s="723"/>
      <c r="R67" s="71"/>
    </row>
    <row r="68" spans="1:18" s="64" customFormat="1" ht="24.75" customHeight="1" x14ac:dyDescent="0.25">
      <c r="A68" s="72" t="e">
        <f>Delay!#REF!</f>
        <v>#REF!</v>
      </c>
      <c r="B68" s="72" t="e">
        <f>Delay!#REF!</f>
        <v>#REF!</v>
      </c>
      <c r="C68" s="73" t="e">
        <f>Delay!#REF!</f>
        <v>#REF!</v>
      </c>
      <c r="D68" s="72" t="e">
        <f>+Delay!#REF!</f>
        <v>#REF!</v>
      </c>
      <c r="E68" s="72" t="e">
        <f>+Delay!#REF!</f>
        <v>#REF!</v>
      </c>
      <c r="F68" s="74" t="e">
        <f>+Delay!#REF!</f>
        <v>#REF!</v>
      </c>
      <c r="G68" s="75" t="e">
        <f>+Delay!#REF!</f>
        <v>#REF!</v>
      </c>
      <c r="H68" s="76" t="e">
        <f>+Delay!#REF!</f>
        <v>#REF!</v>
      </c>
      <c r="I68" s="81" t="e">
        <f>+Delay!#REF!</f>
        <v>#REF!</v>
      </c>
      <c r="J68" s="78" t="e">
        <f>+Delay!#REF!</f>
        <v>#REF!</v>
      </c>
      <c r="K68" s="79"/>
      <c r="L68" s="72"/>
      <c r="M68" s="722"/>
      <c r="N68" s="723"/>
      <c r="R68" s="71"/>
    </row>
    <row r="69" spans="1:18" s="64" customFormat="1" ht="24.75" customHeight="1" x14ac:dyDescent="0.25">
      <c r="A69" s="72" t="e">
        <f>Delay!#REF!</f>
        <v>#REF!</v>
      </c>
      <c r="B69" s="72" t="e">
        <f>Delay!#REF!</f>
        <v>#REF!</v>
      </c>
      <c r="C69" s="73" t="e">
        <f>Delay!#REF!</f>
        <v>#REF!</v>
      </c>
      <c r="D69" s="72" t="e">
        <f>+Delay!#REF!</f>
        <v>#REF!</v>
      </c>
      <c r="E69" s="72" t="e">
        <f>+Delay!#REF!</f>
        <v>#REF!</v>
      </c>
      <c r="F69" s="74" t="e">
        <f>+Delay!#REF!</f>
        <v>#REF!</v>
      </c>
      <c r="G69" s="75" t="e">
        <f>+Delay!#REF!</f>
        <v>#REF!</v>
      </c>
      <c r="H69" s="76" t="e">
        <f>+Delay!#REF!</f>
        <v>#REF!</v>
      </c>
      <c r="I69" s="81" t="e">
        <f>+Delay!#REF!</f>
        <v>#REF!</v>
      </c>
      <c r="J69" s="78" t="e">
        <f>+Delay!#REF!</f>
        <v>#REF!</v>
      </c>
      <c r="K69" s="79"/>
      <c r="L69" s="72"/>
      <c r="M69" s="722"/>
      <c r="N69" s="723"/>
      <c r="R69" s="71"/>
    </row>
    <row r="70" spans="1:18" s="64" customFormat="1" ht="24.75" customHeight="1" x14ac:dyDescent="0.25">
      <c r="A70" s="72" t="e">
        <f>Delay!#REF!</f>
        <v>#REF!</v>
      </c>
      <c r="B70" s="72" t="e">
        <f>Delay!#REF!</f>
        <v>#REF!</v>
      </c>
      <c r="C70" s="73" t="e">
        <f>Delay!#REF!</f>
        <v>#REF!</v>
      </c>
      <c r="D70" s="72" t="e">
        <f>+Delay!#REF!</f>
        <v>#REF!</v>
      </c>
      <c r="E70" s="72" t="e">
        <f>+Delay!#REF!</f>
        <v>#REF!</v>
      </c>
      <c r="F70" s="74" t="e">
        <f>+Delay!#REF!</f>
        <v>#REF!</v>
      </c>
      <c r="G70" s="75" t="e">
        <f>+Delay!#REF!</f>
        <v>#REF!</v>
      </c>
      <c r="H70" s="76" t="e">
        <f>+Delay!#REF!</f>
        <v>#REF!</v>
      </c>
      <c r="I70" s="81" t="e">
        <f>+Delay!#REF!</f>
        <v>#REF!</v>
      </c>
      <c r="J70" s="78" t="e">
        <f>+Delay!#REF!</f>
        <v>#REF!</v>
      </c>
      <c r="K70" s="79"/>
      <c r="L70" s="72"/>
      <c r="M70" s="722"/>
      <c r="N70" s="723"/>
      <c r="R70" s="71"/>
    </row>
    <row r="71" spans="1:18" s="64" customFormat="1" ht="24.75" customHeight="1" x14ac:dyDescent="0.25">
      <c r="A71" s="72" t="e">
        <f>Delay!#REF!</f>
        <v>#REF!</v>
      </c>
      <c r="B71" s="72" t="e">
        <f>Delay!#REF!</f>
        <v>#REF!</v>
      </c>
      <c r="C71" s="73" t="e">
        <f>Delay!#REF!</f>
        <v>#REF!</v>
      </c>
      <c r="D71" s="72" t="e">
        <f>+Delay!#REF!</f>
        <v>#REF!</v>
      </c>
      <c r="E71" s="72" t="e">
        <f>+Delay!#REF!</f>
        <v>#REF!</v>
      </c>
      <c r="F71" s="74" t="e">
        <f>+Delay!#REF!</f>
        <v>#REF!</v>
      </c>
      <c r="G71" s="75" t="e">
        <f>+Delay!#REF!</f>
        <v>#REF!</v>
      </c>
      <c r="H71" s="76" t="e">
        <f>+Delay!#REF!</f>
        <v>#REF!</v>
      </c>
      <c r="I71" s="81" t="e">
        <f>+Delay!#REF!</f>
        <v>#REF!</v>
      </c>
      <c r="J71" s="78" t="e">
        <f>+Delay!#REF!</f>
        <v>#REF!</v>
      </c>
      <c r="K71" s="79"/>
      <c r="L71" s="72"/>
      <c r="M71" s="722"/>
      <c r="N71" s="723"/>
      <c r="R71" s="71"/>
    </row>
    <row r="72" spans="1:18" s="64" customFormat="1" ht="24.75" customHeight="1" x14ac:dyDescent="0.25">
      <c r="A72" s="72" t="e">
        <f>Delay!#REF!</f>
        <v>#REF!</v>
      </c>
      <c r="B72" s="72" t="e">
        <f>Delay!#REF!</f>
        <v>#REF!</v>
      </c>
      <c r="C72" s="73" t="e">
        <f>Delay!#REF!</f>
        <v>#REF!</v>
      </c>
      <c r="D72" s="72" t="e">
        <f>+Delay!#REF!</f>
        <v>#REF!</v>
      </c>
      <c r="E72" s="72" t="e">
        <f>+Delay!#REF!</f>
        <v>#REF!</v>
      </c>
      <c r="F72" s="74" t="e">
        <f>+Delay!#REF!</f>
        <v>#REF!</v>
      </c>
      <c r="G72" s="75" t="e">
        <f>+Delay!#REF!</f>
        <v>#REF!</v>
      </c>
      <c r="H72" s="76" t="e">
        <f>+Delay!#REF!</f>
        <v>#REF!</v>
      </c>
      <c r="I72" s="81" t="e">
        <f>+Delay!#REF!</f>
        <v>#REF!</v>
      </c>
      <c r="J72" s="78" t="e">
        <f>+Delay!#REF!</f>
        <v>#REF!</v>
      </c>
      <c r="K72" s="79"/>
      <c r="L72" s="72"/>
      <c r="M72" s="722"/>
      <c r="N72" s="723"/>
      <c r="R72" s="71"/>
    </row>
    <row r="73" spans="1:18" s="64" customFormat="1" ht="24.75" customHeight="1" x14ac:dyDescent="0.25">
      <c r="A73" s="72" t="e">
        <f>Delay!#REF!</f>
        <v>#REF!</v>
      </c>
      <c r="B73" s="72" t="e">
        <f>Delay!#REF!</f>
        <v>#REF!</v>
      </c>
      <c r="C73" s="73" t="e">
        <f>Delay!#REF!</f>
        <v>#REF!</v>
      </c>
      <c r="D73" s="72" t="e">
        <f>+Delay!#REF!</f>
        <v>#REF!</v>
      </c>
      <c r="E73" s="72" t="e">
        <f>+Delay!#REF!</f>
        <v>#REF!</v>
      </c>
      <c r="F73" s="74" t="e">
        <f>+Delay!#REF!</f>
        <v>#REF!</v>
      </c>
      <c r="G73" s="75" t="e">
        <f>+Delay!#REF!</f>
        <v>#REF!</v>
      </c>
      <c r="H73" s="76" t="e">
        <f>+Delay!#REF!</f>
        <v>#REF!</v>
      </c>
      <c r="I73" s="81" t="e">
        <f>+Delay!#REF!</f>
        <v>#REF!</v>
      </c>
      <c r="J73" s="78" t="e">
        <f>+Delay!#REF!</f>
        <v>#REF!</v>
      </c>
      <c r="K73" s="79"/>
      <c r="L73" s="72"/>
      <c r="M73" s="722"/>
      <c r="N73" s="723"/>
      <c r="R73" s="71"/>
    </row>
    <row r="74" spans="1:18" s="64" customFormat="1" ht="24.75" customHeight="1" x14ac:dyDescent="0.25">
      <c r="A74" s="72" t="str">
        <f>Delay!I30</f>
        <v>Variation Direction</v>
      </c>
      <c r="B74" s="72" t="str">
        <f>Delay!B30</f>
        <v>9641-C-83588-CFC-0883</v>
      </c>
      <c r="C74" s="73">
        <f>Delay!AO30</f>
        <v>0</v>
      </c>
      <c r="D74" s="72" t="str">
        <f>+Delay!G30</f>
        <v>Underground Services Model</v>
      </c>
      <c r="E74" s="72" t="str">
        <f>+Delay!H30</f>
        <v>The Variation relates to the ongoing revisions to the underground services model, and Company’s direction to utilise the most recent model included in CTC-1044.</v>
      </c>
      <c r="F74" s="74" t="str">
        <f>+Delay!L30</f>
        <v>TBC</v>
      </c>
      <c r="G74" s="75" t="str">
        <f>+Delay!K30</f>
        <v>TBC</v>
      </c>
      <c r="H74" s="76">
        <f>+Delay!AK30</f>
        <v>0</v>
      </c>
      <c r="I74" s="81" t="str">
        <f>+Delay!AM30</f>
        <v>With Company for Review</v>
      </c>
      <c r="J74" s="78">
        <f>+Delay!BA30</f>
        <v>0</v>
      </c>
      <c r="K74" s="79"/>
      <c r="L74" s="72"/>
      <c r="M74" s="722"/>
      <c r="N74" s="723"/>
      <c r="R74" s="71"/>
    </row>
    <row r="75" spans="1:18" s="64" customFormat="1" ht="24.75" customHeight="1" x14ac:dyDescent="0.25">
      <c r="A75" s="72" t="str">
        <f>Delay!I31</f>
        <v>Variation Direction</v>
      </c>
      <c r="B75" s="72" t="str">
        <f>Delay!B31</f>
        <v>9641-C-83588-CFC-0889</v>
      </c>
      <c r="C75" s="73">
        <f>Delay!AO31</f>
        <v>0</v>
      </c>
      <c r="D75" s="72" t="str">
        <f>+Delay!G31</f>
        <v>Module Access Route Modifications (SI125)</v>
      </c>
      <c r="E75" s="72" t="str">
        <f>+Delay!H31</f>
        <v>The variation relates to the Works directed in SI-125 and the required completion date of 20 May 2020.</v>
      </c>
      <c r="F75" s="74" t="str">
        <f>+Delay!L31</f>
        <v>TBC</v>
      </c>
      <c r="G75" s="75" t="str">
        <f>+Delay!K31</f>
        <v>TBC</v>
      </c>
      <c r="H75" s="76">
        <f>+Delay!AK31</f>
        <v>0</v>
      </c>
      <c r="I75" s="81" t="str">
        <f>+Delay!AM31</f>
        <v>With Company for Review</v>
      </c>
      <c r="J75" s="78">
        <f>+Delay!BA31</f>
        <v>0</v>
      </c>
      <c r="K75" s="79"/>
      <c r="L75" s="72"/>
      <c r="M75" s="722"/>
      <c r="N75" s="723"/>
      <c r="R75" s="71"/>
    </row>
    <row r="76" spans="1:18" s="64" customFormat="1" ht="24.75" customHeight="1" x14ac:dyDescent="0.25">
      <c r="A76" s="72"/>
      <c r="B76" s="73"/>
      <c r="C76" s="73"/>
      <c r="D76" s="72"/>
      <c r="E76" s="72"/>
      <c r="F76" s="75"/>
      <c r="G76" s="75"/>
      <c r="H76" s="76"/>
      <c r="I76" s="76"/>
      <c r="J76" s="78"/>
      <c r="K76" s="79"/>
      <c r="L76" s="72"/>
      <c r="M76" s="722"/>
      <c r="N76" s="723"/>
      <c r="R76" s="71"/>
    </row>
    <row r="77" spans="1:18" s="64" customFormat="1" ht="24.75" customHeight="1" x14ac:dyDescent="0.25">
      <c r="A77" s="72"/>
      <c r="B77" s="73"/>
      <c r="C77" s="73"/>
      <c r="D77" s="72"/>
      <c r="E77" s="72"/>
      <c r="F77" s="75"/>
      <c r="G77" s="75"/>
      <c r="H77" s="76"/>
      <c r="I77" s="76"/>
      <c r="J77" s="78"/>
      <c r="K77" s="79"/>
      <c r="L77" s="72"/>
      <c r="M77" s="722"/>
      <c r="N77" s="723"/>
      <c r="R77" s="71"/>
    </row>
    <row r="78" spans="1:18" s="64" customFormat="1" ht="24.75" customHeight="1" x14ac:dyDescent="0.25">
      <c r="A78" s="72"/>
      <c r="B78" s="73"/>
      <c r="C78" s="73"/>
      <c r="D78" s="72"/>
      <c r="E78" s="72"/>
      <c r="F78" s="75"/>
      <c r="G78" s="75"/>
      <c r="H78" s="76"/>
      <c r="I78" s="76"/>
      <c r="J78" s="78"/>
      <c r="K78" s="79"/>
      <c r="L78" s="72"/>
      <c r="M78" s="722"/>
      <c r="N78" s="723"/>
      <c r="R78" s="71"/>
    </row>
    <row r="79" spans="1:18" s="64" customFormat="1" ht="24.75" customHeight="1" x14ac:dyDescent="0.25">
      <c r="A79" s="72"/>
      <c r="B79" s="73"/>
      <c r="C79" s="73"/>
      <c r="D79" s="72"/>
      <c r="E79" s="72"/>
      <c r="F79" s="75"/>
      <c r="G79" s="75"/>
      <c r="H79" s="76"/>
      <c r="I79" s="76"/>
      <c r="J79" s="78"/>
      <c r="K79" s="79"/>
      <c r="L79" s="72"/>
      <c r="M79" s="722"/>
      <c r="N79" s="723"/>
      <c r="R79" s="71"/>
    </row>
    <row r="80" spans="1:18" s="64" customFormat="1" ht="24.75" customHeight="1" x14ac:dyDescent="0.25">
      <c r="A80" s="72"/>
      <c r="B80" s="73"/>
      <c r="C80" s="73"/>
      <c r="D80" s="72"/>
      <c r="E80" s="72"/>
      <c r="F80" s="75"/>
      <c r="G80" s="75"/>
      <c r="H80" s="76"/>
      <c r="I80" s="76"/>
      <c r="J80" s="78"/>
      <c r="K80" s="79"/>
      <c r="L80" s="72"/>
      <c r="M80" s="722"/>
      <c r="N80" s="723"/>
      <c r="R80" s="71"/>
    </row>
    <row r="81" spans="1:18" s="64" customFormat="1" ht="24.75" customHeight="1" x14ac:dyDescent="0.25">
      <c r="A81" s="72"/>
      <c r="B81" s="73"/>
      <c r="C81" s="73"/>
      <c r="D81" s="72"/>
      <c r="E81" s="72"/>
      <c r="F81" s="75"/>
      <c r="G81" s="75"/>
      <c r="H81" s="76"/>
      <c r="I81" s="76"/>
      <c r="J81" s="78"/>
      <c r="K81" s="79"/>
      <c r="L81" s="72"/>
      <c r="M81" s="722"/>
      <c r="N81" s="723"/>
      <c r="R81" s="71"/>
    </row>
    <row r="82" spans="1:18" s="64" customFormat="1" ht="24.75" customHeight="1" x14ac:dyDescent="0.25">
      <c r="A82" s="72"/>
      <c r="B82" s="73"/>
      <c r="C82" s="73"/>
      <c r="D82" s="72"/>
      <c r="E82" s="72"/>
      <c r="F82" s="75"/>
      <c r="G82" s="75"/>
      <c r="H82" s="76"/>
      <c r="I82" s="76"/>
      <c r="J82" s="78"/>
      <c r="K82" s="79"/>
      <c r="L82" s="72"/>
      <c r="M82" s="722"/>
      <c r="N82" s="723"/>
      <c r="R82" s="71"/>
    </row>
    <row r="83" spans="1:18" s="64" customFormat="1" ht="24.75" customHeight="1" x14ac:dyDescent="0.25">
      <c r="A83" s="72"/>
      <c r="B83" s="73"/>
      <c r="C83" s="73"/>
      <c r="D83" s="72"/>
      <c r="E83" s="72"/>
      <c r="F83" s="75"/>
      <c r="G83" s="75"/>
      <c r="H83" s="76"/>
      <c r="I83" s="76"/>
      <c r="J83" s="78"/>
      <c r="K83" s="79"/>
      <c r="L83" s="72"/>
      <c r="M83" s="722"/>
      <c r="N83" s="723"/>
      <c r="R83" s="71"/>
    </row>
    <row r="84" spans="1:18" s="64" customFormat="1" ht="24.75" customHeight="1" x14ac:dyDescent="0.25">
      <c r="A84" s="72"/>
      <c r="B84" s="73"/>
      <c r="C84" s="73"/>
      <c r="D84" s="72"/>
      <c r="E84" s="72"/>
      <c r="F84" s="75"/>
      <c r="G84" s="75"/>
      <c r="H84" s="76"/>
      <c r="I84" s="76"/>
      <c r="J84" s="78"/>
      <c r="K84" s="79"/>
      <c r="L84" s="72"/>
      <c r="M84" s="722"/>
      <c r="N84" s="723"/>
      <c r="R84" s="71"/>
    </row>
    <row r="85" spans="1:18" s="64" customFormat="1" ht="24.75" customHeight="1" x14ac:dyDescent="0.25">
      <c r="A85" s="72"/>
      <c r="B85" s="73"/>
      <c r="C85" s="73"/>
      <c r="D85" s="72"/>
      <c r="E85" s="72"/>
      <c r="F85" s="75"/>
      <c r="G85" s="75"/>
      <c r="H85" s="76"/>
      <c r="I85" s="76"/>
      <c r="J85" s="78"/>
      <c r="K85" s="79"/>
      <c r="L85" s="72"/>
      <c r="M85" s="722"/>
      <c r="N85" s="723"/>
      <c r="R85" s="71"/>
    </row>
    <row r="86" spans="1:18" s="64" customFormat="1" ht="24.75" customHeight="1" x14ac:dyDescent="0.25">
      <c r="A86" s="72"/>
      <c r="B86" s="73"/>
      <c r="C86" s="73"/>
      <c r="D86" s="72"/>
      <c r="E86" s="72"/>
      <c r="F86" s="75"/>
      <c r="G86" s="75"/>
      <c r="H86" s="76"/>
      <c r="I86" s="76"/>
      <c r="J86" s="78"/>
      <c r="K86" s="79"/>
      <c r="L86" s="72"/>
      <c r="M86" s="722"/>
      <c r="N86" s="723"/>
      <c r="R86" s="71"/>
    </row>
    <row r="87" spans="1:18" s="64" customFormat="1" ht="24.75" customHeight="1" x14ac:dyDescent="0.25">
      <c r="A87" s="72"/>
      <c r="B87" s="73"/>
      <c r="C87" s="73"/>
      <c r="D87" s="72"/>
      <c r="E87" s="72"/>
      <c r="F87" s="75"/>
      <c r="G87" s="75"/>
      <c r="H87" s="76"/>
      <c r="I87" s="76"/>
      <c r="J87" s="78"/>
      <c r="K87" s="79"/>
      <c r="L87" s="72"/>
      <c r="M87" s="722"/>
      <c r="N87" s="723"/>
      <c r="R87" s="71"/>
    </row>
    <row r="88" spans="1:18" s="64" customFormat="1" ht="24.75" customHeight="1" x14ac:dyDescent="0.25">
      <c r="A88" s="72"/>
      <c r="B88" s="73"/>
      <c r="C88" s="73"/>
      <c r="D88" s="72"/>
      <c r="E88" s="72"/>
      <c r="F88" s="75"/>
      <c r="G88" s="75"/>
      <c r="H88" s="76"/>
      <c r="I88" s="76"/>
      <c r="J88" s="78"/>
      <c r="K88" s="79"/>
      <c r="L88" s="72"/>
      <c r="M88" s="722"/>
      <c r="N88" s="723"/>
      <c r="R88" s="71"/>
    </row>
    <row r="89" spans="1:18" s="64" customFormat="1" ht="24.75" customHeight="1" x14ac:dyDescent="0.25">
      <c r="A89" s="72"/>
      <c r="B89" s="73"/>
      <c r="C89" s="73"/>
      <c r="D89" s="72"/>
      <c r="E89" s="72"/>
      <c r="F89" s="75"/>
      <c r="G89" s="75"/>
      <c r="H89" s="76"/>
      <c r="I89" s="76"/>
      <c r="J89" s="78"/>
      <c r="K89" s="79"/>
      <c r="L89" s="72"/>
      <c r="M89" s="722"/>
      <c r="N89" s="723"/>
      <c r="R89" s="71"/>
    </row>
    <row r="90" spans="1:18" s="64" customFormat="1" ht="24.75" customHeight="1" x14ac:dyDescent="0.25">
      <c r="A90" s="72"/>
      <c r="B90" s="73"/>
      <c r="C90" s="73"/>
      <c r="D90" s="72"/>
      <c r="E90" s="72"/>
      <c r="F90" s="75"/>
      <c r="G90" s="75"/>
      <c r="H90" s="76"/>
      <c r="I90" s="76"/>
      <c r="J90" s="78"/>
      <c r="K90" s="79"/>
      <c r="L90" s="72"/>
      <c r="M90" s="722"/>
      <c r="N90" s="723"/>
      <c r="R90" s="71"/>
    </row>
    <row r="91" spans="1:18" s="64" customFormat="1" ht="24.75" customHeight="1" x14ac:dyDescent="0.25">
      <c r="A91" s="72"/>
      <c r="B91" s="73"/>
      <c r="C91" s="73"/>
      <c r="D91" s="72"/>
      <c r="E91" s="72"/>
      <c r="F91" s="75"/>
      <c r="G91" s="75"/>
      <c r="H91" s="76"/>
      <c r="I91" s="76"/>
      <c r="J91" s="78"/>
      <c r="K91" s="79"/>
      <c r="L91" s="72"/>
      <c r="M91" s="722"/>
      <c r="N91" s="723"/>
      <c r="R91" s="71"/>
    </row>
    <row r="92" spans="1:18" s="64" customFormat="1" ht="24.75" customHeight="1" x14ac:dyDescent="0.25">
      <c r="A92" s="72"/>
      <c r="B92" s="73"/>
      <c r="C92" s="73"/>
      <c r="D92" s="72"/>
      <c r="E92" s="72"/>
      <c r="F92" s="75"/>
      <c r="G92" s="75"/>
      <c r="H92" s="76"/>
      <c r="I92" s="76"/>
      <c r="J92" s="78"/>
      <c r="K92" s="79"/>
      <c r="L92" s="72"/>
      <c r="M92" s="722"/>
      <c r="N92" s="723"/>
      <c r="R92" s="71"/>
    </row>
    <row r="93" spans="1:18" s="64" customFormat="1" ht="24.75" customHeight="1" x14ac:dyDescent="0.25">
      <c r="A93" s="72"/>
      <c r="B93" s="73"/>
      <c r="C93" s="73"/>
      <c r="D93" s="72"/>
      <c r="E93" s="72"/>
      <c r="F93" s="75"/>
      <c r="G93" s="75"/>
      <c r="H93" s="76"/>
      <c r="I93" s="76"/>
      <c r="J93" s="78"/>
      <c r="K93" s="79"/>
      <c r="L93" s="72"/>
      <c r="M93" s="722"/>
      <c r="N93" s="723"/>
      <c r="R93" s="71"/>
    </row>
    <row r="94" spans="1:18" s="64" customFormat="1" ht="24.75" customHeight="1" x14ac:dyDescent="0.25">
      <c r="A94" s="72"/>
      <c r="B94" s="73"/>
      <c r="C94" s="73"/>
      <c r="D94" s="72"/>
      <c r="E94" s="72"/>
      <c r="F94" s="75"/>
      <c r="G94" s="75"/>
      <c r="H94" s="76"/>
      <c r="I94" s="76"/>
      <c r="J94" s="78"/>
      <c r="K94" s="79"/>
      <c r="L94" s="72"/>
      <c r="M94" s="722"/>
      <c r="N94" s="723"/>
      <c r="R94" s="71"/>
    </row>
    <row r="95" spans="1:18" s="64" customFormat="1" ht="24.75" customHeight="1" x14ac:dyDescent="0.25">
      <c r="A95" s="72"/>
      <c r="B95" s="73"/>
      <c r="C95" s="73"/>
      <c r="D95" s="72"/>
      <c r="E95" s="72"/>
      <c r="F95" s="75"/>
      <c r="G95" s="75"/>
      <c r="H95" s="76"/>
      <c r="I95" s="76"/>
      <c r="J95" s="78"/>
      <c r="K95" s="79"/>
      <c r="L95" s="72"/>
      <c r="M95" s="722"/>
      <c r="N95" s="723"/>
      <c r="R95" s="71"/>
    </row>
    <row r="96" spans="1:18" s="64" customFormat="1" ht="24.75" customHeight="1" x14ac:dyDescent="0.25">
      <c r="A96" s="72"/>
      <c r="B96" s="73"/>
      <c r="C96" s="73"/>
      <c r="D96" s="72"/>
      <c r="E96" s="72"/>
      <c r="F96" s="75"/>
      <c r="G96" s="75"/>
      <c r="H96" s="76"/>
      <c r="I96" s="76"/>
      <c r="J96" s="78"/>
      <c r="K96" s="79"/>
      <c r="L96" s="72"/>
      <c r="M96" s="722"/>
      <c r="N96" s="723"/>
      <c r="R96" s="71"/>
    </row>
    <row r="97" spans="1:18" s="64" customFormat="1" ht="24.75" customHeight="1" x14ac:dyDescent="0.25">
      <c r="A97" s="72"/>
      <c r="B97" s="73"/>
      <c r="C97" s="73"/>
      <c r="D97" s="72"/>
      <c r="E97" s="72"/>
      <c r="F97" s="75"/>
      <c r="G97" s="75"/>
      <c r="H97" s="76"/>
      <c r="I97" s="76"/>
      <c r="J97" s="78"/>
      <c r="K97" s="79"/>
      <c r="L97" s="72"/>
      <c r="M97" s="722"/>
      <c r="N97" s="723"/>
      <c r="R97" s="71"/>
    </row>
    <row r="98" spans="1:18" s="64" customFormat="1" ht="24.75" customHeight="1" x14ac:dyDescent="0.25">
      <c r="A98" s="72"/>
      <c r="B98" s="73"/>
      <c r="C98" s="73"/>
      <c r="D98" s="72"/>
      <c r="E98" s="72"/>
      <c r="F98" s="75"/>
      <c r="G98" s="75"/>
      <c r="H98" s="76"/>
      <c r="I98" s="76"/>
      <c r="J98" s="78"/>
      <c r="K98" s="79"/>
      <c r="L98" s="72"/>
      <c r="M98" s="722"/>
      <c r="N98" s="723"/>
      <c r="R98" s="71"/>
    </row>
    <row r="99" spans="1:18" s="64" customFormat="1" ht="24.75" customHeight="1" x14ac:dyDescent="0.25">
      <c r="A99" s="72"/>
      <c r="B99" s="73"/>
      <c r="C99" s="73"/>
      <c r="D99" s="72"/>
      <c r="E99" s="72"/>
      <c r="F99" s="75"/>
      <c r="G99" s="75"/>
      <c r="H99" s="76"/>
      <c r="I99" s="76"/>
      <c r="J99" s="78"/>
      <c r="K99" s="79"/>
      <c r="L99" s="72"/>
      <c r="M99" s="722"/>
      <c r="N99" s="723"/>
      <c r="R99" s="71"/>
    </row>
    <row r="100" spans="1:18" s="64" customFormat="1" ht="24.75" customHeight="1" x14ac:dyDescent="0.25">
      <c r="A100" s="72"/>
      <c r="B100" s="73"/>
      <c r="C100" s="73"/>
      <c r="D100" s="72"/>
      <c r="E100" s="72"/>
      <c r="F100" s="75"/>
      <c r="G100" s="75"/>
      <c r="H100" s="76"/>
      <c r="I100" s="76"/>
      <c r="J100" s="78"/>
      <c r="K100" s="79"/>
      <c r="L100" s="72"/>
      <c r="M100" s="722"/>
      <c r="N100" s="723"/>
      <c r="R100" s="71"/>
    </row>
    <row r="101" spans="1:18" s="64" customFormat="1" ht="24.75" customHeight="1" x14ac:dyDescent="0.25">
      <c r="A101" s="72"/>
      <c r="B101" s="73"/>
      <c r="C101" s="73"/>
      <c r="D101" s="72"/>
      <c r="E101" s="72"/>
      <c r="F101" s="75"/>
      <c r="G101" s="75"/>
      <c r="H101" s="76"/>
      <c r="I101" s="76"/>
      <c r="J101" s="78"/>
      <c r="K101" s="79"/>
      <c r="L101" s="72"/>
      <c r="M101" s="722"/>
      <c r="N101" s="723"/>
      <c r="R101" s="71"/>
    </row>
    <row r="102" spans="1:18" s="64" customFormat="1" ht="24.75" customHeight="1" x14ac:dyDescent="0.25">
      <c r="A102" s="72"/>
      <c r="B102" s="73"/>
      <c r="C102" s="73"/>
      <c r="D102" s="72"/>
      <c r="E102" s="72"/>
      <c r="F102" s="75"/>
      <c r="G102" s="75"/>
      <c r="H102" s="76"/>
      <c r="I102" s="76"/>
      <c r="J102" s="78"/>
      <c r="K102" s="79"/>
      <c r="L102" s="72"/>
      <c r="M102" s="722"/>
      <c r="N102" s="723"/>
      <c r="R102" s="71"/>
    </row>
    <row r="103" spans="1:18" s="64" customFormat="1" ht="24.75" customHeight="1" x14ac:dyDescent="0.25">
      <c r="A103" s="72"/>
      <c r="B103" s="73"/>
      <c r="C103" s="73"/>
      <c r="D103" s="72"/>
      <c r="E103" s="72"/>
      <c r="F103" s="75"/>
      <c r="G103" s="75"/>
      <c r="H103" s="76"/>
      <c r="I103" s="76"/>
      <c r="J103" s="78"/>
      <c r="K103" s="79"/>
      <c r="L103" s="72"/>
      <c r="M103" s="722"/>
      <c r="N103" s="723"/>
      <c r="R103" s="71"/>
    </row>
    <row r="104" spans="1:18" s="64" customFormat="1" ht="24.75" customHeight="1" x14ac:dyDescent="0.25">
      <c r="A104" s="72"/>
      <c r="B104" s="73"/>
      <c r="C104" s="73"/>
      <c r="D104" s="72"/>
      <c r="E104" s="72"/>
      <c r="F104" s="75"/>
      <c r="G104" s="75"/>
      <c r="H104" s="76"/>
      <c r="I104" s="76"/>
      <c r="J104" s="78"/>
      <c r="K104" s="79"/>
      <c r="L104" s="72"/>
      <c r="M104" s="722"/>
      <c r="N104" s="723"/>
      <c r="R104" s="71"/>
    </row>
    <row r="105" spans="1:18" s="64" customFormat="1" ht="24.75" customHeight="1" x14ac:dyDescent="0.25">
      <c r="A105" s="72"/>
      <c r="B105" s="73"/>
      <c r="C105" s="73"/>
      <c r="D105" s="72"/>
      <c r="E105" s="72"/>
      <c r="F105" s="75"/>
      <c r="G105" s="75"/>
      <c r="H105" s="76"/>
      <c r="I105" s="76"/>
      <c r="J105" s="78"/>
      <c r="K105" s="79"/>
      <c r="L105" s="72"/>
      <c r="M105" s="722"/>
      <c r="N105" s="723"/>
      <c r="R105" s="71"/>
    </row>
    <row r="106" spans="1:18" s="64" customFormat="1" ht="24.75" customHeight="1" x14ac:dyDescent="0.25">
      <c r="A106" s="72"/>
      <c r="B106" s="73"/>
      <c r="C106" s="73"/>
      <c r="D106" s="72"/>
      <c r="E106" s="72"/>
      <c r="F106" s="75"/>
      <c r="G106" s="75"/>
      <c r="H106" s="76"/>
      <c r="I106" s="76"/>
      <c r="J106" s="78"/>
      <c r="K106" s="79"/>
      <c r="L106" s="72"/>
      <c r="M106" s="722"/>
      <c r="N106" s="723"/>
      <c r="R106" s="71"/>
    </row>
    <row r="107" spans="1:18" s="64" customFormat="1" ht="24.75" customHeight="1" x14ac:dyDescent="0.25">
      <c r="A107" s="72"/>
      <c r="B107" s="73"/>
      <c r="C107" s="73"/>
      <c r="D107" s="72"/>
      <c r="E107" s="72"/>
      <c r="F107" s="75"/>
      <c r="G107" s="75"/>
      <c r="H107" s="76"/>
      <c r="I107" s="76"/>
      <c r="J107" s="78"/>
      <c r="K107" s="79"/>
      <c r="L107" s="72"/>
      <c r="M107" s="722"/>
      <c r="N107" s="723"/>
      <c r="R107" s="71"/>
    </row>
    <row r="108" spans="1:18" s="64" customFormat="1" ht="24.75" customHeight="1" x14ac:dyDescent="0.25">
      <c r="A108" s="72"/>
      <c r="B108" s="73"/>
      <c r="C108" s="73"/>
      <c r="D108" s="72"/>
      <c r="E108" s="72"/>
      <c r="F108" s="75"/>
      <c r="G108" s="75"/>
      <c r="H108" s="76"/>
      <c r="I108" s="76"/>
      <c r="J108" s="78"/>
      <c r="K108" s="79"/>
      <c r="L108" s="72"/>
      <c r="M108" s="722"/>
      <c r="N108" s="723"/>
      <c r="R108" s="71"/>
    </row>
    <row r="109" spans="1:18" s="64" customFormat="1" ht="24.75" customHeight="1" x14ac:dyDescent="0.25">
      <c r="A109" s="72"/>
      <c r="B109" s="73"/>
      <c r="C109" s="73"/>
      <c r="D109" s="72"/>
      <c r="E109" s="72"/>
      <c r="F109" s="75"/>
      <c r="G109" s="75"/>
      <c r="H109" s="76"/>
      <c r="I109" s="76"/>
      <c r="J109" s="78"/>
      <c r="K109" s="79"/>
      <c r="L109" s="72"/>
      <c r="M109" s="722"/>
      <c r="N109" s="723"/>
      <c r="R109" s="71"/>
    </row>
    <row r="110" spans="1:18" s="64" customFormat="1" ht="24.75" customHeight="1" x14ac:dyDescent="0.25">
      <c r="A110" s="72"/>
      <c r="B110" s="73"/>
      <c r="C110" s="73"/>
      <c r="D110" s="72"/>
      <c r="E110" s="72"/>
      <c r="F110" s="75"/>
      <c r="G110" s="75"/>
      <c r="H110" s="76"/>
      <c r="I110" s="76"/>
      <c r="J110" s="78"/>
      <c r="K110" s="79"/>
      <c r="L110" s="72"/>
      <c r="M110" s="722"/>
      <c r="N110" s="723"/>
      <c r="R110" s="71"/>
    </row>
    <row r="111" spans="1:18" s="64" customFormat="1" ht="24.75" customHeight="1" x14ac:dyDescent="0.25">
      <c r="A111" s="72"/>
      <c r="B111" s="73"/>
      <c r="C111" s="73"/>
      <c r="D111" s="72"/>
      <c r="E111" s="72"/>
      <c r="F111" s="75"/>
      <c r="G111" s="75"/>
      <c r="H111" s="76"/>
      <c r="I111" s="76"/>
      <c r="J111" s="78"/>
      <c r="K111" s="79"/>
      <c r="L111" s="72"/>
      <c r="M111" s="722"/>
      <c r="N111" s="723"/>
      <c r="R111" s="71"/>
    </row>
    <row r="112" spans="1:18" s="64" customFormat="1" ht="24.75" customHeight="1" x14ac:dyDescent="0.25">
      <c r="A112" s="72"/>
      <c r="B112" s="73"/>
      <c r="C112" s="73"/>
      <c r="D112" s="72"/>
      <c r="E112" s="72"/>
      <c r="F112" s="75"/>
      <c r="G112" s="75"/>
      <c r="H112" s="76"/>
      <c r="I112" s="76"/>
      <c r="J112" s="78"/>
      <c r="K112" s="79"/>
      <c r="L112" s="72"/>
      <c r="M112" s="722"/>
      <c r="N112" s="723"/>
      <c r="R112" s="71"/>
    </row>
    <row r="113" spans="1:18" s="64" customFormat="1" ht="24.75" customHeight="1" x14ac:dyDescent="0.25">
      <c r="A113" s="72"/>
      <c r="B113" s="73"/>
      <c r="C113" s="73"/>
      <c r="D113" s="72"/>
      <c r="E113" s="72"/>
      <c r="F113" s="75"/>
      <c r="G113" s="75"/>
      <c r="H113" s="76"/>
      <c r="I113" s="76"/>
      <c r="J113" s="78"/>
      <c r="K113" s="79"/>
      <c r="L113" s="72"/>
      <c r="M113" s="722"/>
      <c r="N113" s="723"/>
      <c r="R113" s="71"/>
    </row>
    <row r="114" spans="1:18" s="64" customFormat="1" ht="24.75" customHeight="1" x14ac:dyDescent="0.25">
      <c r="A114" s="72"/>
      <c r="B114" s="73"/>
      <c r="C114" s="73"/>
      <c r="D114" s="72"/>
      <c r="E114" s="72"/>
      <c r="F114" s="75"/>
      <c r="G114" s="75"/>
      <c r="H114" s="76"/>
      <c r="I114" s="76"/>
      <c r="J114" s="78"/>
      <c r="K114" s="79"/>
      <c r="L114" s="72"/>
      <c r="M114" s="722"/>
      <c r="N114" s="723"/>
      <c r="R114" s="71"/>
    </row>
    <row r="115" spans="1:18" s="64" customFormat="1" ht="24.75" customHeight="1" x14ac:dyDescent="0.25">
      <c r="A115" s="72"/>
      <c r="B115" s="73"/>
      <c r="C115" s="73"/>
      <c r="D115" s="72"/>
      <c r="E115" s="72"/>
      <c r="F115" s="75"/>
      <c r="G115" s="75"/>
      <c r="H115" s="76"/>
      <c r="I115" s="76"/>
      <c r="J115" s="78"/>
      <c r="K115" s="79"/>
      <c r="L115" s="72"/>
      <c r="M115" s="722"/>
      <c r="N115" s="723"/>
      <c r="R115" s="71"/>
    </row>
    <row r="116" spans="1:18" s="64" customFormat="1" ht="24.75" customHeight="1" x14ac:dyDescent="0.25">
      <c r="A116" s="72"/>
      <c r="B116" s="73"/>
      <c r="C116" s="73"/>
      <c r="D116" s="72"/>
      <c r="E116" s="72"/>
      <c r="F116" s="75"/>
      <c r="G116" s="75"/>
      <c r="H116" s="76"/>
      <c r="I116" s="76"/>
      <c r="J116" s="78"/>
      <c r="K116" s="79"/>
      <c r="L116" s="72"/>
      <c r="M116" s="722"/>
      <c r="N116" s="723"/>
      <c r="R116" s="71"/>
    </row>
    <row r="117" spans="1:18" s="64" customFormat="1" ht="24.75" customHeight="1" x14ac:dyDescent="0.25">
      <c r="A117" s="72"/>
      <c r="B117" s="73"/>
      <c r="C117" s="73"/>
      <c r="D117" s="72"/>
      <c r="E117" s="72"/>
      <c r="F117" s="75"/>
      <c r="G117" s="75"/>
      <c r="H117" s="76"/>
      <c r="I117" s="76"/>
      <c r="J117" s="78"/>
      <c r="K117" s="79"/>
      <c r="L117" s="72"/>
      <c r="M117" s="722"/>
      <c r="N117" s="723"/>
      <c r="R117" s="71"/>
    </row>
    <row r="118" spans="1:18" s="64" customFormat="1" ht="24.75" customHeight="1" x14ac:dyDescent="0.25">
      <c r="A118" s="72"/>
      <c r="B118" s="73"/>
      <c r="C118" s="73"/>
      <c r="D118" s="72"/>
      <c r="E118" s="72"/>
      <c r="F118" s="75"/>
      <c r="G118" s="75"/>
      <c r="H118" s="76"/>
      <c r="I118" s="76"/>
      <c r="J118" s="78"/>
      <c r="K118" s="79"/>
      <c r="L118" s="72"/>
      <c r="M118" s="722"/>
      <c r="N118" s="723"/>
      <c r="R118" s="71"/>
    </row>
    <row r="119" spans="1:18" s="64" customFormat="1" ht="24.75" customHeight="1" x14ac:dyDescent="0.25">
      <c r="A119" s="72"/>
      <c r="B119" s="73"/>
      <c r="C119" s="73"/>
      <c r="D119" s="72"/>
      <c r="E119" s="72"/>
      <c r="F119" s="75"/>
      <c r="G119" s="75"/>
      <c r="H119" s="76"/>
      <c r="I119" s="76"/>
      <c r="J119" s="78"/>
      <c r="K119" s="79"/>
      <c r="L119" s="72"/>
      <c r="M119" s="722"/>
      <c r="N119" s="723"/>
      <c r="R119" s="71"/>
    </row>
    <row r="120" spans="1:18" s="64" customFormat="1" ht="24.75" customHeight="1" x14ac:dyDescent="0.25">
      <c r="A120" s="72"/>
      <c r="B120" s="73"/>
      <c r="C120" s="73"/>
      <c r="D120" s="72"/>
      <c r="E120" s="72"/>
      <c r="F120" s="75"/>
      <c r="G120" s="75"/>
      <c r="H120" s="76"/>
      <c r="I120" s="76"/>
      <c r="J120" s="78"/>
      <c r="K120" s="79"/>
      <c r="L120" s="72"/>
      <c r="M120" s="722"/>
      <c r="N120" s="723"/>
      <c r="R120" s="71"/>
    </row>
    <row r="121" spans="1:18" s="64" customFormat="1" ht="24.75" customHeight="1" x14ac:dyDescent="0.25">
      <c r="A121" s="72"/>
      <c r="B121" s="73"/>
      <c r="C121" s="73"/>
      <c r="D121" s="72"/>
      <c r="E121" s="72"/>
      <c r="F121" s="75"/>
      <c r="G121" s="75"/>
      <c r="H121" s="76"/>
      <c r="I121" s="76"/>
      <c r="J121" s="78"/>
      <c r="K121" s="79"/>
      <c r="L121" s="72"/>
      <c r="M121" s="722"/>
      <c r="N121" s="723"/>
      <c r="R121" s="71"/>
    </row>
    <row r="122" spans="1:18" s="64" customFormat="1" ht="24.75" customHeight="1" x14ac:dyDescent="0.25">
      <c r="A122" s="72"/>
      <c r="B122" s="73"/>
      <c r="C122" s="73"/>
      <c r="D122" s="72"/>
      <c r="E122" s="72"/>
      <c r="F122" s="75"/>
      <c r="G122" s="75"/>
      <c r="H122" s="76"/>
      <c r="I122" s="76"/>
      <c r="J122" s="78"/>
      <c r="K122" s="79"/>
      <c r="L122" s="72"/>
      <c r="M122" s="722"/>
      <c r="N122" s="723"/>
      <c r="R122" s="71"/>
    </row>
    <row r="123" spans="1:18" s="64" customFormat="1" ht="24.75" customHeight="1" x14ac:dyDescent="0.25">
      <c r="A123" s="72"/>
      <c r="B123" s="73"/>
      <c r="C123" s="73"/>
      <c r="D123" s="72"/>
      <c r="E123" s="72"/>
      <c r="F123" s="75"/>
      <c r="G123" s="75"/>
      <c r="H123" s="76"/>
      <c r="I123" s="76"/>
      <c r="J123" s="78"/>
      <c r="K123" s="79"/>
      <c r="L123" s="72"/>
      <c r="M123" s="722"/>
      <c r="N123" s="723"/>
      <c r="R123" s="71"/>
    </row>
    <row r="124" spans="1:18" s="64" customFormat="1" ht="24.75" customHeight="1" x14ac:dyDescent="0.25">
      <c r="A124" s="72"/>
      <c r="B124" s="73"/>
      <c r="C124" s="73"/>
      <c r="D124" s="72"/>
      <c r="E124" s="72"/>
      <c r="F124" s="75"/>
      <c r="G124" s="75"/>
      <c r="H124" s="76"/>
      <c r="I124" s="76"/>
      <c r="J124" s="78"/>
      <c r="K124" s="79"/>
      <c r="L124" s="72"/>
      <c r="M124" s="722"/>
      <c r="N124" s="723"/>
      <c r="R124" s="71"/>
    </row>
    <row r="125" spans="1:18" s="64" customFormat="1" ht="24.75" customHeight="1" x14ac:dyDescent="0.25">
      <c r="A125" s="72"/>
      <c r="B125" s="73"/>
      <c r="C125" s="73"/>
      <c r="D125" s="72"/>
      <c r="E125" s="72"/>
      <c r="F125" s="75"/>
      <c r="G125" s="75"/>
      <c r="H125" s="76"/>
      <c r="I125" s="76"/>
      <c r="J125" s="78"/>
      <c r="K125" s="79"/>
      <c r="L125" s="72"/>
      <c r="M125" s="722"/>
      <c r="N125" s="723"/>
      <c r="R125" s="71"/>
    </row>
    <row r="126" spans="1:18" s="64" customFormat="1" ht="24.75" customHeight="1" x14ac:dyDescent="0.25">
      <c r="A126" s="72"/>
      <c r="B126" s="73"/>
      <c r="C126" s="73"/>
      <c r="D126" s="72"/>
      <c r="E126" s="72"/>
      <c r="F126" s="75"/>
      <c r="G126" s="75"/>
      <c r="H126" s="76"/>
      <c r="I126" s="76"/>
      <c r="J126" s="78"/>
      <c r="K126" s="79"/>
      <c r="L126" s="72"/>
      <c r="M126" s="722"/>
      <c r="N126" s="723"/>
      <c r="R126" s="71"/>
    </row>
    <row r="127" spans="1:18" s="64" customFormat="1" ht="24.75" customHeight="1" x14ac:dyDescent="0.25">
      <c r="A127" s="72"/>
      <c r="B127" s="73"/>
      <c r="C127" s="73"/>
      <c r="D127" s="72"/>
      <c r="E127" s="72"/>
      <c r="F127" s="75"/>
      <c r="G127" s="75"/>
      <c r="H127" s="76"/>
      <c r="I127" s="76"/>
      <c r="J127" s="78"/>
      <c r="K127" s="79"/>
      <c r="L127" s="72"/>
      <c r="M127" s="722"/>
      <c r="N127" s="723"/>
      <c r="R127" s="71"/>
    </row>
    <row r="128" spans="1:18" s="64" customFormat="1" ht="24.75" customHeight="1" x14ac:dyDescent="0.25">
      <c r="A128" s="72"/>
      <c r="B128" s="73"/>
      <c r="C128" s="73"/>
      <c r="D128" s="72"/>
      <c r="E128" s="72"/>
      <c r="F128" s="75"/>
      <c r="G128" s="75"/>
      <c r="H128" s="76"/>
      <c r="I128" s="76"/>
      <c r="J128" s="78"/>
      <c r="K128" s="79"/>
      <c r="L128" s="72"/>
      <c r="M128" s="722"/>
      <c r="N128" s="723"/>
      <c r="R128" s="71"/>
    </row>
    <row r="129" spans="1:18" s="64" customFormat="1" ht="24.75" customHeight="1" x14ac:dyDescent="0.25">
      <c r="A129" s="72"/>
      <c r="B129" s="73"/>
      <c r="C129" s="73"/>
      <c r="D129" s="72"/>
      <c r="E129" s="72"/>
      <c r="F129" s="75"/>
      <c r="G129" s="75"/>
      <c r="H129" s="76"/>
      <c r="I129" s="76"/>
      <c r="J129" s="78"/>
      <c r="K129" s="79"/>
      <c r="L129" s="72"/>
      <c r="M129" s="722"/>
      <c r="N129" s="723"/>
      <c r="R129" s="71"/>
    </row>
    <row r="130" spans="1:18" s="64" customFormat="1" ht="24.75" customHeight="1" x14ac:dyDescent="0.25">
      <c r="A130" s="72"/>
      <c r="B130" s="73"/>
      <c r="C130" s="73"/>
      <c r="D130" s="72"/>
      <c r="E130" s="72"/>
      <c r="F130" s="75"/>
      <c r="G130" s="75"/>
      <c r="H130" s="76"/>
      <c r="I130" s="76"/>
      <c r="J130" s="78"/>
      <c r="K130" s="79"/>
      <c r="L130" s="72"/>
      <c r="M130" s="722"/>
      <c r="N130" s="723"/>
      <c r="R130" s="71"/>
    </row>
    <row r="131" spans="1:18" s="64" customFormat="1" ht="24.75" customHeight="1" x14ac:dyDescent="0.25">
      <c r="A131" s="72"/>
      <c r="B131" s="73"/>
      <c r="C131" s="73"/>
      <c r="D131" s="72"/>
      <c r="E131" s="72"/>
      <c r="F131" s="75"/>
      <c r="G131" s="75"/>
      <c r="H131" s="76"/>
      <c r="I131" s="76"/>
      <c r="J131" s="78"/>
      <c r="K131" s="79"/>
      <c r="L131" s="72"/>
      <c r="M131" s="722"/>
      <c r="N131" s="723"/>
      <c r="R131" s="71"/>
    </row>
    <row r="132" spans="1:18" s="64" customFormat="1" ht="24.75" customHeight="1" x14ac:dyDescent="0.25">
      <c r="A132" s="72"/>
      <c r="B132" s="73"/>
      <c r="C132" s="73"/>
      <c r="D132" s="72"/>
      <c r="E132" s="72"/>
      <c r="F132" s="75"/>
      <c r="G132" s="75"/>
      <c r="H132" s="76"/>
      <c r="I132" s="76"/>
      <c r="J132" s="78"/>
      <c r="K132" s="79"/>
      <c r="L132" s="72"/>
      <c r="M132" s="722"/>
      <c r="N132" s="723"/>
      <c r="R132" s="71"/>
    </row>
    <row r="133" spans="1:18" s="64" customFormat="1" ht="24.75" customHeight="1" x14ac:dyDescent="0.25">
      <c r="A133" s="72"/>
      <c r="B133" s="73"/>
      <c r="C133" s="73"/>
      <c r="D133" s="72"/>
      <c r="E133" s="72"/>
      <c r="F133" s="75"/>
      <c r="G133" s="75"/>
      <c r="H133" s="76"/>
      <c r="I133" s="76"/>
      <c r="J133" s="78"/>
      <c r="K133" s="79"/>
      <c r="L133" s="72"/>
      <c r="M133" s="722"/>
      <c r="N133" s="723"/>
      <c r="R133" s="71"/>
    </row>
    <row r="134" spans="1:18" s="64" customFormat="1" ht="24.75" customHeight="1" x14ac:dyDescent="0.25">
      <c r="A134" s="72"/>
      <c r="B134" s="73"/>
      <c r="C134" s="73"/>
      <c r="D134" s="72"/>
      <c r="E134" s="72"/>
      <c r="F134" s="75"/>
      <c r="G134" s="75"/>
      <c r="H134" s="76"/>
      <c r="I134" s="76"/>
      <c r="J134" s="78"/>
      <c r="K134" s="79"/>
      <c r="L134" s="72"/>
      <c r="M134" s="722"/>
      <c r="N134" s="723"/>
      <c r="R134" s="71"/>
    </row>
    <row r="135" spans="1:18" s="64" customFormat="1" ht="24.75" customHeight="1" x14ac:dyDescent="0.25">
      <c r="A135" s="72"/>
      <c r="B135" s="73"/>
      <c r="C135" s="73"/>
      <c r="D135" s="72"/>
      <c r="E135" s="72"/>
      <c r="F135" s="75"/>
      <c r="G135" s="75"/>
      <c r="H135" s="76"/>
      <c r="I135" s="76"/>
      <c r="J135" s="78"/>
      <c r="K135" s="79"/>
      <c r="L135" s="72"/>
      <c r="M135" s="722"/>
      <c r="N135" s="723"/>
      <c r="R135" s="71"/>
    </row>
    <row r="136" spans="1:18" s="64" customFormat="1" ht="24.75" customHeight="1" x14ac:dyDescent="0.25">
      <c r="A136" s="72"/>
      <c r="B136" s="73"/>
      <c r="C136" s="73"/>
      <c r="D136" s="72"/>
      <c r="E136" s="72"/>
      <c r="F136" s="75"/>
      <c r="G136" s="75"/>
      <c r="H136" s="76"/>
      <c r="I136" s="76"/>
      <c r="J136" s="78"/>
      <c r="K136" s="79"/>
      <c r="L136" s="72"/>
      <c r="M136" s="722"/>
      <c r="N136" s="723"/>
      <c r="R136" s="71"/>
    </row>
    <row r="137" spans="1:18" s="64" customFormat="1" ht="24.75" customHeight="1" x14ac:dyDescent="0.25">
      <c r="A137" s="72"/>
      <c r="B137" s="73"/>
      <c r="C137" s="73"/>
      <c r="D137" s="72"/>
      <c r="E137" s="72"/>
      <c r="F137" s="75"/>
      <c r="G137" s="75"/>
      <c r="H137" s="76"/>
      <c r="I137" s="76"/>
      <c r="J137" s="78"/>
      <c r="K137" s="79"/>
      <c r="L137" s="72"/>
      <c r="M137" s="722"/>
      <c r="N137" s="723"/>
      <c r="R137" s="71"/>
    </row>
  </sheetData>
  <autoFilter ref="A3:J51" xr:uid="{00000000-0009-0000-0000-000006000000}"/>
  <mergeCells count="128">
    <mergeCell ref="M135:N135"/>
    <mergeCell ref="M136:N136"/>
    <mergeCell ref="M137:N137"/>
    <mergeCell ref="M129:N129"/>
    <mergeCell ref="M130:N130"/>
    <mergeCell ref="M131:N131"/>
    <mergeCell ref="M132:N132"/>
    <mergeCell ref="M133:N133"/>
    <mergeCell ref="M134:N134"/>
    <mergeCell ref="M123:N123"/>
    <mergeCell ref="M124:N124"/>
    <mergeCell ref="M125:N125"/>
    <mergeCell ref="M126:N126"/>
    <mergeCell ref="M127:N127"/>
    <mergeCell ref="M128:N128"/>
    <mergeCell ref="M117:N117"/>
    <mergeCell ref="M118:N118"/>
    <mergeCell ref="M119:N119"/>
    <mergeCell ref="M120:N120"/>
    <mergeCell ref="M121:N121"/>
    <mergeCell ref="M122:N122"/>
    <mergeCell ref="M111:N111"/>
    <mergeCell ref="M112:N112"/>
    <mergeCell ref="M113:N113"/>
    <mergeCell ref="M114:N114"/>
    <mergeCell ref="M115:N115"/>
    <mergeCell ref="M116:N116"/>
    <mergeCell ref="M105:N105"/>
    <mergeCell ref="M106:N106"/>
    <mergeCell ref="M107:N107"/>
    <mergeCell ref="M108:N108"/>
    <mergeCell ref="M109:N109"/>
    <mergeCell ref="M110:N110"/>
    <mergeCell ref="M99:N99"/>
    <mergeCell ref="M100:N100"/>
    <mergeCell ref="M101:N101"/>
    <mergeCell ref="M102:N102"/>
    <mergeCell ref="M103:N103"/>
    <mergeCell ref="M104:N104"/>
    <mergeCell ref="M93:N93"/>
    <mergeCell ref="M94:N94"/>
    <mergeCell ref="M95:N95"/>
    <mergeCell ref="M96:N96"/>
    <mergeCell ref="M97:N97"/>
    <mergeCell ref="M98:N98"/>
    <mergeCell ref="M87:N87"/>
    <mergeCell ref="M88:N88"/>
    <mergeCell ref="M89:N89"/>
    <mergeCell ref="M90:N90"/>
    <mergeCell ref="M91:N91"/>
    <mergeCell ref="M92:N92"/>
    <mergeCell ref="M81:N81"/>
    <mergeCell ref="M82:N82"/>
    <mergeCell ref="M83:N83"/>
    <mergeCell ref="M84:N84"/>
    <mergeCell ref="M85:N85"/>
    <mergeCell ref="M86:N86"/>
    <mergeCell ref="M79:N79"/>
    <mergeCell ref="M80:N80"/>
    <mergeCell ref="M71:N71"/>
    <mergeCell ref="M72:N72"/>
    <mergeCell ref="M73:N73"/>
    <mergeCell ref="M74:N74"/>
    <mergeCell ref="M75:N75"/>
    <mergeCell ref="M67:N67"/>
    <mergeCell ref="M68:N68"/>
    <mergeCell ref="M69:N69"/>
    <mergeCell ref="M70:N70"/>
    <mergeCell ref="M63:N63"/>
    <mergeCell ref="M64:N64"/>
    <mergeCell ref="M65:N65"/>
    <mergeCell ref="M66:N66"/>
    <mergeCell ref="M76:N76"/>
    <mergeCell ref="M77:N77"/>
    <mergeCell ref="M78:N78"/>
    <mergeCell ref="M61:N61"/>
    <mergeCell ref="M62:N62"/>
    <mergeCell ref="M48:N48"/>
    <mergeCell ref="M49:N49"/>
    <mergeCell ref="M50:N50"/>
    <mergeCell ref="M51:N51"/>
    <mergeCell ref="M60:N60"/>
    <mergeCell ref="M42:N42"/>
    <mergeCell ref="M43:N43"/>
    <mergeCell ref="M44:N44"/>
    <mergeCell ref="M45:N45"/>
    <mergeCell ref="M46:N46"/>
    <mergeCell ref="M47:N47"/>
    <mergeCell ref="M56:N56"/>
    <mergeCell ref="M57:N57"/>
    <mergeCell ref="M58:N58"/>
    <mergeCell ref="M59:N59"/>
    <mergeCell ref="M52:N52"/>
    <mergeCell ref="M53:N53"/>
    <mergeCell ref="M54:N54"/>
    <mergeCell ref="M55:N55"/>
    <mergeCell ref="M31:N31"/>
    <mergeCell ref="M32:N32"/>
    <mergeCell ref="M38:N38"/>
    <mergeCell ref="M39:N39"/>
    <mergeCell ref="M40:N40"/>
    <mergeCell ref="M41:N41"/>
    <mergeCell ref="M33:N33"/>
    <mergeCell ref="M34:N34"/>
    <mergeCell ref="M26:N26"/>
    <mergeCell ref="M27:N27"/>
    <mergeCell ref="M28:N28"/>
    <mergeCell ref="M29:N29"/>
    <mergeCell ref="M30:N30"/>
    <mergeCell ref="M22:N22"/>
    <mergeCell ref="M24:N24"/>
    <mergeCell ref="M25:N25"/>
    <mergeCell ref="M23:N23"/>
    <mergeCell ref="M9:N9"/>
    <mergeCell ref="M10:N10"/>
    <mergeCell ref="M11:N11"/>
    <mergeCell ref="M12:N12"/>
    <mergeCell ref="M13:N13"/>
    <mergeCell ref="M14:N14"/>
    <mergeCell ref="M3:N3"/>
    <mergeCell ref="M4:N4"/>
    <mergeCell ref="M5:N5"/>
    <mergeCell ref="M6:N6"/>
    <mergeCell ref="M7:N7"/>
    <mergeCell ref="M8:N8"/>
    <mergeCell ref="M15:N15"/>
    <mergeCell ref="M16:N16"/>
    <mergeCell ref="M21:N21"/>
  </mergeCells>
  <conditionalFormatting sqref="H5:I10 K24:M32 O24:XFD32 H20:I61 J4:J61 A4:H61 A76:M137 K38:M75 O38:XFD137">
    <cfRule type="expression" dxfId="82" priority="152">
      <formula>Approved</formula>
    </cfRule>
  </conditionalFormatting>
  <conditionalFormatting sqref="O4:XFD4 D5:F10 A5:A10">
    <cfRule type="expression" dxfId="81" priority="151">
      <formula>Approved</formula>
    </cfRule>
  </conditionalFormatting>
  <conditionalFormatting sqref="M4">
    <cfRule type="expression" dxfId="80" priority="150">
      <formula>Approved</formula>
    </cfRule>
  </conditionalFormatting>
  <conditionalFormatting sqref="L4">
    <cfRule type="expression" dxfId="79" priority="149">
      <formula>Approved</formula>
    </cfRule>
  </conditionalFormatting>
  <conditionalFormatting sqref="K4">
    <cfRule type="expression" dxfId="78" priority="148">
      <formula>Approved</formula>
    </cfRule>
  </conditionalFormatting>
  <conditionalFormatting sqref="K5:K6">
    <cfRule type="expression" dxfId="77" priority="145">
      <formula>Approved</formula>
    </cfRule>
  </conditionalFormatting>
  <conditionalFormatting sqref="M5">
    <cfRule type="expression" dxfId="76" priority="147">
      <formula>Approved</formula>
    </cfRule>
  </conditionalFormatting>
  <conditionalFormatting sqref="O5:XFD5">
    <cfRule type="expression" dxfId="75" priority="146">
      <formula>Approved</formula>
    </cfRule>
  </conditionalFormatting>
  <conditionalFormatting sqref="L5">
    <cfRule type="expression" dxfId="74" priority="144">
      <formula>Approved</formula>
    </cfRule>
  </conditionalFormatting>
  <conditionalFormatting sqref="M6:M7">
    <cfRule type="expression" dxfId="73" priority="143">
      <formula>Approved</formula>
    </cfRule>
  </conditionalFormatting>
  <conditionalFormatting sqref="O6:XFD7">
    <cfRule type="expression" dxfId="72" priority="142">
      <formula>Approved</formula>
    </cfRule>
  </conditionalFormatting>
  <conditionalFormatting sqref="K7">
    <cfRule type="expression" dxfId="71" priority="141">
      <formula>Approved</formula>
    </cfRule>
  </conditionalFormatting>
  <conditionalFormatting sqref="L6:L7">
    <cfRule type="expression" dxfId="70" priority="140">
      <formula>Approved</formula>
    </cfRule>
  </conditionalFormatting>
  <conditionalFormatting sqref="C5:C10">
    <cfRule type="expression" dxfId="69" priority="139">
      <formula>Approved</formula>
    </cfRule>
  </conditionalFormatting>
  <conditionalFormatting sqref="G5:G10">
    <cfRule type="expression" dxfId="68" priority="133">
      <formula>Approved</formula>
    </cfRule>
  </conditionalFormatting>
  <conditionalFormatting sqref="L8:L11">
    <cfRule type="expression" dxfId="67" priority="135">
      <formula>Approved</formula>
    </cfRule>
  </conditionalFormatting>
  <conditionalFormatting sqref="M8:M11">
    <cfRule type="expression" dxfId="66" priority="138">
      <formula>Approved</formula>
    </cfRule>
  </conditionalFormatting>
  <conditionalFormatting sqref="O8:XFD11">
    <cfRule type="expression" dxfId="65" priority="137">
      <formula>Approved</formula>
    </cfRule>
  </conditionalFormatting>
  <conditionalFormatting sqref="K8:K11">
    <cfRule type="expression" dxfId="64" priority="136">
      <formula>Approved</formula>
    </cfRule>
  </conditionalFormatting>
  <conditionalFormatting sqref="J5:J10">
    <cfRule type="expression" dxfId="63" priority="134">
      <formula>Approved</formula>
    </cfRule>
  </conditionalFormatting>
  <conditionalFormatting sqref="C11:C17">
    <cfRule type="expression" dxfId="62" priority="124">
      <formula>Approved</formula>
    </cfRule>
  </conditionalFormatting>
  <conditionalFormatting sqref="B11:B17 H11:I17">
    <cfRule type="expression" dxfId="61" priority="126">
      <formula>Approved</formula>
    </cfRule>
  </conditionalFormatting>
  <conditionalFormatting sqref="A11:A15 D11:F17">
    <cfRule type="expression" dxfId="60" priority="125">
      <formula>Approved</formula>
    </cfRule>
  </conditionalFormatting>
  <conditionalFormatting sqref="J11:J17">
    <cfRule type="expression" dxfId="59" priority="123">
      <formula>Approved</formula>
    </cfRule>
  </conditionalFormatting>
  <conditionalFormatting sqref="G11:G17">
    <cfRule type="expression" dxfId="58" priority="122">
      <formula>Approved</formula>
    </cfRule>
  </conditionalFormatting>
  <conditionalFormatting sqref="B58:B61 H58:I61">
    <cfRule type="expression" dxfId="57" priority="113">
      <formula>Approved</formula>
    </cfRule>
  </conditionalFormatting>
  <conditionalFormatting sqref="D58:F61">
    <cfRule type="expression" dxfId="56" priority="112">
      <formula>Approved</formula>
    </cfRule>
  </conditionalFormatting>
  <conditionalFormatting sqref="C58:C61">
    <cfRule type="expression" dxfId="55" priority="111">
      <formula>Approved</formula>
    </cfRule>
  </conditionalFormatting>
  <conditionalFormatting sqref="J58:J61">
    <cfRule type="expression" dxfId="54" priority="110">
      <formula>Approved</formula>
    </cfRule>
  </conditionalFormatting>
  <conditionalFormatting sqref="G58:G61">
    <cfRule type="expression" dxfId="53" priority="109">
      <formula>Approved</formula>
    </cfRule>
  </conditionalFormatting>
  <conditionalFormatting sqref="L12:L13">
    <cfRule type="expression" dxfId="52" priority="118">
      <formula>Approved</formula>
    </cfRule>
  </conditionalFormatting>
  <conditionalFormatting sqref="M12:M13">
    <cfRule type="expression" dxfId="51" priority="121">
      <formula>Approved</formula>
    </cfRule>
  </conditionalFormatting>
  <conditionalFormatting sqref="O12:XFD13">
    <cfRule type="expression" dxfId="50" priority="120">
      <formula>Approved</formula>
    </cfRule>
  </conditionalFormatting>
  <conditionalFormatting sqref="K12:K13">
    <cfRule type="expression" dxfId="49" priority="119">
      <formula>Approved</formula>
    </cfRule>
  </conditionalFormatting>
  <conditionalFormatting sqref="L14:L17 L21:L22">
    <cfRule type="expression" dxfId="48" priority="114">
      <formula>Approved</formula>
    </cfRule>
  </conditionalFormatting>
  <conditionalFormatting sqref="M14:M17 M21:M22">
    <cfRule type="expression" dxfId="47" priority="117">
      <formula>Approved</formula>
    </cfRule>
  </conditionalFormatting>
  <conditionalFormatting sqref="O14:XFD17 O21:XFD22">
    <cfRule type="expression" dxfId="46" priority="116">
      <formula>Approved</formula>
    </cfRule>
  </conditionalFormatting>
  <conditionalFormatting sqref="K14:K17 K21:K22">
    <cfRule type="expression" dxfId="45" priority="115">
      <formula>Approved</formula>
    </cfRule>
  </conditionalFormatting>
  <conditionalFormatting sqref="A16:A17">
    <cfRule type="expression" dxfId="44" priority="108">
      <formula>Approved</formula>
    </cfRule>
  </conditionalFormatting>
  <conditionalFormatting sqref="C18:C19">
    <cfRule type="expression" dxfId="43" priority="105">
      <formula>Approved</formula>
    </cfRule>
  </conditionalFormatting>
  <conditionalFormatting sqref="H18:I19 B18:B19">
    <cfRule type="expression" dxfId="42" priority="107">
      <formula>Approved</formula>
    </cfRule>
  </conditionalFormatting>
  <conditionalFormatting sqref="D18:F19">
    <cfRule type="expression" dxfId="41" priority="106">
      <formula>Approved</formula>
    </cfRule>
  </conditionalFormatting>
  <conditionalFormatting sqref="J18:J19">
    <cfRule type="expression" dxfId="40" priority="104">
      <formula>Approved</formula>
    </cfRule>
  </conditionalFormatting>
  <conditionalFormatting sqref="G18:G19">
    <cfRule type="expression" dxfId="39" priority="103">
      <formula>Approved</formula>
    </cfRule>
  </conditionalFormatting>
  <conditionalFormatting sqref="L18:L19">
    <cfRule type="expression" dxfId="38" priority="99">
      <formula>Approved</formula>
    </cfRule>
  </conditionalFormatting>
  <conditionalFormatting sqref="M18:M19">
    <cfRule type="expression" dxfId="37" priority="102">
      <formula>Approved</formula>
    </cfRule>
  </conditionalFormatting>
  <conditionalFormatting sqref="O18:XFD19">
    <cfRule type="expression" dxfId="36" priority="101">
      <formula>Approved</formula>
    </cfRule>
  </conditionalFormatting>
  <conditionalFormatting sqref="K18:K19">
    <cfRule type="expression" dxfId="35" priority="100">
      <formula>Approved</formula>
    </cfRule>
  </conditionalFormatting>
  <conditionalFormatting sqref="A18:A19">
    <cfRule type="expression" dxfId="34" priority="98">
      <formula>Approved</formula>
    </cfRule>
  </conditionalFormatting>
  <conditionalFormatting sqref="L20">
    <cfRule type="expression" dxfId="33" priority="90">
      <formula>Approved</formula>
    </cfRule>
  </conditionalFormatting>
  <conditionalFormatting sqref="M20">
    <cfRule type="expression" dxfId="32" priority="93">
      <formula>Approved</formula>
    </cfRule>
  </conditionalFormatting>
  <conditionalFormatting sqref="O20:XFD20">
    <cfRule type="expression" dxfId="31" priority="92">
      <formula>Approved</formula>
    </cfRule>
  </conditionalFormatting>
  <conditionalFormatting sqref="K20">
    <cfRule type="expression" dxfId="30" priority="91">
      <formula>Approved</formula>
    </cfRule>
  </conditionalFormatting>
  <conditionalFormatting sqref="I4:I61">
    <cfRule type="expression" dxfId="29" priority="82">
      <formula>"Not agreed by Company - Pending Contractor's further details"</formula>
    </cfRule>
  </conditionalFormatting>
  <conditionalFormatting sqref="I4:I61">
    <cfRule type="cellIs" dxfId="28" priority="77" operator="equal">
      <formula>"Submitted - Variation Proposal (Company Direction TBC)"</formula>
    </cfRule>
    <cfRule type="cellIs" dxfId="27" priority="78" operator="equal">
      <formula>"No Action / Withdrawn"</formula>
    </cfRule>
    <cfRule type="cellIs" dxfId="26" priority="79" operator="equal">
      <formula>"Identified Not Submitted"</formula>
    </cfRule>
    <cfRule type="cellIs" dxfId="25" priority="80" operator="equal">
      <formula>"Submitted Pending Approval"</formula>
    </cfRule>
    <cfRule type="cellIs" dxfId="24" priority="81" operator="equal">
      <formula>"Approved"</formula>
    </cfRule>
  </conditionalFormatting>
  <conditionalFormatting sqref="L23">
    <cfRule type="expression" dxfId="23" priority="65">
      <formula>Approved</formula>
    </cfRule>
  </conditionalFormatting>
  <conditionalFormatting sqref="M23">
    <cfRule type="expression" dxfId="22" priority="68">
      <formula>Approved</formula>
    </cfRule>
  </conditionalFormatting>
  <conditionalFormatting sqref="O23:XFD23">
    <cfRule type="expression" dxfId="21" priority="67">
      <formula>Approved</formula>
    </cfRule>
  </conditionalFormatting>
  <conditionalFormatting sqref="K23">
    <cfRule type="expression" dxfId="20" priority="66">
      <formula>Approved</formula>
    </cfRule>
  </conditionalFormatting>
  <conditionalFormatting sqref="L33:L37">
    <cfRule type="expression" dxfId="19" priority="48">
      <formula>Approved</formula>
    </cfRule>
  </conditionalFormatting>
  <conditionalFormatting sqref="M33:M37">
    <cfRule type="expression" dxfId="18" priority="51">
      <formula>Approved</formula>
    </cfRule>
  </conditionalFormatting>
  <conditionalFormatting sqref="O33:XFD37">
    <cfRule type="expression" dxfId="17" priority="50">
      <formula>Approved</formula>
    </cfRule>
  </conditionalFormatting>
  <conditionalFormatting sqref="K33:K37">
    <cfRule type="expression" dxfId="16" priority="49">
      <formula>Approved</formula>
    </cfRule>
  </conditionalFormatting>
  <conditionalFormatting sqref="I46">
    <cfRule type="expression" dxfId="15" priority="29">
      <formula>Approved</formula>
    </cfRule>
  </conditionalFormatting>
  <conditionalFormatting sqref="I18">
    <cfRule type="expression" dxfId="14" priority="27">
      <formula>Approved</formula>
    </cfRule>
  </conditionalFormatting>
  <conditionalFormatting sqref="I20">
    <cfRule type="expression" dxfId="13" priority="26">
      <formula>Approved</formula>
    </cfRule>
  </conditionalFormatting>
  <conditionalFormatting sqref="I20">
    <cfRule type="expression" dxfId="12" priority="25">
      <formula>Approved</formula>
    </cfRule>
  </conditionalFormatting>
  <conditionalFormatting sqref="A62:J75">
    <cfRule type="expression" dxfId="11" priority="24">
      <formula>Approved</formula>
    </cfRule>
  </conditionalFormatting>
  <conditionalFormatting sqref="B62:B75 H62:I75">
    <cfRule type="expression" dxfId="10" priority="23">
      <formula>Approved</formula>
    </cfRule>
  </conditionalFormatting>
  <conditionalFormatting sqref="D62:F75">
    <cfRule type="expression" dxfId="9" priority="22">
      <formula>Approved</formula>
    </cfRule>
  </conditionalFormatting>
  <conditionalFormatting sqref="C62:C75">
    <cfRule type="expression" dxfId="8" priority="21">
      <formula>Approved</formula>
    </cfRule>
  </conditionalFormatting>
  <conditionalFormatting sqref="J62:J75">
    <cfRule type="expression" dxfId="7" priority="20">
      <formula>Approved</formula>
    </cfRule>
  </conditionalFormatting>
  <conditionalFormatting sqref="G62:G75">
    <cfRule type="expression" dxfId="6" priority="19">
      <formula>Approved</formula>
    </cfRule>
  </conditionalFormatting>
  <conditionalFormatting sqref="I62:I75">
    <cfRule type="expression" dxfId="5" priority="18">
      <formula>"Not agreed by Company - Pending Contractor's further details"</formula>
    </cfRule>
  </conditionalFormatting>
  <conditionalFormatting sqref="I62:I75">
    <cfRule type="cellIs" dxfId="4" priority="13" operator="equal">
      <formula>"Submitted - Variation Proposal (Company Direction TBC)"</formula>
    </cfRule>
    <cfRule type="cellIs" dxfId="3" priority="14" operator="equal">
      <formula>"No Action / Withdrawn"</formula>
    </cfRule>
    <cfRule type="cellIs" dxfId="2" priority="15" operator="equal">
      <formula>"Identified Not Submitted"</formula>
    </cfRule>
    <cfRule type="cellIs" dxfId="1" priority="16" operator="equal">
      <formula>"Submitted Pending Approval"</formula>
    </cfRule>
    <cfRule type="cellIs" dxfId="0" priority="17" operator="equal">
      <formula>"Approved"</formula>
    </cfRule>
  </conditionalFormatting>
  <dataValidations count="1">
    <dataValidation type="list" allowBlank="1" showInputMessage="1" showErrorMessage="1" sqref="J4:J75" xr:uid="{00000000-0002-0000-0600-000000000000}">
      <formula1>MR_Status</formula1>
    </dataValidation>
  </dataValidations>
  <pageMargins left="0.70866141732283472" right="0.70866141732283472" top="0.74803149606299213" bottom="0.74803149606299213" header="0.31496062992125984" footer="0.31496062992125984"/>
  <pageSetup paperSize="8" scale="25"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E18"/>
  <sheetViews>
    <sheetView workbookViewId="0">
      <selection activeCell="A7" sqref="A7"/>
    </sheetView>
  </sheetViews>
  <sheetFormatPr defaultRowHeight="15" x14ac:dyDescent="0.25"/>
  <cols>
    <col min="1" max="3" width="28.28515625" customWidth="1"/>
    <col min="4" max="4" width="28.28515625" bestFit="1" customWidth="1"/>
    <col min="5" max="5" width="41.5703125" style="25" customWidth="1"/>
  </cols>
  <sheetData>
    <row r="1" spans="1:5" x14ac:dyDescent="0.25">
      <c r="A1" s="2" t="s">
        <v>732</v>
      </c>
      <c r="B1" s="2" t="s">
        <v>32</v>
      </c>
      <c r="C1" s="2" t="s">
        <v>28</v>
      </c>
      <c r="D1" s="2" t="s">
        <v>96</v>
      </c>
      <c r="E1" s="26" t="s">
        <v>97</v>
      </c>
    </row>
    <row r="2" spans="1:5" x14ac:dyDescent="0.25">
      <c r="A2" s="1" t="s">
        <v>54</v>
      </c>
      <c r="B2" s="1" t="s">
        <v>54</v>
      </c>
      <c r="C2" t="s">
        <v>84</v>
      </c>
      <c r="D2" s="1" t="s">
        <v>54</v>
      </c>
      <c r="E2" s="25" t="s">
        <v>86</v>
      </c>
    </row>
    <row r="3" spans="1:5" x14ac:dyDescent="0.25">
      <c r="A3" s="1" t="s">
        <v>4</v>
      </c>
      <c r="B3" s="1" t="s">
        <v>4</v>
      </c>
      <c r="C3" t="s">
        <v>85</v>
      </c>
      <c r="D3" s="1" t="s">
        <v>144</v>
      </c>
      <c r="E3" s="25" t="s">
        <v>87</v>
      </c>
    </row>
    <row r="4" spans="1:5" x14ac:dyDescent="0.25">
      <c r="A4" s="1" t="s">
        <v>143</v>
      </c>
      <c r="B4" s="1" t="s">
        <v>143</v>
      </c>
      <c r="C4" t="s">
        <v>133</v>
      </c>
      <c r="D4" s="1" t="s">
        <v>4</v>
      </c>
      <c r="E4" s="25" t="s">
        <v>88</v>
      </c>
    </row>
    <row r="5" spans="1:5" ht="45" x14ac:dyDescent="0.25">
      <c r="A5" s="1" t="s">
        <v>138</v>
      </c>
      <c r="B5" s="1" t="s">
        <v>138</v>
      </c>
      <c r="C5" t="s">
        <v>27</v>
      </c>
      <c r="D5" s="1" t="s">
        <v>10</v>
      </c>
      <c r="E5" s="25" t="s">
        <v>89</v>
      </c>
    </row>
    <row r="6" spans="1:5" x14ac:dyDescent="0.25">
      <c r="A6" t="s">
        <v>48</v>
      </c>
      <c r="B6" t="s">
        <v>48</v>
      </c>
      <c r="C6" t="s">
        <v>1262</v>
      </c>
      <c r="D6" s="1" t="s">
        <v>11</v>
      </c>
      <c r="E6" s="25" t="s">
        <v>90</v>
      </c>
    </row>
    <row r="7" spans="1:5" ht="30" x14ac:dyDescent="0.25">
      <c r="A7" t="s">
        <v>68</v>
      </c>
      <c r="B7" t="s">
        <v>68</v>
      </c>
      <c r="C7" s="1"/>
      <c r="D7" s="1" t="s">
        <v>13</v>
      </c>
      <c r="E7" s="25" t="s">
        <v>91</v>
      </c>
    </row>
    <row r="8" spans="1:5" x14ac:dyDescent="0.25">
      <c r="A8" s="1" t="s">
        <v>840</v>
      </c>
      <c r="B8" s="1" t="s">
        <v>840</v>
      </c>
      <c r="C8" s="1"/>
      <c r="D8" s="1" t="s">
        <v>12</v>
      </c>
      <c r="E8" s="25" t="s">
        <v>92</v>
      </c>
    </row>
    <row r="9" spans="1:5" x14ac:dyDescent="0.25">
      <c r="A9" s="1" t="s">
        <v>26</v>
      </c>
      <c r="B9" s="1" t="s">
        <v>26</v>
      </c>
      <c r="C9" s="1"/>
      <c r="D9" s="1" t="s">
        <v>861</v>
      </c>
      <c r="E9" s="25" t="s">
        <v>93</v>
      </c>
    </row>
    <row r="10" spans="1:5" x14ac:dyDescent="0.25">
      <c r="A10" s="1" t="s">
        <v>162</v>
      </c>
      <c r="B10" s="1" t="s">
        <v>162</v>
      </c>
      <c r="C10" s="1"/>
      <c r="D10" s="1" t="s">
        <v>175</v>
      </c>
      <c r="E10" s="25" t="s">
        <v>94</v>
      </c>
    </row>
    <row r="11" spans="1:5" ht="45" x14ac:dyDescent="0.25">
      <c r="A11" s="27" t="s">
        <v>163</v>
      </c>
      <c r="B11" s="27" t="s">
        <v>163</v>
      </c>
      <c r="D11" s="1" t="s">
        <v>63</v>
      </c>
      <c r="E11" s="25" t="s">
        <v>95</v>
      </c>
    </row>
    <row r="12" spans="1:5" x14ac:dyDescent="0.25">
      <c r="A12" s="1" t="s">
        <v>31</v>
      </c>
      <c r="B12" s="1" t="s">
        <v>31</v>
      </c>
      <c r="D12" s="1" t="s">
        <v>64</v>
      </c>
    </row>
    <row r="13" spans="1:5" x14ac:dyDescent="0.25">
      <c r="A13" s="1" t="s">
        <v>744</v>
      </c>
      <c r="B13" s="1" t="s">
        <v>64</v>
      </c>
      <c r="D13" s="1"/>
    </row>
    <row r="14" spans="1:5" x14ac:dyDescent="0.25">
      <c r="A14" s="1" t="s">
        <v>733</v>
      </c>
    </row>
    <row r="15" spans="1:5" ht="30" x14ac:dyDescent="0.25">
      <c r="A15" s="27" t="s">
        <v>736</v>
      </c>
    </row>
    <row r="18" spans="3:3" x14ac:dyDescent="0.25">
      <c r="C18" t="s">
        <v>66</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M43"/>
  <sheetViews>
    <sheetView topLeftCell="A4" zoomScale="70" zoomScaleNormal="70" workbookViewId="0">
      <selection activeCell="K14" sqref="K14"/>
    </sheetView>
  </sheetViews>
  <sheetFormatPr defaultColWidth="9.140625" defaultRowHeight="15" x14ac:dyDescent="0.25"/>
  <cols>
    <col min="1" max="1" width="21.7109375" style="25" bestFit="1" customWidth="1"/>
    <col min="2" max="3" width="24.28515625" style="25" hidden="1" customWidth="1"/>
    <col min="4" max="4" width="47.28515625" style="25" customWidth="1"/>
    <col min="5" max="5" width="61" style="25" customWidth="1"/>
    <col min="6" max="7" width="21.7109375" style="25" customWidth="1"/>
    <col min="8" max="8" width="21.5703125" style="25" bestFit="1" customWidth="1"/>
    <col min="9" max="9" width="23.140625" style="25" bestFit="1" customWidth="1"/>
    <col min="10" max="10" width="23.140625" style="25" customWidth="1"/>
    <col min="11" max="11" width="24.42578125" style="28" bestFit="1" customWidth="1"/>
    <col min="12" max="12" width="23.85546875" style="25" customWidth="1"/>
    <col min="13" max="13" width="61.140625" style="25" customWidth="1"/>
    <col min="14" max="16384" width="9.140625" style="25"/>
  </cols>
  <sheetData>
    <row r="1" spans="1:13" ht="18.75" x14ac:dyDescent="0.3">
      <c r="A1" s="724" t="s">
        <v>421</v>
      </c>
      <c r="B1" s="724"/>
      <c r="C1" s="724"/>
      <c r="D1" s="724"/>
      <c r="E1" s="724"/>
      <c r="F1" s="724"/>
      <c r="G1" s="724"/>
      <c r="H1" s="724"/>
      <c r="I1" s="724"/>
      <c r="J1" s="724"/>
      <c r="K1" s="724"/>
      <c r="L1" s="724"/>
      <c r="M1" s="724"/>
    </row>
    <row r="3" spans="1:13" ht="30" x14ac:dyDescent="0.25">
      <c r="A3" s="34" t="s">
        <v>419</v>
      </c>
    </row>
    <row r="4" spans="1:13" s="26" customFormat="1" ht="30" x14ac:dyDescent="0.25">
      <c r="A4" s="29" t="s">
        <v>100</v>
      </c>
      <c r="B4" s="29" t="s">
        <v>119</v>
      </c>
      <c r="C4" s="29" t="s">
        <v>120</v>
      </c>
      <c r="D4" s="29" t="s">
        <v>107</v>
      </c>
      <c r="E4" s="29" t="s">
        <v>108</v>
      </c>
      <c r="F4" s="29" t="s">
        <v>434</v>
      </c>
      <c r="G4" s="29" t="s">
        <v>432</v>
      </c>
      <c r="H4" s="29" t="s">
        <v>109</v>
      </c>
      <c r="I4" s="29" t="s">
        <v>110</v>
      </c>
      <c r="J4" s="29" t="s">
        <v>422</v>
      </c>
      <c r="K4" s="30" t="s">
        <v>101</v>
      </c>
      <c r="L4" s="29" t="s">
        <v>111</v>
      </c>
      <c r="M4" s="29" t="s">
        <v>106</v>
      </c>
    </row>
    <row r="5" spans="1:13" ht="45" x14ac:dyDescent="0.25">
      <c r="A5" s="31" t="s">
        <v>92</v>
      </c>
      <c r="B5" s="31" t="s">
        <v>222</v>
      </c>
      <c r="C5" s="31" t="s">
        <v>25</v>
      </c>
      <c r="D5" s="31" t="s">
        <v>223</v>
      </c>
      <c r="E5" s="31" t="s">
        <v>224</v>
      </c>
      <c r="F5" s="31" t="s">
        <v>431</v>
      </c>
      <c r="G5" s="37">
        <v>43445</v>
      </c>
      <c r="H5" s="32" t="s">
        <v>427</v>
      </c>
      <c r="I5" s="32" t="s">
        <v>428</v>
      </c>
      <c r="J5" s="31" t="s">
        <v>423</v>
      </c>
      <c r="K5" s="32">
        <v>2262908.64</v>
      </c>
      <c r="L5" s="31" t="s">
        <v>144</v>
      </c>
      <c r="M5" s="31" t="s">
        <v>332</v>
      </c>
    </row>
    <row r="6" spans="1:13" ht="45" x14ac:dyDescent="0.25">
      <c r="A6" s="31" t="s">
        <v>87</v>
      </c>
      <c r="B6" s="31" t="s">
        <v>228</v>
      </c>
      <c r="C6" s="31">
        <v>0</v>
      </c>
      <c r="D6" s="31" t="s">
        <v>229</v>
      </c>
      <c r="E6" s="31" t="s">
        <v>230</v>
      </c>
      <c r="F6" s="31" t="s">
        <v>433</v>
      </c>
      <c r="G6" s="37">
        <v>43447</v>
      </c>
      <c r="H6" s="32" t="s">
        <v>430</v>
      </c>
      <c r="I6" s="32" t="s">
        <v>429</v>
      </c>
      <c r="J6" s="31" t="s">
        <v>423</v>
      </c>
      <c r="K6" s="32">
        <v>2425078.48</v>
      </c>
      <c r="L6" s="31" t="s">
        <v>144</v>
      </c>
      <c r="M6" s="31" t="s">
        <v>332</v>
      </c>
    </row>
    <row r="7" spans="1:13" x14ac:dyDescent="0.25">
      <c r="K7" s="33"/>
    </row>
    <row r="8" spans="1:13" x14ac:dyDescent="0.25">
      <c r="A8" s="34" t="s">
        <v>58</v>
      </c>
    </row>
    <row r="9" spans="1:13" s="26" customFormat="1" ht="30" x14ac:dyDescent="0.25">
      <c r="A9" s="29" t="s">
        <v>100</v>
      </c>
      <c r="B9" s="29" t="s">
        <v>115</v>
      </c>
      <c r="C9" s="29" t="s">
        <v>343</v>
      </c>
      <c r="D9" s="29" t="s">
        <v>107</v>
      </c>
      <c r="E9" s="29" t="s">
        <v>108</v>
      </c>
      <c r="F9" s="29" t="s">
        <v>434</v>
      </c>
      <c r="G9" s="29" t="s">
        <v>432</v>
      </c>
      <c r="H9" s="29" t="s">
        <v>109</v>
      </c>
      <c r="I9" s="29" t="s">
        <v>110</v>
      </c>
      <c r="J9" s="29"/>
      <c r="K9" s="30" t="s">
        <v>101</v>
      </c>
      <c r="L9" s="29" t="s">
        <v>102</v>
      </c>
      <c r="M9" s="29" t="s">
        <v>106</v>
      </c>
    </row>
    <row r="10" spans="1:13" ht="60" x14ac:dyDescent="0.25">
      <c r="A10" s="31" t="s">
        <v>85</v>
      </c>
      <c r="B10" s="31" t="s">
        <v>124</v>
      </c>
      <c r="C10" s="31" t="s">
        <v>418</v>
      </c>
      <c r="D10" s="31" t="s">
        <v>231</v>
      </c>
      <c r="E10" s="32" t="s">
        <v>442</v>
      </c>
      <c r="F10" s="32" t="s">
        <v>441</v>
      </c>
      <c r="G10" s="38">
        <v>43410</v>
      </c>
      <c r="H10" s="32"/>
      <c r="I10" s="32" t="s">
        <v>428</v>
      </c>
      <c r="J10" s="31" t="s">
        <v>423</v>
      </c>
      <c r="K10" s="32">
        <v>1020514.26</v>
      </c>
      <c r="L10" s="31" t="s">
        <v>143</v>
      </c>
      <c r="M10" s="31" t="s">
        <v>233</v>
      </c>
    </row>
    <row r="11" spans="1:13" ht="45" x14ac:dyDescent="0.25">
      <c r="A11" s="31" t="s">
        <v>85</v>
      </c>
      <c r="B11" s="31" t="s">
        <v>124</v>
      </c>
      <c r="C11" s="31" t="s">
        <v>348</v>
      </c>
      <c r="D11" s="31" t="s">
        <v>227</v>
      </c>
      <c r="E11" s="32" t="s">
        <v>435</v>
      </c>
      <c r="F11" s="32" t="s">
        <v>431</v>
      </c>
      <c r="G11" s="32" t="s">
        <v>124</v>
      </c>
      <c r="H11" s="32" t="s">
        <v>436</v>
      </c>
      <c r="I11" s="32" t="s">
        <v>437</v>
      </c>
      <c r="J11" s="31" t="s">
        <v>423</v>
      </c>
      <c r="K11" s="32">
        <v>1233175.1399999999</v>
      </c>
      <c r="L11" s="31" t="s">
        <v>143</v>
      </c>
      <c r="M11" s="31" t="s">
        <v>240</v>
      </c>
    </row>
    <row r="12" spans="1:13" ht="60" x14ac:dyDescent="0.25">
      <c r="A12" s="31" t="s">
        <v>85</v>
      </c>
      <c r="B12" s="31" t="s">
        <v>124</v>
      </c>
      <c r="C12" s="31" t="s">
        <v>418</v>
      </c>
      <c r="D12" s="31" t="s">
        <v>270</v>
      </c>
      <c r="E12" s="32" t="s">
        <v>263</v>
      </c>
      <c r="F12" s="32" t="s">
        <v>438</v>
      </c>
      <c r="G12" s="38">
        <v>43439</v>
      </c>
      <c r="H12" s="32"/>
      <c r="I12" s="32"/>
      <c r="J12" s="31" t="s">
        <v>426</v>
      </c>
      <c r="K12" s="32">
        <v>2749579.99</v>
      </c>
      <c r="L12" s="31" t="s">
        <v>143</v>
      </c>
      <c r="M12" s="31" t="s">
        <v>268</v>
      </c>
    </row>
    <row r="13" spans="1:13" ht="60" x14ac:dyDescent="0.25">
      <c r="A13" s="31" t="s">
        <v>85</v>
      </c>
      <c r="B13" s="31" t="s">
        <v>124</v>
      </c>
      <c r="C13" s="31" t="s">
        <v>418</v>
      </c>
      <c r="D13" s="31" t="s">
        <v>325</v>
      </c>
      <c r="E13" s="32" t="s">
        <v>326</v>
      </c>
      <c r="F13" s="39">
        <v>43424</v>
      </c>
      <c r="G13" s="38">
        <v>43439</v>
      </c>
      <c r="H13" s="32"/>
      <c r="I13" s="32"/>
      <c r="J13" s="31" t="s">
        <v>425</v>
      </c>
      <c r="K13" s="32">
        <v>302583.39</v>
      </c>
      <c r="L13" s="31" t="s">
        <v>143</v>
      </c>
      <c r="M13" s="31" t="s">
        <v>74</v>
      </c>
    </row>
    <row r="14" spans="1:13" ht="45" x14ac:dyDescent="0.25">
      <c r="A14" s="31" t="s">
        <v>85</v>
      </c>
      <c r="B14" s="31" t="s">
        <v>124</v>
      </c>
      <c r="C14" s="31" t="s">
        <v>418</v>
      </c>
      <c r="D14" s="31" t="s">
        <v>325</v>
      </c>
      <c r="E14" s="32" t="s">
        <v>401</v>
      </c>
      <c r="F14" s="39">
        <v>43455</v>
      </c>
      <c r="G14" s="32" t="s">
        <v>124</v>
      </c>
      <c r="H14" s="32"/>
      <c r="I14" s="32"/>
      <c r="J14" s="31" t="s">
        <v>424</v>
      </c>
      <c r="K14" s="32">
        <v>955952.54</v>
      </c>
      <c r="L14" s="31" t="s">
        <v>143</v>
      </c>
      <c r="M14" s="31" t="s">
        <v>74</v>
      </c>
    </row>
    <row r="15" spans="1:13" x14ac:dyDescent="0.25">
      <c r="E15" s="28"/>
      <c r="F15" s="28"/>
      <c r="G15" s="28"/>
      <c r="H15" s="28"/>
      <c r="I15" s="28"/>
      <c r="J15" s="28"/>
      <c r="K15" s="25"/>
    </row>
    <row r="16" spans="1:13" x14ac:dyDescent="0.25">
      <c r="E16" s="28"/>
      <c r="F16" s="28"/>
      <c r="G16" s="28"/>
      <c r="H16" s="28"/>
      <c r="I16" s="35" t="s">
        <v>420</v>
      </c>
      <c r="J16" s="35"/>
      <c r="K16" s="36">
        <f>SUM(K5:K15)</f>
        <v>10949792.440000001</v>
      </c>
    </row>
    <row r="17" spans="1:11" x14ac:dyDescent="0.25">
      <c r="E17" s="28"/>
      <c r="F17" s="28"/>
      <c r="G17" s="28"/>
      <c r="H17" s="28"/>
      <c r="I17" s="28"/>
      <c r="J17" s="28"/>
      <c r="K17" s="25"/>
    </row>
    <row r="18" spans="1:11" x14ac:dyDescent="0.25">
      <c r="E18" s="28"/>
      <c r="F18" s="28"/>
      <c r="G18" s="28"/>
      <c r="H18" s="28"/>
      <c r="I18" s="28"/>
      <c r="J18" s="28"/>
      <c r="K18" s="25"/>
    </row>
    <row r="19" spans="1:11" ht="45" x14ac:dyDescent="0.25">
      <c r="A19" s="44" t="s">
        <v>439</v>
      </c>
      <c r="B19" s="31"/>
      <c r="C19" s="31"/>
      <c r="D19" s="42"/>
      <c r="E19" s="42"/>
      <c r="F19" s="28"/>
      <c r="G19" s="28"/>
      <c r="K19" s="25"/>
    </row>
    <row r="20" spans="1:11" s="26" customFormat="1" x14ac:dyDescent="0.25">
      <c r="A20" s="40" t="s">
        <v>440</v>
      </c>
      <c r="B20" s="40"/>
      <c r="C20" s="40"/>
      <c r="D20" s="43" t="s">
        <v>457</v>
      </c>
      <c r="E20" s="43" t="s">
        <v>458</v>
      </c>
      <c r="K20" s="35"/>
    </row>
    <row r="21" spans="1:11" x14ac:dyDescent="0.25">
      <c r="A21" s="31" t="s">
        <v>463</v>
      </c>
      <c r="B21" s="31"/>
      <c r="C21" s="31"/>
      <c r="D21" s="42">
        <v>2</v>
      </c>
      <c r="E21" s="42">
        <v>3</v>
      </c>
      <c r="K21" s="45"/>
    </row>
    <row r="22" spans="1:11" ht="30" x14ac:dyDescent="0.25">
      <c r="A22" s="31" t="s">
        <v>456</v>
      </c>
      <c r="B22" s="31"/>
      <c r="C22" s="31"/>
      <c r="D22" s="42">
        <v>1</v>
      </c>
      <c r="E22" s="42">
        <v>1.5</v>
      </c>
    </row>
    <row r="23" spans="1:11" x14ac:dyDescent="0.25">
      <c r="A23" s="31" t="s">
        <v>443</v>
      </c>
      <c r="B23" s="31"/>
      <c r="C23" s="31"/>
      <c r="D23" s="42">
        <v>1</v>
      </c>
      <c r="E23" s="42">
        <v>1.5</v>
      </c>
    </row>
    <row r="24" spans="1:11" x14ac:dyDescent="0.25">
      <c r="A24" s="31" t="s">
        <v>444</v>
      </c>
      <c r="B24" s="31"/>
      <c r="C24" s="31"/>
      <c r="D24" s="42">
        <v>1</v>
      </c>
      <c r="E24" s="42">
        <v>1.5</v>
      </c>
    </row>
    <row r="25" spans="1:11" x14ac:dyDescent="0.25">
      <c r="A25" s="31" t="s">
        <v>445</v>
      </c>
      <c r="B25" s="31"/>
      <c r="C25" s="31"/>
      <c r="D25" s="42">
        <v>1</v>
      </c>
      <c r="E25" s="42">
        <v>1.5</v>
      </c>
    </row>
    <row r="26" spans="1:11" x14ac:dyDescent="0.25">
      <c r="A26" s="31" t="s">
        <v>446</v>
      </c>
      <c r="B26" s="31"/>
      <c r="C26" s="31"/>
      <c r="D26" s="42">
        <v>3</v>
      </c>
      <c r="E26" s="42">
        <v>4.5</v>
      </c>
    </row>
    <row r="27" spans="1:11" x14ac:dyDescent="0.25">
      <c r="A27" s="31" t="s">
        <v>447</v>
      </c>
      <c r="B27" s="31"/>
      <c r="C27" s="31"/>
      <c r="D27" s="42">
        <v>2</v>
      </c>
      <c r="E27" s="42">
        <v>3</v>
      </c>
    </row>
    <row r="28" spans="1:11" x14ac:dyDescent="0.25">
      <c r="A28" s="31" t="s">
        <v>448</v>
      </c>
      <c r="B28" s="31"/>
      <c r="C28" s="31"/>
      <c r="D28" s="42">
        <v>75</v>
      </c>
      <c r="E28" s="42"/>
    </row>
    <row r="29" spans="1:11" x14ac:dyDescent="0.25">
      <c r="D29" s="41"/>
      <c r="E29" s="41"/>
    </row>
    <row r="30" spans="1:11" x14ac:dyDescent="0.25">
      <c r="D30" s="41"/>
      <c r="E30" s="41"/>
    </row>
    <row r="31" spans="1:11" s="26" customFormat="1" ht="60" x14ac:dyDescent="0.25">
      <c r="A31" s="44" t="s">
        <v>462</v>
      </c>
      <c r="B31" s="40"/>
      <c r="C31" s="40"/>
      <c r="D31" s="43" t="s">
        <v>457</v>
      </c>
      <c r="E31" s="43" t="s">
        <v>458</v>
      </c>
      <c r="K31" s="35"/>
    </row>
    <row r="32" spans="1:11" x14ac:dyDescent="0.25">
      <c r="A32" s="31" t="s">
        <v>449</v>
      </c>
      <c r="B32" s="31"/>
      <c r="C32" s="31"/>
      <c r="D32" s="42">
        <v>2</v>
      </c>
      <c r="E32" s="42">
        <v>3</v>
      </c>
    </row>
    <row r="33" spans="1:5" x14ac:dyDescent="0.25">
      <c r="A33" s="31" t="s">
        <v>450</v>
      </c>
      <c r="B33" s="31"/>
      <c r="C33" s="31"/>
      <c r="D33" s="42">
        <v>1</v>
      </c>
      <c r="E33" s="42">
        <v>1.5</v>
      </c>
    </row>
    <row r="34" spans="1:5" x14ac:dyDescent="0.25">
      <c r="A34" s="31" t="s">
        <v>451</v>
      </c>
      <c r="B34" s="31"/>
      <c r="C34" s="31"/>
      <c r="D34" s="42">
        <v>1</v>
      </c>
      <c r="E34" s="42">
        <v>1.5</v>
      </c>
    </row>
    <row r="35" spans="1:5" x14ac:dyDescent="0.25">
      <c r="A35" s="31" t="s">
        <v>452</v>
      </c>
      <c r="B35" s="31"/>
      <c r="C35" s="31"/>
      <c r="D35" s="42">
        <v>1</v>
      </c>
      <c r="E35" s="42">
        <v>1.5</v>
      </c>
    </row>
    <row r="36" spans="1:5" x14ac:dyDescent="0.25">
      <c r="A36" s="31" t="s">
        <v>453</v>
      </c>
      <c r="B36" s="31"/>
      <c r="C36" s="31"/>
      <c r="D36" s="42">
        <v>1</v>
      </c>
      <c r="E36" s="42">
        <v>1.5</v>
      </c>
    </row>
    <row r="37" spans="1:5" x14ac:dyDescent="0.25">
      <c r="A37" s="31" t="s">
        <v>454</v>
      </c>
      <c r="B37" s="31"/>
      <c r="C37" s="31"/>
      <c r="D37" s="42">
        <v>1</v>
      </c>
      <c r="E37" s="42">
        <v>1.5</v>
      </c>
    </row>
    <row r="38" spans="1:5" x14ac:dyDescent="0.25">
      <c r="A38" s="31" t="s">
        <v>455</v>
      </c>
      <c r="B38" s="31"/>
      <c r="C38" s="31"/>
      <c r="D38" s="42">
        <v>1</v>
      </c>
      <c r="E38" s="42">
        <v>1.5</v>
      </c>
    </row>
    <row r="39" spans="1:5" x14ac:dyDescent="0.25">
      <c r="A39" s="31" t="s">
        <v>459</v>
      </c>
      <c r="B39" s="31"/>
      <c r="C39" s="31"/>
      <c r="D39" s="42"/>
      <c r="E39" s="42">
        <v>6</v>
      </c>
    </row>
    <row r="40" spans="1:5" x14ac:dyDescent="0.25">
      <c r="A40" s="31" t="s">
        <v>460</v>
      </c>
      <c r="B40" s="31"/>
      <c r="C40" s="31"/>
      <c r="D40" s="42"/>
      <c r="E40" s="42">
        <v>8</v>
      </c>
    </row>
    <row r="41" spans="1:5" x14ac:dyDescent="0.25">
      <c r="A41" s="31" t="s">
        <v>461</v>
      </c>
      <c r="B41" s="31"/>
      <c r="C41" s="31"/>
      <c r="D41" s="42"/>
      <c r="E41" s="42">
        <v>2</v>
      </c>
    </row>
    <row r="42" spans="1:5" x14ac:dyDescent="0.25">
      <c r="D42" s="41"/>
      <c r="E42" s="41"/>
    </row>
    <row r="43" spans="1:5" x14ac:dyDescent="0.25">
      <c r="D43" s="41"/>
      <c r="E43" s="41"/>
    </row>
  </sheetData>
  <mergeCells count="1">
    <mergeCell ref="A1:M1"/>
  </mergeCells>
  <pageMargins left="0.70866141732283472" right="0.70866141732283472" top="0.74803149606299213" bottom="0.74803149606299213" header="0.31496062992125984" footer="0.31496062992125984"/>
  <pageSetup paperSize="8" scale="54"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H31"/>
  <sheetViews>
    <sheetView workbookViewId="0">
      <selection activeCell="G5" sqref="G5"/>
    </sheetView>
  </sheetViews>
  <sheetFormatPr defaultColWidth="17.7109375" defaultRowHeight="15" x14ac:dyDescent="0.25"/>
  <cols>
    <col min="1" max="1" width="10.85546875" style="47" customWidth="1"/>
    <col min="2" max="2" width="16" style="47" customWidth="1"/>
    <col min="3" max="4" width="15.5703125" style="47" customWidth="1"/>
    <col min="5" max="5" width="38.85546875" style="47" customWidth="1"/>
    <col min="6" max="6" width="51.7109375" style="48" bestFit="1" customWidth="1"/>
    <col min="7" max="7" width="16.140625" style="47" bestFit="1" customWidth="1"/>
    <col min="8" max="8" width="53.85546875" style="47" customWidth="1"/>
    <col min="9" max="16384" width="17.7109375" style="47"/>
  </cols>
  <sheetData>
    <row r="1" spans="1:8" s="46" customFormat="1" ht="45" x14ac:dyDescent="0.25">
      <c r="A1" s="51" t="s">
        <v>699</v>
      </c>
      <c r="B1" s="51" t="s">
        <v>706</v>
      </c>
      <c r="C1" s="51" t="s">
        <v>708</v>
      </c>
      <c r="D1" s="51" t="s">
        <v>709</v>
      </c>
      <c r="E1" s="51" t="s">
        <v>9</v>
      </c>
      <c r="F1" s="51" t="s">
        <v>440</v>
      </c>
      <c r="G1" s="51" t="s">
        <v>698</v>
      </c>
      <c r="H1" s="51" t="s">
        <v>702</v>
      </c>
    </row>
    <row r="2" spans="1:8" ht="30" x14ac:dyDescent="0.25">
      <c r="A2" s="52" t="s">
        <v>710</v>
      </c>
      <c r="B2" s="56">
        <v>43424</v>
      </c>
      <c r="C2" s="52" t="s">
        <v>621</v>
      </c>
      <c r="D2" s="53">
        <v>43544</v>
      </c>
      <c r="E2" s="52" t="s">
        <v>714</v>
      </c>
      <c r="F2" s="52" t="e">
        <f>+Delay!#REF!</f>
        <v>#REF!</v>
      </c>
      <c r="G2" s="54">
        <v>563187</v>
      </c>
      <c r="H2" s="52" t="s">
        <v>713</v>
      </c>
    </row>
    <row r="3" spans="1:8" ht="75" x14ac:dyDescent="0.25">
      <c r="A3" s="52" t="s">
        <v>711</v>
      </c>
      <c r="B3" s="57" t="s">
        <v>707</v>
      </c>
      <c r="C3" s="52" t="s">
        <v>621</v>
      </c>
      <c r="D3" s="53">
        <v>43544</v>
      </c>
      <c r="E3" s="52" t="s">
        <v>717</v>
      </c>
      <c r="F3" s="52" t="s">
        <v>700</v>
      </c>
      <c r="G3" s="54">
        <v>3793168</v>
      </c>
      <c r="H3" s="52" t="s">
        <v>720</v>
      </c>
    </row>
    <row r="4" spans="1:8" ht="120" x14ac:dyDescent="0.25">
      <c r="A4" s="52" t="s">
        <v>703</v>
      </c>
      <c r="B4" s="56" t="s">
        <v>721</v>
      </c>
      <c r="C4" s="52" t="s">
        <v>621</v>
      </c>
      <c r="D4" s="57" t="s">
        <v>704</v>
      </c>
      <c r="E4" s="52" t="s">
        <v>705</v>
      </c>
      <c r="F4" s="52" t="s">
        <v>715</v>
      </c>
      <c r="G4" s="54">
        <v>791017</v>
      </c>
      <c r="H4" s="52" t="s">
        <v>716</v>
      </c>
    </row>
    <row r="5" spans="1:8" ht="60" x14ac:dyDescent="0.25">
      <c r="A5" s="52" t="s">
        <v>712</v>
      </c>
      <c r="B5" s="56">
        <v>43375</v>
      </c>
      <c r="C5" s="52" t="s">
        <v>621</v>
      </c>
      <c r="D5" s="53" t="s">
        <v>719</v>
      </c>
      <c r="E5" s="52" t="s">
        <v>718</v>
      </c>
      <c r="F5" s="52" t="s">
        <v>701</v>
      </c>
      <c r="G5" s="55">
        <v>1434009</v>
      </c>
      <c r="H5" s="52" t="s">
        <v>722</v>
      </c>
    </row>
    <row r="6" spans="1:8" x14ac:dyDescent="0.25">
      <c r="A6" s="48"/>
      <c r="B6" s="48"/>
      <c r="C6" s="48"/>
      <c r="D6" s="48"/>
      <c r="E6" s="48"/>
      <c r="G6" s="50"/>
      <c r="H6" s="48"/>
    </row>
    <row r="7" spans="1:8" x14ac:dyDescent="0.25">
      <c r="G7" s="58">
        <f>SUM(G2:G6)</f>
        <v>6581381</v>
      </c>
      <c r="H7" s="48"/>
    </row>
    <row r="8" spans="1:8" x14ac:dyDescent="0.25">
      <c r="G8" s="49"/>
      <c r="H8" s="48"/>
    </row>
    <row r="9" spans="1:8" x14ac:dyDescent="0.25">
      <c r="G9" s="49"/>
      <c r="H9" s="48"/>
    </row>
    <row r="10" spans="1:8" x14ac:dyDescent="0.25">
      <c r="G10" s="49"/>
      <c r="H10" s="48"/>
    </row>
    <row r="11" spans="1:8" x14ac:dyDescent="0.25">
      <c r="G11" s="49"/>
      <c r="H11" s="48"/>
    </row>
    <row r="12" spans="1:8" x14ac:dyDescent="0.25">
      <c r="G12" s="49"/>
      <c r="H12" s="48"/>
    </row>
    <row r="13" spans="1:8" x14ac:dyDescent="0.25">
      <c r="G13" s="49"/>
    </row>
    <row r="14" spans="1:8" x14ac:dyDescent="0.25">
      <c r="G14" s="49"/>
    </row>
    <row r="15" spans="1:8" x14ac:dyDescent="0.25">
      <c r="G15" s="49"/>
    </row>
    <row r="16" spans="1:8" x14ac:dyDescent="0.25">
      <c r="G16" s="49"/>
    </row>
    <row r="17" spans="7:7" x14ac:dyDescent="0.25">
      <c r="G17" s="49"/>
    </row>
    <row r="18" spans="7:7" x14ac:dyDescent="0.25">
      <c r="G18" s="49"/>
    </row>
    <row r="19" spans="7:7" x14ac:dyDescent="0.25">
      <c r="G19" s="49"/>
    </row>
    <row r="20" spans="7:7" x14ac:dyDescent="0.25">
      <c r="G20" s="49"/>
    </row>
    <row r="21" spans="7:7" x14ac:dyDescent="0.25">
      <c r="G21" s="49"/>
    </row>
    <row r="22" spans="7:7" x14ac:dyDescent="0.25">
      <c r="G22" s="49"/>
    </row>
    <row r="23" spans="7:7" x14ac:dyDescent="0.25">
      <c r="G23" s="49"/>
    </row>
    <row r="24" spans="7:7" x14ac:dyDescent="0.25">
      <c r="G24" s="49"/>
    </row>
    <row r="25" spans="7:7" x14ac:dyDescent="0.25">
      <c r="G25" s="49"/>
    </row>
    <row r="26" spans="7:7" x14ac:dyDescent="0.25">
      <c r="G26" s="49"/>
    </row>
    <row r="27" spans="7:7" x14ac:dyDescent="0.25">
      <c r="G27" s="49"/>
    </row>
    <row r="28" spans="7:7" x14ac:dyDescent="0.25">
      <c r="G28" s="49"/>
    </row>
    <row r="29" spans="7:7" x14ac:dyDescent="0.25">
      <c r="G29" s="49"/>
    </row>
    <row r="30" spans="7:7" x14ac:dyDescent="0.25">
      <c r="G30" s="49"/>
    </row>
    <row r="31" spans="7:7" x14ac:dyDescent="0.25">
      <c r="G31" s="49"/>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65CBACD3DADBC4A90081B54C14A92F2" ma:contentTypeVersion="10" ma:contentTypeDescription="Create a new document." ma:contentTypeScope="" ma:versionID="fdf7c7b36f251cc5548b8ab9ec1a96af">
  <xsd:schema xmlns:xsd="http://www.w3.org/2001/XMLSchema" xmlns:xs="http://www.w3.org/2001/XMLSchema" xmlns:p="http://schemas.microsoft.com/office/2006/metadata/properties" xmlns:ns3="ea131a0c-6f8e-4259-a89c-f0666e9eb511" xmlns:ns4="0187df14-8b81-4a9f-bf3d-de7dd432793a" targetNamespace="http://schemas.microsoft.com/office/2006/metadata/properties" ma:root="true" ma:fieldsID="846e057532b4ef1a96368f326bbcd524" ns3:_="" ns4:_="">
    <xsd:import namespace="ea131a0c-6f8e-4259-a89c-f0666e9eb511"/>
    <xsd:import namespace="0187df14-8b81-4a9f-bf3d-de7dd432793a"/>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EventHashCode" minOccurs="0"/>
                <xsd:element ref="ns3:MediaServiceGenerationTime" minOccurs="0"/>
                <xsd:element ref="ns4:SharedWithUsers" minOccurs="0"/>
                <xsd:element ref="ns4:SharedWithDetails" minOccurs="0"/>
                <xsd:element ref="ns4:SharingHintHash"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131a0c-6f8e-4259-a89c-f0666e9eb511"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87df14-8b81-4a9f-bf3d-de7dd432793a"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7B7034-4DBF-4C7C-A728-A88A0C574B5B}">
  <ds:schemaRefs>
    <ds:schemaRef ds:uri="http://schemas.microsoft.com/office/infopath/2007/PartnerControls"/>
    <ds:schemaRef ds:uri="http://purl.org/dc/term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ea131a0c-6f8e-4259-a89c-f0666e9eb511"/>
    <ds:schemaRef ds:uri="0187df14-8b81-4a9f-bf3d-de7dd432793a"/>
    <ds:schemaRef ds:uri="http://www.w3.org/XML/1998/namespace"/>
    <ds:schemaRef ds:uri="http://purl.org/dc/dcmitype/"/>
  </ds:schemaRefs>
</ds:datastoreItem>
</file>

<file path=customXml/itemProps2.xml><?xml version="1.0" encoding="utf-8"?>
<ds:datastoreItem xmlns:ds="http://schemas.openxmlformats.org/officeDocument/2006/customXml" ds:itemID="{886DBCED-F3B4-4FBD-A8A3-00F48C3A25A1}">
  <ds:schemaRefs>
    <ds:schemaRef ds:uri="http://schemas.microsoft.com/sharepoint/v3/contenttype/forms"/>
  </ds:schemaRefs>
</ds:datastoreItem>
</file>

<file path=customXml/itemProps3.xml><?xml version="1.0" encoding="utf-8"?>
<ds:datastoreItem xmlns:ds="http://schemas.openxmlformats.org/officeDocument/2006/customXml" ds:itemID="{9F03D6CC-3AB8-4985-B024-F6887D7950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131a0c-6f8e-4259-a89c-f0666e9eb511"/>
    <ds:schemaRef ds:uri="0187df14-8b81-4a9f-bf3d-de7dd43279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19</vt:i4>
      </vt:variant>
    </vt:vector>
  </HeadingPairs>
  <TitlesOfParts>
    <vt:vector size="32" baseType="lpstr">
      <vt:lpstr>VO Summary - Internal Report</vt:lpstr>
      <vt:lpstr>Strategies - Commentary</vt:lpstr>
      <vt:lpstr>VO Status - Client Summary</vt:lpstr>
      <vt:lpstr>EOT Status - Summary</vt:lpstr>
      <vt:lpstr>Delay</vt:lpstr>
      <vt:lpstr>Button Properties</vt:lpstr>
      <vt:lpstr>Variation Register</vt:lpstr>
      <vt:lpstr>Acceleration Direction</vt:lpstr>
      <vt:lpstr>Company VO Report</vt:lpstr>
      <vt:lpstr>Company Delay &amp; EOT</vt:lpstr>
      <vt:lpstr>Drop Downs</vt:lpstr>
      <vt:lpstr>Sheet2</vt:lpstr>
      <vt:lpstr>Legacy Claims 13-04-19</vt:lpstr>
      <vt:lpstr>'Variation Register'!Categories</vt:lpstr>
      <vt:lpstr>Categories</vt:lpstr>
      <vt:lpstr>EOT_Status</vt:lpstr>
      <vt:lpstr>EOT_Status2</vt:lpstr>
      <vt:lpstr>EOT_Type</vt:lpstr>
      <vt:lpstr>'Company Delay &amp; EOT'!MR_Status</vt:lpstr>
      <vt:lpstr>'Company Delay &amp; EOT'!Print_Area</vt:lpstr>
      <vt:lpstr>'Company VO Report'!Print_Area</vt:lpstr>
      <vt:lpstr>Delay!Print_Area</vt:lpstr>
      <vt:lpstr>'Variation Register'!Print_Area</vt:lpstr>
      <vt:lpstr>'VO Status - Client Summary'!Print_Area</vt:lpstr>
      <vt:lpstr>'VO Summary - Internal Report'!Print_Area</vt:lpstr>
      <vt:lpstr>Delay!Print_Titles</vt:lpstr>
      <vt:lpstr>'Variation Register'!Print_Titles</vt:lpstr>
      <vt:lpstr>Status</vt:lpstr>
      <vt:lpstr>Status1</vt:lpstr>
      <vt:lpstr>'Variation Register'!Variation_Type</vt:lpstr>
      <vt:lpstr>Variation_Type1</vt:lpstr>
      <vt:lpstr>VO_Status</vt:lpstr>
    </vt:vector>
  </TitlesOfParts>
  <Company>Leighton Contractors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aclegg</dc:creator>
  <cp:lastModifiedBy>james noonan</cp:lastModifiedBy>
  <cp:lastPrinted>2020-04-28T11:02:51Z</cp:lastPrinted>
  <dcterms:created xsi:type="dcterms:W3CDTF">2013-11-12T23:43:48Z</dcterms:created>
  <dcterms:modified xsi:type="dcterms:W3CDTF">2023-09-25T09:03:20Z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0x010100065CBACD3DADBC4A90081B54C14A92F2</vt:lpwstr>
  </property>
</Properties>
</file>